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C83BEFE9-DA38-43AE-82B2-39645604076F}" xr6:coauthVersionLast="36" xr6:coauthVersionMax="36" xr10:uidLastSave="{00000000-0000-0000-0000-000000000000}"/>
  <bookViews>
    <workbookView xWindow="0" yWindow="0" windowWidth="21570" windowHeight="7980" activeTab="1" xr2:uid="{C3415AEA-9BD2-4E48-A53C-D8D3F84FBBF2}"/>
  </bookViews>
  <sheets>
    <sheet name="INGRESOS" sheetId="1" r:id="rId1"/>
    <sheet name="EGRESOS" sheetId="2" r:id="rId2"/>
    <sheet name="FACTURAS" sheetId="8" r:id="rId3"/>
    <sheet name="RESUMEN 1" sheetId="3" r:id="rId4"/>
    <sheet name="REPORTE CAJA" sheetId="7" r:id="rId5"/>
    <sheet name="RESUMEN 2" sheetId="4" r:id="rId6"/>
    <sheet name="TABLA" sheetId="5" r:id="rId7"/>
    <sheet name="Hoja1" sheetId="9" r:id="rId8"/>
    <sheet name="CUENTAS CONTABLES" sheetId="6" r:id="rId9"/>
  </sheets>
  <definedNames>
    <definedName name="_xlnm._FilterDatabase" localSheetId="0" hidden="1">INGRESOS!$A$3:$A$316</definedName>
    <definedName name="_xlnm._FilterDatabase" localSheetId="4" hidden="1">'REPORTE CAJA'!$A$80:$P$80</definedName>
  </definedNames>
  <calcPr calcId="191029"/>
  <pivotCaches>
    <pivotCache cacheId="2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84" i="2" l="1"/>
  <c r="F385" i="2"/>
  <c r="F386" i="2"/>
  <c r="F387" i="2"/>
  <c r="I384" i="2"/>
  <c r="I385" i="2"/>
  <c r="I386" i="2"/>
  <c r="I387" i="2"/>
  <c r="J384" i="2"/>
  <c r="J385" i="2"/>
  <c r="J386" i="2"/>
  <c r="J387" i="2"/>
  <c r="G314" i="1"/>
  <c r="G315" i="1"/>
  <c r="G316" i="1"/>
  <c r="K314" i="1"/>
  <c r="K315" i="1"/>
  <c r="K316" i="1"/>
  <c r="L314" i="1"/>
  <c r="L315" i="1"/>
  <c r="L316" i="1"/>
  <c r="F380" i="2" l="1"/>
  <c r="F381" i="2"/>
  <c r="F382" i="2"/>
  <c r="F383" i="2"/>
  <c r="I380" i="2"/>
  <c r="I381" i="2"/>
  <c r="I382" i="2"/>
  <c r="I383" i="2"/>
  <c r="J380" i="2"/>
  <c r="J381" i="2"/>
  <c r="J382" i="2"/>
  <c r="J383" i="2"/>
  <c r="G309" i="1"/>
  <c r="G310" i="1"/>
  <c r="G311" i="1"/>
  <c r="G312" i="1"/>
  <c r="G313" i="1"/>
  <c r="K309" i="1"/>
  <c r="K310" i="1"/>
  <c r="K311" i="1"/>
  <c r="K312" i="1"/>
  <c r="K313" i="1"/>
  <c r="L309" i="1"/>
  <c r="L310" i="1"/>
  <c r="L311" i="1"/>
  <c r="L312" i="1"/>
  <c r="L313" i="1"/>
  <c r="F378" i="2" l="1"/>
  <c r="F379" i="2"/>
  <c r="I378" i="2"/>
  <c r="I379" i="2"/>
  <c r="J378" i="2"/>
  <c r="J379" i="2"/>
  <c r="F375" i="2"/>
  <c r="F376" i="2"/>
  <c r="I375" i="2"/>
  <c r="I376" i="2"/>
  <c r="J375" i="2"/>
  <c r="J376" i="2"/>
  <c r="F369" i="2"/>
  <c r="F371" i="2"/>
  <c r="F372" i="2"/>
  <c r="F373" i="2"/>
  <c r="F374" i="2"/>
  <c r="I369" i="2"/>
  <c r="I371" i="2"/>
  <c r="I372" i="2"/>
  <c r="I373" i="2"/>
  <c r="I374" i="2"/>
  <c r="J369" i="2"/>
  <c r="J371" i="2"/>
  <c r="J372" i="2"/>
  <c r="J373" i="2"/>
  <c r="J374" i="2"/>
  <c r="F353" i="2"/>
  <c r="F355" i="2"/>
  <c r="F356" i="2"/>
  <c r="F357" i="2"/>
  <c r="F360" i="2"/>
  <c r="F367" i="2"/>
  <c r="I353" i="2"/>
  <c r="I355" i="2"/>
  <c r="I356" i="2"/>
  <c r="I357" i="2"/>
  <c r="I360" i="2"/>
  <c r="I367" i="2"/>
  <c r="J353" i="2"/>
  <c r="J355" i="2"/>
  <c r="J356" i="2"/>
  <c r="J357" i="2"/>
  <c r="J360" i="2"/>
  <c r="J367" i="2"/>
  <c r="G303" i="1"/>
  <c r="G304" i="1"/>
  <c r="G305" i="1"/>
  <c r="G306" i="1"/>
  <c r="G307" i="1"/>
  <c r="G308" i="1"/>
  <c r="K303" i="1"/>
  <c r="K304" i="1"/>
  <c r="K305" i="1"/>
  <c r="K306" i="1"/>
  <c r="K307" i="1"/>
  <c r="K308" i="1"/>
  <c r="L303" i="1"/>
  <c r="L304" i="1"/>
  <c r="L305" i="1"/>
  <c r="L306" i="1"/>
  <c r="L307" i="1"/>
  <c r="L308" i="1"/>
  <c r="G301" i="1"/>
  <c r="G302" i="1"/>
  <c r="K301" i="1"/>
  <c r="K302" i="1"/>
  <c r="L301" i="1"/>
  <c r="L302" i="1"/>
  <c r="F351" i="2"/>
  <c r="F352" i="2"/>
  <c r="I351" i="2"/>
  <c r="I352" i="2"/>
  <c r="J351" i="2"/>
  <c r="J352" i="2"/>
  <c r="I350" i="2"/>
  <c r="G296" i="1"/>
  <c r="G297" i="1"/>
  <c r="G298" i="1"/>
  <c r="G299" i="1"/>
  <c r="G300" i="1"/>
  <c r="K296" i="1"/>
  <c r="K297" i="1"/>
  <c r="K298" i="1"/>
  <c r="K299" i="1"/>
  <c r="K300" i="1"/>
  <c r="L296" i="1"/>
  <c r="L297" i="1"/>
  <c r="L298" i="1"/>
  <c r="L299" i="1"/>
  <c r="L300" i="1"/>
  <c r="G285" i="1"/>
  <c r="K285" i="1"/>
  <c r="L285" i="1"/>
  <c r="F365" i="2" l="1"/>
  <c r="F366" i="2"/>
  <c r="F368" i="2"/>
  <c r="F370" i="2"/>
  <c r="F377" i="2"/>
  <c r="F350" i="2"/>
  <c r="I365" i="2"/>
  <c r="I366" i="2"/>
  <c r="I368" i="2"/>
  <c r="I370" i="2"/>
  <c r="I377" i="2"/>
  <c r="J365" i="2"/>
  <c r="J366" i="2"/>
  <c r="J368" i="2"/>
  <c r="J370" i="2"/>
  <c r="J377" i="2"/>
  <c r="J350" i="2"/>
  <c r="F361" i="2"/>
  <c r="F349" i="2"/>
  <c r="F354" i="2"/>
  <c r="F358" i="2"/>
  <c r="F359" i="2"/>
  <c r="F362" i="2"/>
  <c r="F363" i="2"/>
  <c r="F364" i="2"/>
  <c r="I349" i="2"/>
  <c r="I354" i="2"/>
  <c r="I358" i="2"/>
  <c r="I359" i="2"/>
  <c r="I361" i="2"/>
  <c r="I362" i="2"/>
  <c r="I363" i="2"/>
  <c r="I364" i="2"/>
  <c r="J349" i="2"/>
  <c r="J354" i="2"/>
  <c r="J358" i="2"/>
  <c r="J359" i="2"/>
  <c r="J361" i="2"/>
  <c r="J362" i="2"/>
  <c r="J363" i="2"/>
  <c r="J364" i="2"/>
  <c r="G287" i="1"/>
  <c r="G288" i="1"/>
  <c r="G289" i="1"/>
  <c r="G290" i="1"/>
  <c r="G291" i="1"/>
  <c r="G292" i="1"/>
  <c r="G293" i="1"/>
  <c r="G294" i="1"/>
  <c r="G295" i="1"/>
  <c r="K287" i="1"/>
  <c r="K288" i="1"/>
  <c r="K289" i="1"/>
  <c r="K290" i="1"/>
  <c r="K291" i="1"/>
  <c r="K292" i="1"/>
  <c r="K293" i="1"/>
  <c r="K294" i="1"/>
  <c r="K295" i="1"/>
  <c r="L287" i="1"/>
  <c r="L288" i="1"/>
  <c r="L289" i="1"/>
  <c r="L290" i="1"/>
  <c r="L291" i="1"/>
  <c r="L292" i="1"/>
  <c r="L293" i="1"/>
  <c r="L294" i="1"/>
  <c r="L295" i="1"/>
  <c r="K282" i="1" l="1"/>
  <c r="G281" i="1"/>
  <c r="G282" i="1"/>
  <c r="G283" i="1"/>
  <c r="G284" i="1"/>
  <c r="G286" i="1"/>
  <c r="G280" i="1"/>
  <c r="G277" i="1"/>
  <c r="K281" i="1"/>
  <c r="K283" i="1"/>
  <c r="K284" i="1"/>
  <c r="K286" i="1"/>
  <c r="K280" i="1"/>
  <c r="K277" i="1"/>
  <c r="L281" i="1"/>
  <c r="L282" i="1"/>
  <c r="L283" i="1"/>
  <c r="L284" i="1"/>
  <c r="L286" i="1"/>
  <c r="L280" i="1"/>
  <c r="L277" i="1"/>
  <c r="G272" i="1" l="1"/>
  <c r="G273" i="1"/>
  <c r="G274" i="1"/>
  <c r="G276" i="1"/>
  <c r="G258" i="1"/>
  <c r="G275" i="1"/>
  <c r="K272" i="1"/>
  <c r="K273" i="1"/>
  <c r="K274" i="1"/>
  <c r="K276" i="1"/>
  <c r="K258" i="1"/>
  <c r="K275" i="1"/>
  <c r="L272" i="1"/>
  <c r="L273" i="1"/>
  <c r="L274" i="1"/>
  <c r="L276" i="1"/>
  <c r="L258" i="1"/>
  <c r="L275" i="1"/>
  <c r="F322" i="2"/>
  <c r="F323" i="2"/>
  <c r="F325" i="2"/>
  <c r="F326" i="2"/>
  <c r="F327" i="2"/>
  <c r="F330" i="2"/>
  <c r="F331" i="2"/>
  <c r="F332" i="2"/>
  <c r="F208" i="2"/>
  <c r="F275" i="2"/>
  <c r="F333" i="2"/>
  <c r="F334" i="2"/>
  <c r="F335" i="2"/>
  <c r="F336" i="2"/>
  <c r="F338" i="2"/>
  <c r="F341" i="2"/>
  <c r="F344" i="2"/>
  <c r="F345" i="2"/>
  <c r="F337" i="2"/>
  <c r="F339" i="2"/>
  <c r="F340" i="2"/>
  <c r="F342" i="2"/>
  <c r="F343" i="2"/>
  <c r="F346" i="2"/>
  <c r="F347" i="2"/>
  <c r="F348" i="2"/>
  <c r="I322" i="2"/>
  <c r="I323" i="2"/>
  <c r="I325" i="2"/>
  <c r="I326" i="2"/>
  <c r="I327" i="2"/>
  <c r="I330" i="2"/>
  <c r="I331" i="2"/>
  <c r="I332" i="2"/>
  <c r="I208" i="2"/>
  <c r="I275" i="2"/>
  <c r="I333" i="2"/>
  <c r="I334" i="2"/>
  <c r="I335" i="2"/>
  <c r="I336" i="2"/>
  <c r="I338" i="2"/>
  <c r="I341" i="2"/>
  <c r="I344" i="2"/>
  <c r="I345" i="2"/>
  <c r="I337" i="2"/>
  <c r="I339" i="2"/>
  <c r="I340" i="2"/>
  <c r="I342" i="2"/>
  <c r="I343" i="2"/>
  <c r="I346" i="2"/>
  <c r="I347" i="2"/>
  <c r="I348" i="2"/>
  <c r="J322" i="2"/>
  <c r="J323" i="2"/>
  <c r="J325" i="2"/>
  <c r="J326" i="2"/>
  <c r="J327" i="2"/>
  <c r="J330" i="2"/>
  <c r="J331" i="2"/>
  <c r="J332" i="2"/>
  <c r="J208" i="2"/>
  <c r="J275" i="2"/>
  <c r="J333" i="2"/>
  <c r="J334" i="2"/>
  <c r="J335" i="2"/>
  <c r="J336" i="2"/>
  <c r="J338" i="2"/>
  <c r="J341" i="2"/>
  <c r="J344" i="2"/>
  <c r="J345" i="2"/>
  <c r="J337" i="2"/>
  <c r="J339" i="2"/>
  <c r="J340" i="2"/>
  <c r="J342" i="2"/>
  <c r="J343" i="2"/>
  <c r="J346" i="2"/>
  <c r="J347" i="2"/>
  <c r="J348" i="2"/>
  <c r="F311" i="2"/>
  <c r="F312" i="2"/>
  <c r="F319" i="2"/>
  <c r="F320" i="2"/>
  <c r="F321" i="2"/>
  <c r="I311" i="2"/>
  <c r="I312" i="2"/>
  <c r="I319" i="2"/>
  <c r="I320" i="2"/>
  <c r="I321" i="2"/>
  <c r="J311" i="2"/>
  <c r="J312" i="2"/>
  <c r="J319" i="2"/>
  <c r="J320" i="2"/>
  <c r="J321" i="2"/>
  <c r="F328" i="2" l="1"/>
  <c r="F329" i="2"/>
  <c r="F308" i="2"/>
  <c r="F309" i="2"/>
  <c r="F310" i="2"/>
  <c r="I328" i="2"/>
  <c r="I329" i="2"/>
  <c r="I308" i="2"/>
  <c r="I309" i="2"/>
  <c r="I310" i="2"/>
  <c r="J328" i="2"/>
  <c r="J329" i="2"/>
  <c r="J308" i="2"/>
  <c r="J309" i="2"/>
  <c r="J310" i="2"/>
  <c r="F314" i="2"/>
  <c r="F315" i="2"/>
  <c r="F316" i="2"/>
  <c r="F317" i="2"/>
  <c r="F318" i="2"/>
  <c r="F324" i="2"/>
  <c r="I314" i="2"/>
  <c r="I315" i="2"/>
  <c r="I316" i="2"/>
  <c r="I317" i="2"/>
  <c r="I318" i="2"/>
  <c r="I324" i="2"/>
  <c r="J314" i="2"/>
  <c r="J315" i="2"/>
  <c r="J316" i="2"/>
  <c r="J317" i="2"/>
  <c r="J318" i="2"/>
  <c r="J324" i="2"/>
  <c r="J303" i="2"/>
  <c r="I303" i="2"/>
  <c r="F303" i="2"/>
  <c r="I301" i="2"/>
  <c r="G263" i="1" l="1"/>
  <c r="G264" i="1"/>
  <c r="G270" i="1"/>
  <c r="G271" i="1"/>
  <c r="K263" i="1"/>
  <c r="K264" i="1"/>
  <c r="K270" i="1"/>
  <c r="K271" i="1"/>
  <c r="L263" i="1"/>
  <c r="L264" i="1"/>
  <c r="L270" i="1"/>
  <c r="L271" i="1"/>
  <c r="G261" i="1"/>
  <c r="G262" i="1"/>
  <c r="G265" i="1"/>
  <c r="G266" i="1"/>
  <c r="G267" i="1"/>
  <c r="G268" i="1"/>
  <c r="G269" i="1"/>
  <c r="G86" i="1"/>
  <c r="G257" i="1"/>
  <c r="K261" i="1"/>
  <c r="K262" i="1"/>
  <c r="K265" i="1"/>
  <c r="K266" i="1"/>
  <c r="K267" i="1"/>
  <c r="K268" i="1"/>
  <c r="K269" i="1"/>
  <c r="K86" i="1"/>
  <c r="K257" i="1"/>
  <c r="L261" i="1"/>
  <c r="L262" i="1"/>
  <c r="L265" i="1"/>
  <c r="L266" i="1"/>
  <c r="L267" i="1"/>
  <c r="L268" i="1"/>
  <c r="L269" i="1"/>
  <c r="L86" i="1"/>
  <c r="L257" i="1"/>
  <c r="G278" i="1"/>
  <c r="K278" i="1"/>
  <c r="L278" i="1"/>
  <c r="G279" i="1"/>
  <c r="K279" i="1"/>
  <c r="L279" i="1"/>
  <c r="G230" i="1"/>
  <c r="G237" i="1"/>
  <c r="K230" i="1"/>
  <c r="K237" i="1"/>
  <c r="L230" i="1"/>
  <c r="L237" i="1"/>
  <c r="J214" i="2"/>
  <c r="J301" i="2"/>
  <c r="F304" i="2"/>
  <c r="F305" i="2"/>
  <c r="F306" i="2"/>
  <c r="F307" i="2"/>
  <c r="F313" i="2"/>
  <c r="I304" i="2"/>
  <c r="I305" i="2"/>
  <c r="I306" i="2"/>
  <c r="I307" i="2"/>
  <c r="I313" i="2"/>
  <c r="J304" i="2"/>
  <c r="J305" i="2"/>
  <c r="J306" i="2"/>
  <c r="J307" i="2"/>
  <c r="J313" i="2"/>
  <c r="F4" i="2"/>
  <c r="I4" i="2"/>
  <c r="J4" i="2"/>
  <c r="F5" i="2"/>
  <c r="I5" i="2"/>
  <c r="J5" i="2"/>
  <c r="F6" i="2"/>
  <c r="I6" i="2"/>
  <c r="J6" i="2"/>
  <c r="F7" i="2"/>
  <c r="I7" i="2"/>
  <c r="J7" i="2"/>
  <c r="F8" i="2"/>
  <c r="I8" i="2"/>
  <c r="J8" i="2"/>
  <c r="F9" i="2"/>
  <c r="I9" i="2"/>
  <c r="J9" i="2"/>
  <c r="F10" i="2"/>
  <c r="I10" i="2"/>
  <c r="J10" i="2"/>
  <c r="F11" i="2"/>
  <c r="I11" i="2"/>
  <c r="J11" i="2"/>
  <c r="F12" i="2"/>
  <c r="I12" i="2"/>
  <c r="J12" i="2"/>
  <c r="F13" i="2"/>
  <c r="I13" i="2"/>
  <c r="J13" i="2"/>
  <c r="F14" i="2"/>
  <c r="I14" i="2"/>
  <c r="J14" i="2"/>
  <c r="F15" i="2"/>
  <c r="I15" i="2"/>
  <c r="J15" i="2"/>
  <c r="F16" i="2"/>
  <c r="I16" i="2"/>
  <c r="J16" i="2"/>
  <c r="F17" i="2"/>
  <c r="I17" i="2"/>
  <c r="J17" i="2"/>
  <c r="F18" i="2"/>
  <c r="I18" i="2"/>
  <c r="J18" i="2"/>
  <c r="F19" i="2"/>
  <c r="I19" i="2"/>
  <c r="J19" i="2"/>
  <c r="F20" i="2"/>
  <c r="I20" i="2"/>
  <c r="J20" i="2"/>
  <c r="F21" i="2"/>
  <c r="I21" i="2"/>
  <c r="J21" i="2"/>
  <c r="F22" i="2"/>
  <c r="I22" i="2"/>
  <c r="J22" i="2"/>
  <c r="F23" i="2"/>
  <c r="I23" i="2"/>
  <c r="J23" i="2"/>
  <c r="F24" i="2"/>
  <c r="I24" i="2"/>
  <c r="J24" i="2"/>
  <c r="F25" i="2"/>
  <c r="I25" i="2"/>
  <c r="J25" i="2"/>
  <c r="F26" i="2"/>
  <c r="I26" i="2"/>
  <c r="J26" i="2"/>
  <c r="F27" i="2"/>
  <c r="I27" i="2"/>
  <c r="J27" i="2"/>
  <c r="F28" i="2"/>
  <c r="I28" i="2"/>
  <c r="J28" i="2"/>
  <c r="F29" i="2"/>
  <c r="I29" i="2"/>
  <c r="J29" i="2"/>
  <c r="F30" i="2"/>
  <c r="I30" i="2"/>
  <c r="J30" i="2"/>
  <c r="F31" i="2"/>
  <c r="I31" i="2"/>
  <c r="J31" i="2"/>
  <c r="F32" i="2"/>
  <c r="I32" i="2"/>
  <c r="J32" i="2"/>
  <c r="F33" i="2"/>
  <c r="I33" i="2"/>
  <c r="J33" i="2"/>
  <c r="F34" i="2"/>
  <c r="I34" i="2"/>
  <c r="J34" i="2"/>
  <c r="F35" i="2"/>
  <c r="I35" i="2"/>
  <c r="J35" i="2"/>
  <c r="F36" i="2"/>
  <c r="I36" i="2"/>
  <c r="J36" i="2"/>
  <c r="F37" i="2"/>
  <c r="I37" i="2"/>
  <c r="J37" i="2"/>
  <c r="F38" i="2"/>
  <c r="I38" i="2"/>
  <c r="J38" i="2"/>
  <c r="F39" i="2"/>
  <c r="I39" i="2"/>
  <c r="J39" i="2"/>
  <c r="F40" i="2"/>
  <c r="I40" i="2"/>
  <c r="J40" i="2"/>
  <c r="F41" i="2"/>
  <c r="I41" i="2"/>
  <c r="J41" i="2"/>
  <c r="F42" i="2"/>
  <c r="I42" i="2"/>
  <c r="J42" i="2"/>
  <c r="F43" i="2"/>
  <c r="I43" i="2"/>
  <c r="J43" i="2"/>
  <c r="F44" i="2"/>
  <c r="I44" i="2"/>
  <c r="J44" i="2"/>
  <c r="F45" i="2"/>
  <c r="I45" i="2"/>
  <c r="J45" i="2"/>
  <c r="F46" i="2"/>
  <c r="I46" i="2"/>
  <c r="J46" i="2"/>
  <c r="F47" i="2"/>
  <c r="I47" i="2"/>
  <c r="J47" i="2"/>
  <c r="F48" i="2"/>
  <c r="I48" i="2"/>
  <c r="J48" i="2"/>
  <c r="F49" i="2"/>
  <c r="I49" i="2"/>
  <c r="J49" i="2"/>
  <c r="F50" i="2"/>
  <c r="I50" i="2"/>
  <c r="J50" i="2"/>
  <c r="F51" i="2"/>
  <c r="I51" i="2"/>
  <c r="J51" i="2"/>
  <c r="F52" i="2"/>
  <c r="I52" i="2"/>
  <c r="J52" i="2"/>
  <c r="F53" i="2"/>
  <c r="I53" i="2"/>
  <c r="J53" i="2"/>
  <c r="F54" i="2"/>
  <c r="I54" i="2"/>
  <c r="J54" i="2"/>
  <c r="F55" i="2"/>
  <c r="I55" i="2"/>
  <c r="J55" i="2"/>
  <c r="F56" i="2"/>
  <c r="I56" i="2"/>
  <c r="J56" i="2"/>
  <c r="F57" i="2"/>
  <c r="I57" i="2"/>
  <c r="J57" i="2"/>
  <c r="F58" i="2"/>
  <c r="I58" i="2"/>
  <c r="J58" i="2"/>
  <c r="F59" i="2"/>
  <c r="I59" i="2"/>
  <c r="J59" i="2"/>
  <c r="F60" i="2"/>
  <c r="I60" i="2"/>
  <c r="J60" i="2"/>
  <c r="F61" i="2"/>
  <c r="I61" i="2"/>
  <c r="J61" i="2"/>
  <c r="F62" i="2"/>
  <c r="I62" i="2"/>
  <c r="J62" i="2"/>
  <c r="F63" i="2"/>
  <c r="I63" i="2"/>
  <c r="J63" i="2"/>
  <c r="F64" i="2"/>
  <c r="I64" i="2"/>
  <c r="J64" i="2"/>
  <c r="F65" i="2"/>
  <c r="I65" i="2"/>
  <c r="J65" i="2"/>
  <c r="F66" i="2"/>
  <c r="I66" i="2"/>
  <c r="J66" i="2"/>
  <c r="F67" i="2"/>
  <c r="I67" i="2"/>
  <c r="J67" i="2"/>
  <c r="F68" i="2"/>
  <c r="I68" i="2"/>
  <c r="J68" i="2"/>
  <c r="F69" i="2"/>
  <c r="I69" i="2"/>
  <c r="J69" i="2"/>
  <c r="F70" i="2"/>
  <c r="I70" i="2"/>
  <c r="J70" i="2"/>
  <c r="F71" i="2"/>
  <c r="I71" i="2"/>
  <c r="J71" i="2"/>
  <c r="F72" i="2"/>
  <c r="I72" i="2"/>
  <c r="J72" i="2"/>
  <c r="F73" i="2"/>
  <c r="I73" i="2"/>
  <c r="J73" i="2"/>
  <c r="F74" i="2"/>
  <c r="I74" i="2"/>
  <c r="J74" i="2"/>
  <c r="F75" i="2"/>
  <c r="I75" i="2"/>
  <c r="J75" i="2"/>
  <c r="F76" i="2"/>
  <c r="I76" i="2"/>
  <c r="J76" i="2"/>
  <c r="F77" i="2"/>
  <c r="I77" i="2"/>
  <c r="J77" i="2"/>
  <c r="F78" i="2"/>
  <c r="I78" i="2"/>
  <c r="J78" i="2"/>
  <c r="F79" i="2"/>
  <c r="I79" i="2"/>
  <c r="J79" i="2"/>
  <c r="F80" i="2"/>
  <c r="I80" i="2"/>
  <c r="J80" i="2"/>
  <c r="F81" i="2"/>
  <c r="I81" i="2"/>
  <c r="J81" i="2"/>
  <c r="F82" i="2"/>
  <c r="I82" i="2"/>
  <c r="J82" i="2"/>
  <c r="F83" i="2"/>
  <c r="I83" i="2"/>
  <c r="J83" i="2"/>
  <c r="F84" i="2"/>
  <c r="I84" i="2"/>
  <c r="J84" i="2"/>
  <c r="F85" i="2"/>
  <c r="I85" i="2"/>
  <c r="J85" i="2"/>
  <c r="F86" i="2"/>
  <c r="I86" i="2"/>
  <c r="J86" i="2"/>
  <c r="F87" i="2"/>
  <c r="I87" i="2"/>
  <c r="J87" i="2"/>
  <c r="F88" i="2"/>
  <c r="I88" i="2"/>
  <c r="J88" i="2"/>
  <c r="F89" i="2"/>
  <c r="I89" i="2"/>
  <c r="J89" i="2"/>
  <c r="F90" i="2"/>
  <c r="I90" i="2"/>
  <c r="J90" i="2"/>
  <c r="F91" i="2"/>
  <c r="I91" i="2"/>
  <c r="J91" i="2"/>
  <c r="F92" i="2"/>
  <c r="I92" i="2"/>
  <c r="J92" i="2"/>
  <c r="F93" i="2"/>
  <c r="I93" i="2"/>
  <c r="J93" i="2"/>
  <c r="F94" i="2"/>
  <c r="I94" i="2"/>
  <c r="J94" i="2"/>
  <c r="F95" i="2"/>
  <c r="I95" i="2"/>
  <c r="J95" i="2"/>
  <c r="F96" i="2"/>
  <c r="I96" i="2"/>
  <c r="J96" i="2"/>
  <c r="F97" i="2"/>
  <c r="I97" i="2"/>
  <c r="J97" i="2"/>
  <c r="F98" i="2"/>
  <c r="I98" i="2"/>
  <c r="J98" i="2"/>
  <c r="F99" i="2"/>
  <c r="I99" i="2"/>
  <c r="J99" i="2"/>
  <c r="F100" i="2"/>
  <c r="I100" i="2"/>
  <c r="J100" i="2"/>
  <c r="F101" i="2"/>
  <c r="I101" i="2"/>
  <c r="J101" i="2"/>
  <c r="F102" i="2"/>
  <c r="I102" i="2"/>
  <c r="J102" i="2"/>
  <c r="F103" i="2"/>
  <c r="I103" i="2"/>
  <c r="J103" i="2"/>
  <c r="F104" i="2"/>
  <c r="I104" i="2"/>
  <c r="J104" i="2"/>
  <c r="F105" i="2"/>
  <c r="I105" i="2"/>
  <c r="J105" i="2"/>
  <c r="F106" i="2"/>
  <c r="I106" i="2"/>
  <c r="J106" i="2"/>
  <c r="F107" i="2"/>
  <c r="I107" i="2"/>
  <c r="J107" i="2"/>
  <c r="F108" i="2"/>
  <c r="I108" i="2"/>
  <c r="J108" i="2"/>
  <c r="F109" i="2"/>
  <c r="I109" i="2"/>
  <c r="J109" i="2"/>
  <c r="F110" i="2"/>
  <c r="I110" i="2"/>
  <c r="J110" i="2"/>
  <c r="F111" i="2"/>
  <c r="I111" i="2"/>
  <c r="J111" i="2"/>
  <c r="F112" i="2"/>
  <c r="I112" i="2"/>
  <c r="J112" i="2"/>
  <c r="F113" i="2"/>
  <c r="I113" i="2"/>
  <c r="J113" i="2"/>
  <c r="F114" i="2"/>
  <c r="I114" i="2"/>
  <c r="J114" i="2"/>
  <c r="F115" i="2"/>
  <c r="I115" i="2"/>
  <c r="J115" i="2"/>
  <c r="F116" i="2"/>
  <c r="I116" i="2"/>
  <c r="J116" i="2"/>
  <c r="F117" i="2"/>
  <c r="I117" i="2"/>
  <c r="J117" i="2"/>
  <c r="F118" i="2"/>
  <c r="I118" i="2"/>
  <c r="J118" i="2"/>
  <c r="F119" i="2"/>
  <c r="I119" i="2"/>
  <c r="J119" i="2"/>
  <c r="F120" i="2"/>
  <c r="I120" i="2"/>
  <c r="J120" i="2"/>
  <c r="F121" i="2"/>
  <c r="I121" i="2"/>
  <c r="J121" i="2"/>
  <c r="F122" i="2"/>
  <c r="I122" i="2"/>
  <c r="J122" i="2"/>
  <c r="F123" i="2"/>
  <c r="I123" i="2"/>
  <c r="J123" i="2"/>
  <c r="F124" i="2"/>
  <c r="I124" i="2"/>
  <c r="J124" i="2"/>
  <c r="F125" i="2"/>
  <c r="I125" i="2"/>
  <c r="J125" i="2"/>
  <c r="F126" i="2"/>
  <c r="I126" i="2"/>
  <c r="J126" i="2"/>
  <c r="F127" i="2"/>
  <c r="I127" i="2"/>
  <c r="J127" i="2"/>
  <c r="F128" i="2"/>
  <c r="I128" i="2"/>
  <c r="J128" i="2"/>
  <c r="F129" i="2"/>
  <c r="I129" i="2"/>
  <c r="J129" i="2"/>
  <c r="F130" i="2"/>
  <c r="I130" i="2"/>
  <c r="J130" i="2"/>
  <c r="F131" i="2"/>
  <c r="I131" i="2"/>
  <c r="J131" i="2"/>
  <c r="F132" i="2"/>
  <c r="I132" i="2"/>
  <c r="J132" i="2"/>
  <c r="F133" i="2"/>
  <c r="I133" i="2"/>
  <c r="J133" i="2"/>
  <c r="F134" i="2"/>
  <c r="I134" i="2"/>
  <c r="J134" i="2"/>
  <c r="F135" i="2"/>
  <c r="I135" i="2"/>
  <c r="J135" i="2"/>
  <c r="F136" i="2"/>
  <c r="I136" i="2"/>
  <c r="J136" i="2"/>
  <c r="F137" i="2"/>
  <c r="I137" i="2"/>
  <c r="J137" i="2"/>
  <c r="F138" i="2"/>
  <c r="I138" i="2"/>
  <c r="J138" i="2"/>
  <c r="F139" i="2"/>
  <c r="I139" i="2"/>
  <c r="J139" i="2"/>
  <c r="F140" i="2"/>
  <c r="I140" i="2"/>
  <c r="J140" i="2"/>
  <c r="F141" i="2"/>
  <c r="I141" i="2"/>
  <c r="J141" i="2"/>
  <c r="F142" i="2"/>
  <c r="I142" i="2"/>
  <c r="J142" i="2"/>
  <c r="F143" i="2"/>
  <c r="I143" i="2"/>
  <c r="J143" i="2"/>
  <c r="F144" i="2"/>
  <c r="I144" i="2"/>
  <c r="J144" i="2"/>
  <c r="F145" i="2"/>
  <c r="I145" i="2"/>
  <c r="J145" i="2"/>
  <c r="F146" i="2"/>
  <c r="I146" i="2"/>
  <c r="J146" i="2"/>
  <c r="F147" i="2"/>
  <c r="I147" i="2"/>
  <c r="J147" i="2"/>
  <c r="F148" i="2"/>
  <c r="I148" i="2"/>
  <c r="J148" i="2"/>
  <c r="F149" i="2"/>
  <c r="I149" i="2"/>
  <c r="J149" i="2"/>
  <c r="F150" i="2"/>
  <c r="I150" i="2"/>
  <c r="J150" i="2"/>
  <c r="F151" i="2"/>
  <c r="I151" i="2"/>
  <c r="J151" i="2"/>
  <c r="F152" i="2"/>
  <c r="I152" i="2"/>
  <c r="J152" i="2"/>
  <c r="F153" i="2"/>
  <c r="I153" i="2"/>
  <c r="J153" i="2"/>
  <c r="F154" i="2"/>
  <c r="I154" i="2"/>
  <c r="F155" i="2"/>
  <c r="I155" i="2"/>
  <c r="J155" i="2"/>
  <c r="F156" i="2"/>
  <c r="I156" i="2"/>
  <c r="J156" i="2"/>
  <c r="F157" i="2"/>
  <c r="I157" i="2"/>
  <c r="J157" i="2"/>
  <c r="F158" i="2"/>
  <c r="I158" i="2"/>
  <c r="J158" i="2"/>
  <c r="F159" i="2"/>
  <c r="I159" i="2"/>
  <c r="J159" i="2"/>
  <c r="F160" i="2"/>
  <c r="I160" i="2"/>
  <c r="J160" i="2"/>
  <c r="F161" i="2"/>
  <c r="I161" i="2"/>
  <c r="J161" i="2"/>
  <c r="F162" i="2"/>
  <c r="I162" i="2"/>
  <c r="J162" i="2"/>
  <c r="F163" i="2"/>
  <c r="I163" i="2"/>
  <c r="J163" i="2"/>
  <c r="F164" i="2"/>
  <c r="I164" i="2"/>
  <c r="J164" i="2"/>
  <c r="F165" i="2"/>
  <c r="I165" i="2"/>
  <c r="J165" i="2"/>
  <c r="F166" i="2"/>
  <c r="I166" i="2"/>
  <c r="J166" i="2"/>
  <c r="F167" i="2"/>
  <c r="I167" i="2"/>
  <c r="J167" i="2"/>
  <c r="F168" i="2"/>
  <c r="I168" i="2"/>
  <c r="J168" i="2"/>
  <c r="F169" i="2"/>
  <c r="I169" i="2"/>
  <c r="J169" i="2"/>
  <c r="F170" i="2"/>
  <c r="I170" i="2"/>
  <c r="J170" i="2"/>
  <c r="F171" i="2"/>
  <c r="I171" i="2"/>
  <c r="J171" i="2"/>
  <c r="F172" i="2"/>
  <c r="I172" i="2"/>
  <c r="J172" i="2"/>
  <c r="F173" i="2"/>
  <c r="I173" i="2"/>
  <c r="J173" i="2"/>
  <c r="F174" i="2"/>
  <c r="F175" i="2"/>
  <c r="I175" i="2"/>
  <c r="J175" i="2"/>
  <c r="F176" i="2"/>
  <c r="I176" i="2"/>
  <c r="J176" i="2"/>
  <c r="F177" i="2"/>
  <c r="I177" i="2"/>
  <c r="J177" i="2"/>
  <c r="F178" i="2"/>
  <c r="I178" i="2"/>
  <c r="J178" i="2"/>
  <c r="F179" i="2"/>
  <c r="I179" i="2"/>
  <c r="J179" i="2"/>
  <c r="F180" i="2"/>
  <c r="I180" i="2"/>
  <c r="J180" i="2"/>
  <c r="F181" i="2"/>
  <c r="I181" i="2"/>
  <c r="J181" i="2"/>
  <c r="F182" i="2"/>
  <c r="I182" i="2"/>
  <c r="J182" i="2"/>
  <c r="F183" i="2"/>
  <c r="I183" i="2"/>
  <c r="J183" i="2"/>
  <c r="F184" i="2"/>
  <c r="I184" i="2"/>
  <c r="J184" i="2"/>
  <c r="F185" i="2"/>
  <c r="I185" i="2"/>
  <c r="J185" i="2"/>
  <c r="F186" i="2"/>
  <c r="I186" i="2"/>
  <c r="J186" i="2"/>
  <c r="F187" i="2"/>
  <c r="I187" i="2"/>
  <c r="J187" i="2"/>
  <c r="F188" i="2"/>
  <c r="I188" i="2"/>
  <c r="J188" i="2"/>
  <c r="F189" i="2"/>
  <c r="I189" i="2"/>
  <c r="J189" i="2"/>
  <c r="F190" i="2"/>
  <c r="I190" i="2"/>
  <c r="J190" i="2"/>
  <c r="F191" i="2"/>
  <c r="I191" i="2"/>
  <c r="J191" i="2"/>
  <c r="F192" i="2"/>
  <c r="I192" i="2"/>
  <c r="J192" i="2"/>
  <c r="F193" i="2"/>
  <c r="I193" i="2"/>
  <c r="J193" i="2"/>
  <c r="F194" i="2"/>
  <c r="I194" i="2"/>
  <c r="J194" i="2"/>
  <c r="F195" i="2"/>
  <c r="I195" i="2"/>
  <c r="J195" i="2"/>
  <c r="F196" i="2"/>
  <c r="I196" i="2"/>
  <c r="J196" i="2"/>
  <c r="F197" i="2"/>
  <c r="I197" i="2"/>
  <c r="J197" i="2"/>
  <c r="F198" i="2"/>
  <c r="I198" i="2"/>
  <c r="J198" i="2"/>
  <c r="F199" i="2"/>
  <c r="I199" i="2"/>
  <c r="J199" i="2"/>
  <c r="F200" i="2"/>
  <c r="I200" i="2"/>
  <c r="J200" i="2"/>
  <c r="F201" i="2"/>
  <c r="I201" i="2"/>
  <c r="J201" i="2"/>
  <c r="F202" i="2"/>
  <c r="I202" i="2"/>
  <c r="J202" i="2"/>
  <c r="F203" i="2"/>
  <c r="I203" i="2"/>
  <c r="J203" i="2"/>
  <c r="F204" i="2"/>
  <c r="I204" i="2"/>
  <c r="J204" i="2"/>
  <c r="F205" i="2"/>
  <c r="I205" i="2"/>
  <c r="J205" i="2"/>
  <c r="F206" i="2"/>
  <c r="I206" i="2"/>
  <c r="J206" i="2"/>
  <c r="F207" i="2"/>
  <c r="I207" i="2"/>
  <c r="J207" i="2"/>
  <c r="F209" i="2"/>
  <c r="I209" i="2"/>
  <c r="J209" i="2"/>
  <c r="F210" i="2"/>
  <c r="I210" i="2"/>
  <c r="J210" i="2"/>
  <c r="F211" i="2"/>
  <c r="I211" i="2"/>
  <c r="J211" i="2"/>
  <c r="F212" i="2"/>
  <c r="I212" i="2"/>
  <c r="J212" i="2"/>
  <c r="F213" i="2"/>
  <c r="I213" i="2"/>
  <c r="J213" i="2"/>
  <c r="F214" i="2"/>
  <c r="I214" i="2"/>
  <c r="F215" i="2"/>
  <c r="I215" i="2"/>
  <c r="J215" i="2"/>
  <c r="F216" i="2"/>
  <c r="I216" i="2"/>
  <c r="J216" i="2"/>
  <c r="F217" i="2"/>
  <c r="I217" i="2"/>
  <c r="J217" i="2"/>
  <c r="F218" i="2"/>
  <c r="I218" i="2"/>
  <c r="J218" i="2"/>
  <c r="F219" i="2"/>
  <c r="I219" i="2"/>
  <c r="J219" i="2"/>
  <c r="F220" i="2"/>
  <c r="I220" i="2"/>
  <c r="J220" i="2"/>
  <c r="F221" i="2"/>
  <c r="I221" i="2"/>
  <c r="J221" i="2"/>
  <c r="F222" i="2"/>
  <c r="I222" i="2"/>
  <c r="J222" i="2"/>
  <c r="F223" i="2"/>
  <c r="I223" i="2"/>
  <c r="J223" i="2"/>
  <c r="F224" i="2"/>
  <c r="I224" i="2"/>
  <c r="J224" i="2"/>
  <c r="F225" i="2"/>
  <c r="I225" i="2"/>
  <c r="J225" i="2"/>
  <c r="F226" i="2"/>
  <c r="I226" i="2"/>
  <c r="J226" i="2"/>
  <c r="F227" i="2"/>
  <c r="I227" i="2"/>
  <c r="J227" i="2"/>
  <c r="F228" i="2"/>
  <c r="I228" i="2"/>
  <c r="J228" i="2"/>
  <c r="F229" i="2"/>
  <c r="I229" i="2"/>
  <c r="J229" i="2"/>
  <c r="F230" i="2"/>
  <c r="I230" i="2"/>
  <c r="J230" i="2"/>
  <c r="F231" i="2"/>
  <c r="I231" i="2"/>
  <c r="J231" i="2"/>
  <c r="F232" i="2"/>
  <c r="I232" i="2"/>
  <c r="J232" i="2"/>
  <c r="F233" i="2"/>
  <c r="I233" i="2"/>
  <c r="J233" i="2"/>
  <c r="F234" i="2"/>
  <c r="I234" i="2"/>
  <c r="J234" i="2"/>
  <c r="F235" i="2"/>
  <c r="I235" i="2"/>
  <c r="J235" i="2"/>
  <c r="F236" i="2"/>
  <c r="I236" i="2"/>
  <c r="J236" i="2"/>
  <c r="F237" i="2"/>
  <c r="I237" i="2"/>
  <c r="J237" i="2"/>
  <c r="F238" i="2"/>
  <c r="I238" i="2"/>
  <c r="J238" i="2"/>
  <c r="F239" i="2"/>
  <c r="I239" i="2"/>
  <c r="J239" i="2"/>
  <c r="F240" i="2"/>
  <c r="I240" i="2"/>
  <c r="J240" i="2"/>
  <c r="F241" i="2"/>
  <c r="I241" i="2"/>
  <c r="J241" i="2"/>
  <c r="F242" i="2"/>
  <c r="I242" i="2"/>
  <c r="J242" i="2"/>
  <c r="F243" i="2"/>
  <c r="I243" i="2"/>
  <c r="J243" i="2"/>
  <c r="F244" i="2"/>
  <c r="I244" i="2"/>
  <c r="J244" i="2"/>
  <c r="F245" i="2"/>
  <c r="I245" i="2"/>
  <c r="J245" i="2"/>
  <c r="F246" i="2"/>
  <c r="I246" i="2"/>
  <c r="J246" i="2"/>
  <c r="F247" i="2"/>
  <c r="I247" i="2"/>
  <c r="J247" i="2"/>
  <c r="F248" i="2"/>
  <c r="I248" i="2"/>
  <c r="J248" i="2"/>
  <c r="F249" i="2"/>
  <c r="I249" i="2"/>
  <c r="J249" i="2"/>
  <c r="F250" i="2"/>
  <c r="I250" i="2"/>
  <c r="J250" i="2"/>
  <c r="F251" i="2"/>
  <c r="I251" i="2"/>
  <c r="J251" i="2"/>
  <c r="F252" i="2"/>
  <c r="I252" i="2"/>
  <c r="J252" i="2"/>
  <c r="F253" i="2"/>
  <c r="I253" i="2"/>
  <c r="J253" i="2"/>
  <c r="F254" i="2"/>
  <c r="I254" i="2"/>
  <c r="J254" i="2"/>
  <c r="F255" i="2"/>
  <c r="I255" i="2"/>
  <c r="J255" i="2"/>
  <c r="F256" i="2"/>
  <c r="I256" i="2"/>
  <c r="J256" i="2"/>
  <c r="F257" i="2"/>
  <c r="I257" i="2"/>
  <c r="J257" i="2"/>
  <c r="F258" i="2"/>
  <c r="I258" i="2"/>
  <c r="J258" i="2"/>
  <c r="F259" i="2"/>
  <c r="I259" i="2"/>
  <c r="J259" i="2"/>
  <c r="F260" i="2"/>
  <c r="I260" i="2"/>
  <c r="J260" i="2"/>
  <c r="F261" i="2"/>
  <c r="I261" i="2"/>
  <c r="J261" i="2"/>
  <c r="F262" i="2"/>
  <c r="I262" i="2"/>
  <c r="J262" i="2"/>
  <c r="F263" i="2"/>
  <c r="I263" i="2"/>
  <c r="J263" i="2"/>
  <c r="F264" i="2"/>
  <c r="I264" i="2"/>
  <c r="J264" i="2"/>
  <c r="F265" i="2"/>
  <c r="I265" i="2"/>
  <c r="J265" i="2"/>
  <c r="F266" i="2"/>
  <c r="I266" i="2"/>
  <c r="J266" i="2"/>
  <c r="F267" i="2"/>
  <c r="I267" i="2"/>
  <c r="J267" i="2"/>
  <c r="F268" i="2"/>
  <c r="I268" i="2"/>
  <c r="J268" i="2"/>
  <c r="F269" i="2"/>
  <c r="I269" i="2"/>
  <c r="J269" i="2"/>
  <c r="F270" i="2"/>
  <c r="I270" i="2"/>
  <c r="J270" i="2"/>
  <c r="F271" i="2"/>
  <c r="I271" i="2"/>
  <c r="J271" i="2"/>
  <c r="F272" i="2"/>
  <c r="I272" i="2"/>
  <c r="J272" i="2"/>
  <c r="F273" i="2"/>
  <c r="I273" i="2"/>
  <c r="J273" i="2"/>
  <c r="F274" i="2"/>
  <c r="I274" i="2"/>
  <c r="J274" i="2"/>
  <c r="F276" i="2"/>
  <c r="I276" i="2"/>
  <c r="J276" i="2"/>
  <c r="F277" i="2"/>
  <c r="I277" i="2"/>
  <c r="J277" i="2"/>
  <c r="F278" i="2"/>
  <c r="I278" i="2"/>
  <c r="J278" i="2"/>
  <c r="F279" i="2"/>
  <c r="I279" i="2"/>
  <c r="J279" i="2"/>
  <c r="F280" i="2"/>
  <c r="I280" i="2"/>
  <c r="J280" i="2"/>
  <c r="F281" i="2"/>
  <c r="I281" i="2"/>
  <c r="J281" i="2"/>
  <c r="F282" i="2"/>
  <c r="I282" i="2"/>
  <c r="J282" i="2"/>
  <c r="F283" i="2"/>
  <c r="I283" i="2"/>
  <c r="J283" i="2"/>
  <c r="F284" i="2"/>
  <c r="I284" i="2"/>
  <c r="J284" i="2"/>
  <c r="F285" i="2"/>
  <c r="I285" i="2"/>
  <c r="J285" i="2"/>
  <c r="F286" i="2"/>
  <c r="I286" i="2"/>
  <c r="J286" i="2"/>
  <c r="F287" i="2"/>
  <c r="I287" i="2"/>
  <c r="J287" i="2"/>
  <c r="F288" i="2"/>
  <c r="I288" i="2"/>
  <c r="J288" i="2"/>
  <c r="F289" i="2"/>
  <c r="I289" i="2"/>
  <c r="J289" i="2"/>
  <c r="F290" i="2"/>
  <c r="I290" i="2"/>
  <c r="J290" i="2"/>
  <c r="F291" i="2"/>
  <c r="I291" i="2"/>
  <c r="J291" i="2"/>
  <c r="F292" i="2"/>
  <c r="I292" i="2"/>
  <c r="J292" i="2"/>
  <c r="F293" i="2"/>
  <c r="I293" i="2"/>
  <c r="J293" i="2"/>
  <c r="F294" i="2"/>
  <c r="I294" i="2"/>
  <c r="J294" i="2"/>
  <c r="F295" i="2"/>
  <c r="I295" i="2"/>
  <c r="J295" i="2"/>
  <c r="F296" i="2"/>
  <c r="I296" i="2"/>
  <c r="J296" i="2"/>
  <c r="F297" i="2"/>
  <c r="I297" i="2"/>
  <c r="J297" i="2"/>
  <c r="F298" i="2"/>
  <c r="I298" i="2"/>
  <c r="J298" i="2"/>
  <c r="F299" i="2"/>
  <c r="I299" i="2"/>
  <c r="J299" i="2"/>
  <c r="F300" i="2"/>
  <c r="I300" i="2"/>
  <c r="J300" i="2"/>
  <c r="F301" i="2"/>
  <c r="F302" i="2"/>
  <c r="I302" i="2"/>
  <c r="J302" i="2"/>
  <c r="G251" i="1"/>
  <c r="G256" i="1"/>
  <c r="G241" i="1"/>
  <c r="G229" i="1"/>
  <c r="K251" i="1"/>
  <c r="K256" i="1"/>
  <c r="K241" i="1"/>
  <c r="K229" i="1"/>
  <c r="L251" i="1"/>
  <c r="L256" i="1"/>
  <c r="L241" i="1"/>
  <c r="L229" i="1"/>
  <c r="G250" i="1" l="1"/>
  <c r="G252" i="1"/>
  <c r="G253" i="1"/>
  <c r="G259" i="1"/>
  <c r="G260" i="1"/>
  <c r="G228" i="1"/>
  <c r="G236" i="1"/>
  <c r="G254" i="1"/>
  <c r="G255" i="1"/>
  <c r="G243" i="1"/>
  <c r="K250" i="1"/>
  <c r="K252" i="1"/>
  <c r="K253" i="1"/>
  <c r="K259" i="1"/>
  <c r="K260" i="1"/>
  <c r="K228" i="1"/>
  <c r="K236" i="1"/>
  <c r="K254" i="1"/>
  <c r="K255" i="1"/>
  <c r="K243" i="1"/>
  <c r="L250" i="1"/>
  <c r="L252" i="1"/>
  <c r="L253" i="1"/>
  <c r="L259" i="1"/>
  <c r="L260" i="1"/>
  <c r="L228" i="1"/>
  <c r="L236" i="1"/>
  <c r="L254" i="1"/>
  <c r="L255" i="1"/>
  <c r="L243" i="1"/>
  <c r="G247" i="1"/>
  <c r="G248" i="1"/>
  <c r="G249" i="1"/>
  <c r="K247" i="1"/>
  <c r="K248" i="1"/>
  <c r="K249" i="1"/>
  <c r="L247" i="1"/>
  <c r="L248" i="1"/>
  <c r="L249" i="1"/>
  <c r="G240" i="1"/>
  <c r="G244" i="1"/>
  <c r="G245" i="1"/>
  <c r="G246" i="1"/>
  <c r="K240" i="1"/>
  <c r="K244" i="1"/>
  <c r="K245" i="1"/>
  <c r="K246" i="1"/>
  <c r="L240" i="1"/>
  <c r="L244" i="1"/>
  <c r="L245" i="1"/>
  <c r="L246" i="1"/>
  <c r="G234" i="1"/>
  <c r="G235" i="1"/>
  <c r="G238" i="1"/>
  <c r="G242" i="1"/>
  <c r="G239" i="1"/>
  <c r="K234" i="1"/>
  <c r="K235" i="1"/>
  <c r="K238" i="1"/>
  <c r="K242" i="1"/>
  <c r="K239" i="1"/>
  <c r="L234" i="1"/>
  <c r="L235" i="1"/>
  <c r="L238" i="1"/>
  <c r="L242" i="1"/>
  <c r="L239" i="1"/>
  <c r="G208" i="1" l="1"/>
  <c r="G209" i="1"/>
  <c r="G212" i="1"/>
  <c r="G213" i="1"/>
  <c r="G231" i="1"/>
  <c r="G232" i="1"/>
  <c r="G233" i="1"/>
  <c r="K208" i="1"/>
  <c r="K209" i="1"/>
  <c r="K212" i="1"/>
  <c r="K213" i="1"/>
  <c r="K231" i="1"/>
  <c r="K232" i="1"/>
  <c r="K233" i="1"/>
  <c r="L208" i="1"/>
  <c r="L209" i="1"/>
  <c r="L212" i="1"/>
  <c r="L213" i="1"/>
  <c r="L231" i="1"/>
  <c r="L232" i="1"/>
  <c r="L233" i="1"/>
  <c r="G205" i="1" l="1"/>
  <c r="G203" i="1"/>
  <c r="G204" i="1"/>
  <c r="G206" i="1"/>
  <c r="G207" i="1"/>
  <c r="G210" i="1"/>
  <c r="G214" i="1"/>
  <c r="G216" i="1"/>
  <c r="G217" i="1"/>
  <c r="G224" i="1"/>
  <c r="G221" i="1"/>
  <c r="G222" i="1"/>
  <c r="G223" i="1"/>
  <c r="G225" i="1"/>
  <c r="G226" i="1"/>
  <c r="G227" i="1"/>
  <c r="G180" i="1"/>
  <c r="G218" i="1"/>
  <c r="G186" i="1"/>
  <c r="G193" i="1"/>
  <c r="G194" i="1"/>
  <c r="G195" i="1"/>
  <c r="G211" i="1"/>
  <c r="G215" i="1"/>
  <c r="G219" i="1"/>
  <c r="G220" i="1"/>
  <c r="G196" i="1"/>
  <c r="G183" i="1"/>
  <c r="G187" i="1"/>
  <c r="K203" i="1"/>
  <c r="K204" i="1"/>
  <c r="K205" i="1"/>
  <c r="K206" i="1"/>
  <c r="K207" i="1"/>
  <c r="K210" i="1"/>
  <c r="K214" i="1"/>
  <c r="K216" i="1"/>
  <c r="K217" i="1"/>
  <c r="K224" i="1"/>
  <c r="K221" i="1"/>
  <c r="K222" i="1"/>
  <c r="K223" i="1"/>
  <c r="K225" i="1"/>
  <c r="K226" i="1"/>
  <c r="K227" i="1"/>
  <c r="K180" i="1"/>
  <c r="K218" i="1"/>
  <c r="K186" i="1"/>
  <c r="K193" i="1"/>
  <c r="K194" i="1"/>
  <c r="K195" i="1"/>
  <c r="K211" i="1"/>
  <c r="K215" i="1"/>
  <c r="K219" i="1"/>
  <c r="K220" i="1"/>
  <c r="K196" i="1"/>
  <c r="K183" i="1"/>
  <c r="K187" i="1"/>
  <c r="L203" i="1"/>
  <c r="L204" i="1"/>
  <c r="L205" i="1"/>
  <c r="L206" i="1"/>
  <c r="L207" i="1"/>
  <c r="L210" i="1"/>
  <c r="L214" i="1"/>
  <c r="L216" i="1"/>
  <c r="L217" i="1"/>
  <c r="L224" i="1"/>
  <c r="L221" i="1"/>
  <c r="L222" i="1"/>
  <c r="L223" i="1"/>
  <c r="L225" i="1"/>
  <c r="L226" i="1"/>
  <c r="L227" i="1"/>
  <c r="L180" i="1"/>
  <c r="L218" i="1"/>
  <c r="L186" i="1"/>
  <c r="L193" i="1"/>
  <c r="L194" i="1"/>
  <c r="L195" i="1"/>
  <c r="L211" i="1"/>
  <c r="L215" i="1"/>
  <c r="L219" i="1"/>
  <c r="L220" i="1"/>
  <c r="L196" i="1"/>
  <c r="L183" i="1"/>
  <c r="L187" i="1"/>
  <c r="G188" i="1" l="1"/>
  <c r="G189" i="1"/>
  <c r="G190" i="1"/>
  <c r="G191" i="1"/>
  <c r="G192" i="1"/>
  <c r="G197" i="1"/>
  <c r="G198" i="1"/>
  <c r="G199" i="1"/>
  <c r="G200" i="1"/>
  <c r="G201" i="1"/>
  <c r="G202" i="1"/>
  <c r="K188" i="1"/>
  <c r="K189" i="1"/>
  <c r="K190" i="1"/>
  <c r="K191" i="1"/>
  <c r="K192" i="1"/>
  <c r="K197" i="1"/>
  <c r="K198" i="1"/>
  <c r="K199" i="1"/>
  <c r="K200" i="1"/>
  <c r="K201" i="1"/>
  <c r="K202" i="1"/>
  <c r="L188" i="1"/>
  <c r="L189" i="1"/>
  <c r="L190" i="1"/>
  <c r="L191" i="1"/>
  <c r="L192" i="1"/>
  <c r="L197" i="1"/>
  <c r="L198" i="1"/>
  <c r="L199" i="1"/>
  <c r="L200" i="1"/>
  <c r="L201" i="1"/>
  <c r="L202" i="1"/>
  <c r="G148" i="1" l="1"/>
  <c r="G114" i="1"/>
  <c r="G140" i="1"/>
  <c r="G143" i="1"/>
  <c r="G149" i="1"/>
  <c r="K148" i="1"/>
  <c r="K114" i="1"/>
  <c r="K140" i="1"/>
  <c r="K143" i="1"/>
  <c r="K149" i="1"/>
  <c r="L148" i="1"/>
  <c r="L114" i="1"/>
  <c r="L140" i="1"/>
  <c r="L143" i="1"/>
  <c r="L149" i="1"/>
  <c r="G65" i="8" l="1"/>
  <c r="G66" i="8"/>
  <c r="G67" i="8"/>
  <c r="G69" i="8"/>
  <c r="G68" i="8"/>
  <c r="G70" i="8"/>
  <c r="G71" i="8"/>
  <c r="G72" i="8"/>
  <c r="H65" i="8"/>
  <c r="H66" i="8"/>
  <c r="H67" i="8"/>
  <c r="H69" i="8"/>
  <c r="H68" i="8"/>
  <c r="H70" i="8"/>
  <c r="H71" i="8"/>
  <c r="H72" i="8"/>
  <c r="G47" i="8"/>
  <c r="G54" i="8"/>
  <c r="G62" i="8"/>
  <c r="G64" i="8"/>
  <c r="H47" i="8"/>
  <c r="H54" i="8"/>
  <c r="H62" i="8"/>
  <c r="H64" i="8"/>
  <c r="G150" i="1"/>
  <c r="G151" i="1"/>
  <c r="G152" i="1"/>
  <c r="G155" i="1"/>
  <c r="G158" i="1"/>
  <c r="G159" i="1"/>
  <c r="G185" i="1"/>
  <c r="G160" i="1"/>
  <c r="G163" i="1"/>
  <c r="G164" i="1"/>
  <c r="G165" i="1"/>
  <c r="G166" i="1"/>
  <c r="G167" i="1"/>
  <c r="G168" i="1"/>
  <c r="G169" i="1"/>
  <c r="G170" i="1"/>
  <c r="G171" i="1"/>
  <c r="G175" i="1"/>
  <c r="G176" i="1"/>
  <c r="G177" i="1"/>
  <c r="G181" i="1"/>
  <c r="G182" i="1"/>
  <c r="G184" i="1"/>
  <c r="G139" i="1"/>
  <c r="G141" i="1"/>
  <c r="G153" i="1"/>
  <c r="G154" i="1"/>
  <c r="G156" i="1"/>
  <c r="G157" i="1"/>
  <c r="G172" i="1"/>
  <c r="G173" i="1"/>
  <c r="G178" i="1"/>
  <c r="G161" i="1"/>
  <c r="G162" i="1"/>
  <c r="G174" i="1"/>
  <c r="G179" i="1"/>
  <c r="G133" i="1"/>
  <c r="G147" i="1"/>
  <c r="G134" i="1"/>
  <c r="G142" i="1"/>
  <c r="K150" i="1"/>
  <c r="K151" i="1"/>
  <c r="K152" i="1"/>
  <c r="K155" i="1"/>
  <c r="K158" i="1"/>
  <c r="K159" i="1"/>
  <c r="K185" i="1"/>
  <c r="K160" i="1"/>
  <c r="K163" i="1"/>
  <c r="K164" i="1"/>
  <c r="K165" i="1"/>
  <c r="K166" i="1"/>
  <c r="K167" i="1"/>
  <c r="K168" i="1"/>
  <c r="K169" i="1"/>
  <c r="K170" i="1"/>
  <c r="K171" i="1"/>
  <c r="K175" i="1"/>
  <c r="K176" i="1"/>
  <c r="K177" i="1"/>
  <c r="K181" i="1"/>
  <c r="K182" i="1"/>
  <c r="K184" i="1"/>
  <c r="K139" i="1"/>
  <c r="K141" i="1"/>
  <c r="K153" i="1"/>
  <c r="K154" i="1"/>
  <c r="K156" i="1"/>
  <c r="K157" i="1"/>
  <c r="K172" i="1"/>
  <c r="K173" i="1"/>
  <c r="K178" i="1"/>
  <c r="K161" i="1"/>
  <c r="K162" i="1"/>
  <c r="K174" i="1"/>
  <c r="K179" i="1"/>
  <c r="K133" i="1"/>
  <c r="K147" i="1"/>
  <c r="K134" i="1"/>
  <c r="K142" i="1"/>
  <c r="L150" i="1"/>
  <c r="L151" i="1"/>
  <c r="L152" i="1"/>
  <c r="L155" i="1"/>
  <c r="L158" i="1"/>
  <c r="L159" i="1"/>
  <c r="L185" i="1"/>
  <c r="L160" i="1"/>
  <c r="L163" i="1"/>
  <c r="L164" i="1"/>
  <c r="L165" i="1"/>
  <c r="L166" i="1"/>
  <c r="L167" i="1"/>
  <c r="L168" i="1"/>
  <c r="L169" i="1"/>
  <c r="L170" i="1"/>
  <c r="L171" i="1"/>
  <c r="L175" i="1"/>
  <c r="L176" i="1"/>
  <c r="L177" i="1"/>
  <c r="L181" i="1"/>
  <c r="L182" i="1"/>
  <c r="L184" i="1"/>
  <c r="L139" i="1"/>
  <c r="L141" i="1"/>
  <c r="L153" i="1"/>
  <c r="L154" i="1"/>
  <c r="L156" i="1"/>
  <c r="L157" i="1"/>
  <c r="L172" i="1"/>
  <c r="L173" i="1"/>
  <c r="L178" i="1"/>
  <c r="L161" i="1"/>
  <c r="L162" i="1"/>
  <c r="L174" i="1"/>
  <c r="L179" i="1"/>
  <c r="L133" i="1"/>
  <c r="L147" i="1"/>
  <c r="L134" i="1"/>
  <c r="L142" i="1"/>
  <c r="G48" i="8"/>
  <c r="G45" i="8"/>
  <c r="G46" i="8"/>
  <c r="G42" i="8"/>
  <c r="G43" i="8"/>
  <c r="G44" i="8"/>
  <c r="G56" i="8"/>
  <c r="G57" i="8"/>
  <c r="G63" i="8"/>
  <c r="H48" i="8"/>
  <c r="H45" i="8"/>
  <c r="H46" i="8"/>
  <c r="H42" i="8"/>
  <c r="H43" i="8"/>
  <c r="H44" i="8"/>
  <c r="H56" i="8"/>
  <c r="H57" i="8"/>
  <c r="H63" i="8"/>
  <c r="G58" i="8"/>
  <c r="G50" i="8"/>
  <c r="G52" i="8"/>
  <c r="G53" i="8"/>
  <c r="G51" i="8"/>
  <c r="G49" i="8"/>
  <c r="G59" i="8"/>
  <c r="G60" i="8"/>
  <c r="G55" i="8"/>
  <c r="H58" i="8"/>
  <c r="H50" i="8"/>
  <c r="H52" i="8"/>
  <c r="H53" i="8"/>
  <c r="H51" i="8"/>
  <c r="H49" i="8"/>
  <c r="H59" i="8"/>
  <c r="H60" i="8"/>
  <c r="H55" i="8"/>
  <c r="G85" i="1"/>
  <c r="G144" i="1"/>
  <c r="K85" i="1"/>
  <c r="K144" i="1"/>
  <c r="K145" i="1"/>
  <c r="K146" i="1"/>
  <c r="L85" i="1"/>
  <c r="L144" i="1"/>
  <c r="L145" i="1"/>
  <c r="L146" i="1"/>
  <c r="G138" i="1"/>
  <c r="G84" i="1"/>
  <c r="K138" i="1"/>
  <c r="K84" i="1"/>
  <c r="L138" i="1"/>
  <c r="L84" i="1"/>
  <c r="G137" i="1"/>
  <c r="K137" i="1"/>
  <c r="L137" i="1"/>
  <c r="G136" i="1"/>
  <c r="K136" i="1"/>
  <c r="L136" i="1"/>
  <c r="G135" i="1"/>
  <c r="K135" i="1"/>
  <c r="L135" i="1"/>
  <c r="G132" i="1"/>
  <c r="K132" i="1"/>
  <c r="L132" i="1"/>
  <c r="G127" i="1"/>
  <c r="K127" i="1"/>
  <c r="L127" i="1"/>
  <c r="G121" i="1"/>
  <c r="G122" i="1"/>
  <c r="G123" i="1"/>
  <c r="G124" i="1"/>
  <c r="G125" i="1"/>
  <c r="G126" i="1"/>
  <c r="K121" i="1"/>
  <c r="K122" i="1"/>
  <c r="K123" i="1"/>
  <c r="K124" i="1"/>
  <c r="K125" i="1"/>
  <c r="K126" i="1"/>
  <c r="L121" i="1"/>
  <c r="L122" i="1"/>
  <c r="L123" i="1"/>
  <c r="L124" i="1"/>
  <c r="L125" i="1"/>
  <c r="L126" i="1"/>
  <c r="K117" i="1" l="1"/>
  <c r="K118" i="1"/>
  <c r="K128" i="1"/>
  <c r="K129" i="1"/>
  <c r="K130" i="1"/>
  <c r="K131" i="1"/>
  <c r="K119" i="1"/>
  <c r="K120" i="1"/>
  <c r="L117" i="1"/>
  <c r="L118" i="1"/>
  <c r="L128" i="1"/>
  <c r="L129" i="1"/>
  <c r="L130" i="1"/>
  <c r="L131" i="1"/>
  <c r="L119" i="1"/>
  <c r="L120" i="1"/>
  <c r="G116" i="1"/>
  <c r="G117" i="1"/>
  <c r="G118" i="1"/>
  <c r="G128" i="1"/>
  <c r="G129" i="1"/>
  <c r="G130" i="1"/>
  <c r="G131" i="1"/>
  <c r="G119" i="1"/>
  <c r="G120" i="1"/>
  <c r="K116" i="1"/>
  <c r="L116" i="1"/>
  <c r="G115" i="1"/>
  <c r="K115" i="1"/>
  <c r="L115" i="1"/>
  <c r="G112" i="1"/>
  <c r="G89" i="1" l="1"/>
  <c r="G90" i="1"/>
  <c r="G92" i="1"/>
  <c r="G93" i="1"/>
  <c r="G5" i="1"/>
  <c r="G17" i="1"/>
  <c r="G24" i="1"/>
  <c r="G21" i="1"/>
  <c r="G67" i="1"/>
  <c r="G98" i="1"/>
  <c r="G95" i="1"/>
  <c r="G96" i="1"/>
  <c r="G94" i="1"/>
  <c r="G91" i="1"/>
  <c r="G28" i="1"/>
  <c r="G51" i="1"/>
  <c r="G97" i="1"/>
  <c r="G100" i="1"/>
  <c r="G101" i="1"/>
  <c r="G102" i="1"/>
  <c r="G103" i="1"/>
  <c r="G104" i="1"/>
  <c r="G105" i="1"/>
  <c r="G106" i="1"/>
  <c r="G107" i="1"/>
  <c r="G108" i="1"/>
  <c r="G4" i="1"/>
  <c r="L37" i="1" l="1"/>
  <c r="L39" i="1"/>
  <c r="L36" i="1"/>
  <c r="K37" i="1"/>
  <c r="K39" i="1"/>
  <c r="L81" i="1"/>
  <c r="L82" i="1"/>
  <c r="L80" i="1"/>
  <c r="L4" i="1"/>
  <c r="L89" i="1"/>
  <c r="L90" i="1"/>
  <c r="L92" i="1"/>
  <c r="L93" i="1"/>
  <c r="L5" i="1"/>
  <c r="L17" i="1"/>
  <c r="L24" i="1"/>
  <c r="L21" i="1"/>
  <c r="L67" i="1"/>
  <c r="L98" i="1"/>
  <c r="L95" i="1"/>
  <c r="L96" i="1"/>
  <c r="L94" i="1"/>
  <c r="L91" i="1"/>
  <c r="L28" i="1"/>
  <c r="L51" i="1"/>
  <c r="L97" i="1"/>
  <c r="L100" i="1"/>
  <c r="L101" i="1"/>
  <c r="L102" i="1"/>
  <c r="L103" i="1"/>
  <c r="L104" i="1"/>
  <c r="L105" i="1"/>
  <c r="L106" i="1"/>
  <c r="L107" i="1"/>
  <c r="L108" i="1"/>
  <c r="L109" i="1"/>
  <c r="L111" i="1"/>
  <c r="L112" i="1"/>
  <c r="L113" i="1"/>
  <c r="L87" i="1"/>
  <c r="L88" i="1"/>
  <c r="L99" i="1"/>
  <c r="L110" i="1"/>
  <c r="K81" i="1"/>
  <c r="K82" i="1"/>
  <c r="K80" i="1"/>
  <c r="K4" i="1"/>
  <c r="K89" i="1"/>
  <c r="K90" i="1"/>
  <c r="K92" i="1"/>
  <c r="K93" i="1"/>
  <c r="K5" i="1"/>
  <c r="K17" i="1"/>
  <c r="K24" i="1"/>
  <c r="K21" i="1"/>
  <c r="K67" i="1"/>
  <c r="K98" i="1"/>
  <c r="K95" i="1"/>
  <c r="K96" i="1"/>
  <c r="K94" i="1"/>
  <c r="K91" i="1"/>
  <c r="K28" i="1"/>
  <c r="K51" i="1"/>
  <c r="K97" i="1"/>
  <c r="K100" i="1"/>
  <c r="K101" i="1"/>
  <c r="K102" i="1"/>
  <c r="K103" i="1"/>
  <c r="K104" i="1"/>
  <c r="K105" i="1"/>
  <c r="K106" i="1"/>
  <c r="K107" i="1"/>
  <c r="K108" i="1"/>
  <c r="K109" i="1"/>
  <c r="K111" i="1"/>
  <c r="K112" i="1"/>
  <c r="K113" i="1"/>
  <c r="K87" i="1"/>
  <c r="K88" i="1"/>
  <c r="K99" i="1"/>
  <c r="K110" i="1"/>
  <c r="G82" i="1"/>
  <c r="G80" i="1"/>
  <c r="G109" i="1"/>
  <c r="G111" i="1"/>
  <c r="G113" i="1"/>
  <c r="G87" i="1"/>
  <c r="G88" i="1"/>
  <c r="G99" i="1"/>
  <c r="G110" i="1"/>
  <c r="G81" i="1"/>
  <c r="L83" i="1"/>
  <c r="K83" i="1"/>
  <c r="G83" i="1"/>
  <c r="G68" i="1"/>
  <c r="K68" i="1"/>
  <c r="L68" i="1"/>
  <c r="G37" i="1"/>
  <c r="G39" i="1"/>
  <c r="G36" i="1"/>
  <c r="G8" i="1"/>
  <c r="G24" i="8"/>
  <c r="G25" i="8"/>
  <c r="G61" i="8"/>
  <c r="H24" i="8"/>
  <c r="H25" i="8"/>
  <c r="H61" i="8"/>
  <c r="G12" i="8"/>
  <c r="H12" i="8"/>
  <c r="G17" i="8"/>
  <c r="G23" i="8"/>
  <c r="H17" i="8"/>
  <c r="H23" i="8"/>
  <c r="G38" i="8"/>
  <c r="H38" i="8"/>
  <c r="G20" i="8"/>
  <c r="G28" i="8"/>
  <c r="G31" i="8"/>
  <c r="G37" i="8"/>
  <c r="H20" i="8"/>
  <c r="H28" i="8"/>
  <c r="H31" i="8"/>
  <c r="H37" i="8"/>
  <c r="G10" i="8"/>
  <c r="H10" i="8"/>
  <c r="G70" i="1"/>
  <c r="G69" i="1"/>
  <c r="G64" i="1"/>
  <c r="G65" i="1"/>
  <c r="G66" i="1"/>
  <c r="G58" i="1"/>
  <c r="G61" i="1"/>
  <c r="G63" i="1"/>
  <c r="G59" i="1"/>
  <c r="G62" i="1"/>
  <c r="G60" i="1"/>
  <c r="G57" i="1"/>
  <c r="G55" i="1"/>
  <c r="G56" i="1"/>
  <c r="G54" i="1"/>
  <c r="G53" i="1"/>
  <c r="G48" i="1"/>
  <c r="G15" i="8"/>
  <c r="G16" i="8"/>
  <c r="G27" i="8"/>
  <c r="G22" i="8"/>
  <c r="G9" i="8"/>
  <c r="H15" i="8"/>
  <c r="H16" i="8"/>
  <c r="H27" i="8"/>
  <c r="H22" i="8"/>
  <c r="H9" i="8"/>
  <c r="G34" i="8"/>
  <c r="G36" i="8"/>
  <c r="G39" i="8"/>
  <c r="G40" i="8"/>
  <c r="G41" i="8"/>
  <c r="H34" i="8"/>
  <c r="H36" i="8"/>
  <c r="H39" i="8"/>
  <c r="H40" i="8"/>
  <c r="H41" i="8"/>
  <c r="G26" i="8"/>
  <c r="G30" i="8"/>
  <c r="G29" i="8"/>
  <c r="G32" i="8"/>
  <c r="G33" i="8"/>
  <c r="G35" i="8"/>
  <c r="H26" i="8"/>
  <c r="H30" i="8"/>
  <c r="H29" i="8"/>
  <c r="H32" i="8"/>
  <c r="H33" i="8"/>
  <c r="H35" i="8"/>
  <c r="G14" i="8"/>
  <c r="G21" i="8"/>
  <c r="H14" i="8"/>
  <c r="H21" i="8"/>
  <c r="G11" i="8"/>
  <c r="G13" i="8"/>
  <c r="H11" i="8"/>
  <c r="H13" i="8"/>
  <c r="G78" i="1"/>
  <c r="K78" i="1"/>
  <c r="L78" i="1"/>
  <c r="G18" i="8"/>
  <c r="G19" i="8"/>
  <c r="H18" i="8"/>
  <c r="H19" i="8"/>
  <c r="G7" i="8"/>
  <c r="G8" i="8"/>
  <c r="H7" i="8"/>
  <c r="H8" i="8"/>
  <c r="G6" i="8"/>
  <c r="H6" i="8"/>
  <c r="G5" i="8"/>
  <c r="H5" i="8"/>
  <c r="H4" i="8"/>
  <c r="G4" i="8"/>
  <c r="G79" i="1"/>
  <c r="K79" i="1"/>
  <c r="L79" i="1"/>
  <c r="G75" i="1"/>
  <c r="K75" i="1"/>
  <c r="L75" i="1"/>
  <c r="G74" i="1"/>
  <c r="K74" i="1"/>
  <c r="L74" i="1"/>
  <c r="G76" i="1"/>
  <c r="K76" i="1"/>
  <c r="L76" i="1"/>
  <c r="C29" i="3" l="1"/>
  <c r="C28" i="3"/>
  <c r="G28" i="3"/>
  <c r="H28" i="3"/>
  <c r="D26" i="3"/>
  <c r="I28" i="3"/>
  <c r="G27" i="3"/>
  <c r="E27" i="3"/>
  <c r="J28" i="3"/>
  <c r="C26" i="3"/>
  <c r="D27" i="3"/>
  <c r="K28" i="3"/>
  <c r="D28" i="3"/>
  <c r="L28" i="3"/>
  <c r="E28" i="3"/>
  <c r="M28" i="3"/>
  <c r="F28" i="3"/>
  <c r="N28" i="3"/>
  <c r="N27" i="3"/>
  <c r="H27" i="3"/>
  <c r="I27" i="3"/>
  <c r="J27" i="3"/>
  <c r="K27" i="3"/>
  <c r="C27" i="3"/>
  <c r="L27" i="3"/>
  <c r="M27" i="3"/>
  <c r="F27" i="3"/>
  <c r="F26" i="3"/>
  <c r="N26" i="3"/>
  <c r="K26" i="3"/>
  <c r="L26" i="3"/>
  <c r="G26" i="3"/>
  <c r="M26" i="3"/>
  <c r="H26" i="3"/>
  <c r="I26" i="3"/>
  <c r="J26" i="3"/>
  <c r="E26" i="3"/>
  <c r="K22" i="1"/>
  <c r="K20" i="1"/>
  <c r="K31" i="1"/>
  <c r="K27" i="1"/>
  <c r="L22" i="1"/>
  <c r="L20" i="1"/>
  <c r="L60" i="1"/>
  <c r="K60" i="1"/>
  <c r="G71" i="1"/>
  <c r="K71" i="1"/>
  <c r="L71" i="1"/>
  <c r="G72" i="1"/>
  <c r="K72" i="1"/>
  <c r="L72" i="1"/>
  <c r="G73" i="1"/>
  <c r="K73" i="1"/>
  <c r="L73" i="1"/>
  <c r="G77" i="1"/>
  <c r="K77" i="1"/>
  <c r="L77" i="1"/>
  <c r="K70" i="1"/>
  <c r="L70" i="1"/>
  <c r="K69" i="1"/>
  <c r="L69" i="1"/>
  <c r="K64" i="1"/>
  <c r="L64" i="1"/>
  <c r="K65" i="1"/>
  <c r="L65" i="1"/>
  <c r="K66" i="1"/>
  <c r="L66" i="1"/>
  <c r="K58" i="1"/>
  <c r="L58" i="1"/>
  <c r="K61" i="1"/>
  <c r="L61" i="1"/>
  <c r="K63" i="1"/>
  <c r="L63" i="1"/>
  <c r="G22" i="1"/>
  <c r="K59" i="1"/>
  <c r="L59" i="1"/>
  <c r="K62" i="1"/>
  <c r="L62" i="1"/>
  <c r="K127" i="7"/>
  <c r="L127" i="7"/>
  <c r="G87" i="7"/>
  <c r="K87" i="7"/>
  <c r="L87" i="7"/>
  <c r="G172" i="7"/>
  <c r="G171" i="7"/>
  <c r="G170" i="7"/>
  <c r="G169" i="7"/>
  <c r="G168" i="7"/>
  <c r="G167" i="7"/>
  <c r="G166" i="7"/>
  <c r="G165" i="7"/>
  <c r="G164" i="7"/>
  <c r="G163" i="7"/>
  <c r="G162" i="7"/>
  <c r="G161" i="7"/>
  <c r="G160" i="7"/>
  <c r="G159" i="7"/>
  <c r="F195" i="7"/>
  <c r="J192" i="7"/>
  <c r="J191" i="7"/>
  <c r="J190" i="7"/>
  <c r="J189" i="7"/>
  <c r="J188" i="7"/>
  <c r="J187" i="7"/>
  <c r="J186" i="7"/>
  <c r="J183" i="7"/>
  <c r="I183" i="7"/>
  <c r="F183" i="7"/>
  <c r="J182" i="7"/>
  <c r="I182" i="7"/>
  <c r="F182" i="7"/>
  <c r="J181" i="7"/>
  <c r="I181" i="7"/>
  <c r="F181" i="7"/>
  <c r="J180" i="7"/>
  <c r="I180" i="7"/>
  <c r="F180" i="7"/>
  <c r="F179" i="7"/>
  <c r="J178" i="7"/>
  <c r="I178" i="7"/>
  <c r="F178" i="7"/>
  <c r="F177" i="7"/>
  <c r="L172" i="7"/>
  <c r="K172" i="7"/>
  <c r="L171" i="7"/>
  <c r="K171" i="7"/>
  <c r="L170" i="7"/>
  <c r="K170" i="7"/>
  <c r="L169" i="7"/>
  <c r="K169" i="7"/>
  <c r="L168" i="7"/>
  <c r="K168" i="7"/>
  <c r="L167" i="7"/>
  <c r="K167" i="7"/>
  <c r="L166" i="7"/>
  <c r="K166" i="7"/>
  <c r="L165" i="7"/>
  <c r="K165" i="7"/>
  <c r="L164" i="7"/>
  <c r="K164" i="7"/>
  <c r="L163" i="7"/>
  <c r="K163" i="7"/>
  <c r="L162" i="7"/>
  <c r="K162" i="7"/>
  <c r="L161" i="7"/>
  <c r="K161" i="7"/>
  <c r="L160" i="7"/>
  <c r="K160" i="7"/>
  <c r="L159" i="7"/>
  <c r="K159" i="7"/>
  <c r="F155" i="7"/>
  <c r="J152" i="7"/>
  <c r="J151" i="7"/>
  <c r="J150" i="7"/>
  <c r="J149" i="7"/>
  <c r="J148" i="7"/>
  <c r="J147" i="7"/>
  <c r="J146" i="7"/>
  <c r="F143" i="7"/>
  <c r="F142" i="7"/>
  <c r="F141" i="7"/>
  <c r="F140" i="7"/>
  <c r="F138" i="7"/>
  <c r="F139" i="7"/>
  <c r="F137" i="7"/>
  <c r="J143" i="7"/>
  <c r="I143" i="7"/>
  <c r="J142" i="7"/>
  <c r="I142" i="7"/>
  <c r="J141" i="7"/>
  <c r="I141" i="7"/>
  <c r="J140" i="7"/>
  <c r="I140" i="7"/>
  <c r="J138" i="7"/>
  <c r="I138" i="7"/>
  <c r="L129" i="7"/>
  <c r="K129" i="7"/>
  <c r="L128" i="7"/>
  <c r="K128" i="7"/>
  <c r="G128" i="7"/>
  <c r="L57" i="1"/>
  <c r="K57" i="1"/>
  <c r="L55" i="1"/>
  <c r="K55" i="1"/>
  <c r="L56" i="1"/>
  <c r="K56" i="1"/>
  <c r="L54" i="1"/>
  <c r="K54" i="1"/>
  <c r="L130" i="7"/>
  <c r="K130" i="7"/>
  <c r="G130" i="7"/>
  <c r="L118" i="7"/>
  <c r="K118" i="7"/>
  <c r="G118" i="7"/>
  <c r="L126" i="7"/>
  <c r="K126" i="7"/>
  <c r="L125" i="7"/>
  <c r="K125" i="7"/>
  <c r="G125" i="7"/>
  <c r="L124" i="7"/>
  <c r="K124" i="7"/>
  <c r="F184" i="7" l="1"/>
  <c r="J193" i="7"/>
  <c r="J153" i="7"/>
  <c r="G173" i="7"/>
  <c r="F144" i="7"/>
  <c r="L117" i="7"/>
  <c r="K117" i="7"/>
  <c r="G117" i="7"/>
  <c r="L132" i="7"/>
  <c r="K132" i="7"/>
  <c r="G132" i="7"/>
  <c r="L131" i="7"/>
  <c r="K131" i="7"/>
  <c r="G131" i="7"/>
  <c r="L123" i="7"/>
  <c r="K123" i="7"/>
  <c r="G123" i="7"/>
  <c r="L53" i="1"/>
  <c r="K53" i="1"/>
  <c r="K120" i="7"/>
  <c r="L120" i="7"/>
  <c r="K121" i="7"/>
  <c r="L121" i="7"/>
  <c r="G122" i="7"/>
  <c r="K122" i="7"/>
  <c r="L122" i="7"/>
  <c r="K97" i="7"/>
  <c r="L97" i="7"/>
  <c r="K92" i="7"/>
  <c r="L92" i="7"/>
  <c r="G97" i="7"/>
  <c r="G92" i="7"/>
  <c r="F107" i="7"/>
  <c r="J107" i="7"/>
  <c r="I107" i="7"/>
  <c r="F106" i="7"/>
  <c r="F105" i="7"/>
  <c r="J106" i="7"/>
  <c r="I106" i="7"/>
  <c r="J105" i="7"/>
  <c r="I105" i="7"/>
  <c r="L81" i="7"/>
  <c r="K81" i="7"/>
  <c r="G81" i="7"/>
  <c r="F187" i="7" l="1"/>
  <c r="G133" i="7"/>
  <c r="F147" i="7" s="1"/>
  <c r="F102" i="7"/>
  <c r="F103" i="7"/>
  <c r="F104" i="7"/>
  <c r="F101" i="7"/>
  <c r="F108" i="7" s="1"/>
  <c r="J104" i="7"/>
  <c r="I104" i="7"/>
  <c r="J103" i="7"/>
  <c r="I103" i="7"/>
  <c r="J102" i="7"/>
  <c r="I102" i="7"/>
  <c r="J101" i="7"/>
  <c r="I101" i="7"/>
  <c r="G85" i="7"/>
  <c r="L96" i="7"/>
  <c r="K96" i="7"/>
  <c r="G96" i="7"/>
  <c r="L84" i="7"/>
  <c r="K84" i="7"/>
  <c r="G84" i="7"/>
  <c r="L91" i="7"/>
  <c r="K91" i="7"/>
  <c r="G91" i="7"/>
  <c r="L89" i="7"/>
  <c r="K89" i="7"/>
  <c r="G89" i="7"/>
  <c r="L82" i="7"/>
  <c r="K82" i="7"/>
  <c r="G82" i="7"/>
  <c r="L83" i="7"/>
  <c r="K83" i="7"/>
  <c r="G83" i="7"/>
  <c r="L90" i="7"/>
  <c r="K90" i="7"/>
  <c r="G90" i="7"/>
  <c r="L95" i="7"/>
  <c r="K95" i="7"/>
  <c r="G95" i="7"/>
  <c r="L94" i="7"/>
  <c r="K94" i="7"/>
  <c r="G94" i="7"/>
  <c r="L86" i="7"/>
  <c r="K86" i="7"/>
  <c r="G86" i="7"/>
  <c r="L88" i="7"/>
  <c r="K88" i="7"/>
  <c r="G88" i="7"/>
  <c r="L93" i="7"/>
  <c r="K93" i="7"/>
  <c r="G93" i="7"/>
  <c r="L85" i="7"/>
  <c r="K85" i="7"/>
  <c r="G40" i="1"/>
  <c r="K40" i="1"/>
  <c r="L40" i="1"/>
  <c r="G52" i="1"/>
  <c r="K52" i="1"/>
  <c r="L52" i="1"/>
  <c r="K48" i="1"/>
  <c r="L48" i="1"/>
  <c r="H74" i="7"/>
  <c r="H73" i="7"/>
  <c r="H72" i="7"/>
  <c r="H71" i="7"/>
  <c r="H70" i="7"/>
  <c r="F64" i="7"/>
  <c r="F63" i="7"/>
  <c r="F62" i="7"/>
  <c r="F61" i="7"/>
  <c r="F60" i="7"/>
  <c r="J64" i="7"/>
  <c r="I64" i="7"/>
  <c r="J63" i="7"/>
  <c r="I63" i="7"/>
  <c r="J62" i="7"/>
  <c r="I62" i="7"/>
  <c r="J61" i="7"/>
  <c r="I61" i="7"/>
  <c r="J60" i="7"/>
  <c r="I60" i="7"/>
  <c r="L42" i="7"/>
  <c r="K42" i="7"/>
  <c r="G42" i="7"/>
  <c r="L52" i="7"/>
  <c r="K52" i="7"/>
  <c r="G52" i="7"/>
  <c r="L51" i="7"/>
  <c r="K51" i="7"/>
  <c r="G51" i="7"/>
  <c r="L50" i="7"/>
  <c r="K50" i="7"/>
  <c r="G50" i="7"/>
  <c r="G34" i="1"/>
  <c r="F35" i="7"/>
  <c r="F34" i="7"/>
  <c r="K32" i="7"/>
  <c r="J32" i="7"/>
  <c r="G32" i="7"/>
  <c r="K31" i="7"/>
  <c r="J31" i="7"/>
  <c r="G31" i="7"/>
  <c r="L25" i="7"/>
  <c r="K25" i="7"/>
  <c r="G25" i="7"/>
  <c r="L24" i="7"/>
  <c r="K24" i="7"/>
  <c r="G24" i="7"/>
  <c r="L26" i="7"/>
  <c r="K26" i="7"/>
  <c r="G26" i="7"/>
  <c r="L27" i="7"/>
  <c r="K27" i="7"/>
  <c r="G27" i="7"/>
  <c r="L28" i="7"/>
  <c r="K28" i="7"/>
  <c r="G28" i="7"/>
  <c r="L23" i="7"/>
  <c r="K23" i="7"/>
  <c r="G23" i="7"/>
  <c r="G10" i="7"/>
  <c r="G9" i="7"/>
  <c r="F16" i="7"/>
  <c r="K10" i="7"/>
  <c r="J10" i="7"/>
  <c r="K9" i="7"/>
  <c r="J9" i="7"/>
  <c r="L13" i="7"/>
  <c r="K13" i="7"/>
  <c r="G13" i="7"/>
  <c r="L12" i="7"/>
  <c r="K12" i="7"/>
  <c r="G12" i="7"/>
  <c r="L8" i="7"/>
  <c r="K8" i="7"/>
  <c r="G8" i="7"/>
  <c r="L7" i="7"/>
  <c r="K7" i="7"/>
  <c r="G7" i="7"/>
  <c r="L6" i="7"/>
  <c r="K6" i="7"/>
  <c r="G6" i="7"/>
  <c r="L5" i="7"/>
  <c r="K5" i="7"/>
  <c r="G5" i="7"/>
  <c r="L4" i="7"/>
  <c r="K4" i="7"/>
  <c r="G4" i="7"/>
  <c r="L3" i="7"/>
  <c r="K3" i="7"/>
  <c r="G3" i="7"/>
  <c r="K9" i="1"/>
  <c r="K6" i="1"/>
  <c r="K7" i="1"/>
  <c r="K14" i="1"/>
  <c r="K10" i="1"/>
  <c r="K11" i="1"/>
  <c r="K12" i="1"/>
  <c r="K15" i="1"/>
  <c r="K18" i="1"/>
  <c r="K19" i="1"/>
  <c r="K13" i="1"/>
  <c r="K16" i="1"/>
  <c r="K23" i="1"/>
  <c r="K30" i="1"/>
  <c r="K25" i="1"/>
  <c r="K29" i="1"/>
  <c r="K32" i="1"/>
  <c r="K33" i="1"/>
  <c r="K34" i="1"/>
  <c r="K26" i="1"/>
  <c r="K38" i="1"/>
  <c r="K36" i="1"/>
  <c r="K47" i="1"/>
  <c r="K35" i="1"/>
  <c r="K42" i="1"/>
  <c r="K43" i="1"/>
  <c r="K49" i="1"/>
  <c r="K46" i="1"/>
  <c r="K45" i="1"/>
  <c r="K44" i="1"/>
  <c r="K41" i="1"/>
  <c r="K50" i="1"/>
  <c r="G50" i="1"/>
  <c r="L50" i="1"/>
  <c r="K8" i="1"/>
  <c r="L8" i="1"/>
  <c r="G9" i="1"/>
  <c r="L9" i="1"/>
  <c r="G6" i="1"/>
  <c r="L6" i="1"/>
  <c r="G7" i="1"/>
  <c r="L7" i="1"/>
  <c r="G14" i="1"/>
  <c r="L14" i="1"/>
  <c r="G10" i="1"/>
  <c r="L10" i="1"/>
  <c r="G11" i="1"/>
  <c r="L11" i="1"/>
  <c r="G12" i="1"/>
  <c r="L12" i="1"/>
  <c r="G15" i="1"/>
  <c r="L15" i="1"/>
  <c r="G18" i="1"/>
  <c r="L18" i="1"/>
  <c r="G19" i="1"/>
  <c r="L19" i="1"/>
  <c r="G13" i="1"/>
  <c r="L13" i="1"/>
  <c r="G16" i="1"/>
  <c r="L16" i="1"/>
  <c r="G23" i="1"/>
  <c r="L23" i="1"/>
  <c r="G20" i="1"/>
  <c r="G31" i="1"/>
  <c r="L31" i="1"/>
  <c r="G27" i="1"/>
  <c r="L27" i="1"/>
  <c r="G30" i="1"/>
  <c r="L30" i="1"/>
  <c r="G25" i="1"/>
  <c r="L25" i="1"/>
  <c r="G29" i="1"/>
  <c r="L29" i="1"/>
  <c r="G32" i="1"/>
  <c r="L32" i="1"/>
  <c r="G33" i="1"/>
  <c r="L33" i="1"/>
  <c r="L34" i="1"/>
  <c r="G26" i="1"/>
  <c r="L26" i="1"/>
  <c r="G38" i="1"/>
  <c r="L38" i="1"/>
  <c r="G47" i="1"/>
  <c r="L47" i="1"/>
  <c r="G35" i="1"/>
  <c r="L35" i="1"/>
  <c r="G42" i="1"/>
  <c r="L42" i="1"/>
  <c r="G43" i="1"/>
  <c r="L43" i="1"/>
  <c r="G49" i="1"/>
  <c r="L49" i="1"/>
  <c r="G46" i="1"/>
  <c r="L46" i="1"/>
  <c r="G45" i="1"/>
  <c r="L45" i="1"/>
  <c r="G44" i="1"/>
  <c r="L44" i="1"/>
  <c r="G41" i="1"/>
  <c r="L41" i="1"/>
  <c r="C12" i="3" l="1"/>
  <c r="C11" i="3"/>
  <c r="C10" i="3"/>
  <c r="C9" i="3"/>
  <c r="D9" i="3"/>
  <c r="D8" i="3"/>
  <c r="C8" i="3"/>
  <c r="D6" i="3"/>
  <c r="C6" i="3"/>
  <c r="C7" i="3"/>
  <c r="F37" i="7"/>
  <c r="G98" i="7"/>
  <c r="F111" i="7" s="1"/>
  <c r="G54" i="7"/>
  <c r="F65" i="7"/>
  <c r="H76" i="7"/>
  <c r="F17" i="7"/>
  <c r="F19" i="7" s="1"/>
  <c r="M10" i="3"/>
  <c r="L12" i="3"/>
  <c r="L11" i="3"/>
  <c r="M8" i="3"/>
  <c r="M7" i="3"/>
  <c r="M9" i="3"/>
  <c r="L7" i="3"/>
  <c r="M6" i="3"/>
  <c r="L6" i="3"/>
  <c r="L8" i="3"/>
  <c r="M12" i="3"/>
  <c r="L9" i="3"/>
  <c r="M11" i="3"/>
  <c r="L10" i="3"/>
  <c r="E39" i="3"/>
  <c r="N39" i="3"/>
  <c r="F67" i="7" l="1"/>
  <c r="K39" i="3"/>
  <c r="J39" i="3"/>
  <c r="H39" i="3"/>
  <c r="G39" i="3"/>
  <c r="I39" i="3"/>
  <c r="F39" i="3"/>
  <c r="C22" i="3"/>
  <c r="L20" i="3"/>
  <c r="M19" i="3"/>
  <c r="M23" i="3"/>
  <c r="M21" i="3"/>
  <c r="C17" i="3"/>
  <c r="L16" i="3"/>
  <c r="L22" i="3"/>
  <c r="M22" i="3"/>
  <c r="M17" i="3"/>
  <c r="M18" i="3"/>
  <c r="M20" i="3"/>
  <c r="C18" i="3"/>
  <c r="L18" i="3"/>
  <c r="D23" i="3"/>
  <c r="L23" i="3"/>
  <c r="M16" i="3"/>
  <c r="C23" i="3"/>
  <c r="D22" i="3"/>
  <c r="L21" i="3"/>
  <c r="L17" i="3"/>
  <c r="L19" i="3"/>
  <c r="L15" i="3"/>
  <c r="L39" i="3" s="1"/>
  <c r="D15" i="3"/>
  <c r="D39" i="3" s="1"/>
  <c r="M15" i="3"/>
  <c r="M39" i="3" s="1"/>
  <c r="C15" i="3"/>
  <c r="C39" i="3" s="1"/>
  <c r="C41" i="3" s="1"/>
  <c r="D41" i="3" l="1"/>
  <c r="E41" i="3" s="1"/>
  <c r="F41" i="3" s="1"/>
  <c r="G41" i="3" s="1"/>
  <c r="H41" i="3" s="1"/>
  <c r="I41" i="3" s="1"/>
  <c r="J41" i="3" s="1"/>
  <c r="K41" i="3" s="1"/>
  <c r="L41" i="3" s="1"/>
  <c r="M41" i="3" s="1"/>
  <c r="N41" i="3" s="1"/>
</calcChain>
</file>

<file path=xl/sharedStrings.xml><?xml version="1.0" encoding="utf-8"?>
<sst xmlns="http://schemas.openxmlformats.org/spreadsheetml/2006/main" count="4163" uniqueCount="777">
  <si>
    <t>DIARIO DE INGRESOS</t>
  </si>
  <si>
    <t>FECHA</t>
  </si>
  <si>
    <t>CUENTA</t>
  </si>
  <si>
    <t>CANTIDAD</t>
  </si>
  <si>
    <t>PRECIO</t>
  </si>
  <si>
    <t>INGRESO</t>
  </si>
  <si>
    <t>DESCRIPCION</t>
  </si>
  <si>
    <t>MES</t>
  </si>
  <si>
    <t>AÑO</t>
  </si>
  <si>
    <t>PRODUCTO</t>
  </si>
  <si>
    <t>TIPO DE PAGO</t>
  </si>
  <si>
    <t>NOMBRE</t>
  </si>
  <si>
    <t>APELLIDO</t>
  </si>
  <si>
    <t>LEON</t>
  </si>
  <si>
    <t>CUENTAS DE INGRESO</t>
  </si>
  <si>
    <t>CUENTAS DE GASTO</t>
  </si>
  <si>
    <t>BISEL Y LUNAS</t>
  </si>
  <si>
    <t>LENTES</t>
  </si>
  <si>
    <t>EFECTIVO</t>
  </si>
  <si>
    <t>MOTORIZADO</t>
  </si>
  <si>
    <t>TARJETA</t>
  </si>
  <si>
    <t>CERTIFICADO</t>
  </si>
  <si>
    <t>COMIDA</t>
  </si>
  <si>
    <t>CARRERAS</t>
  </si>
  <si>
    <t>JEP</t>
  </si>
  <si>
    <t>DEPOSITO</t>
  </si>
  <si>
    <t>ALIMENTACION</t>
  </si>
  <si>
    <t>PICHINCHA</t>
  </si>
  <si>
    <t>LUZ</t>
  </si>
  <si>
    <t>DISTRIBUIDORA</t>
  </si>
  <si>
    <t>PRODUBANCO</t>
  </si>
  <si>
    <t>AGUA</t>
  </si>
  <si>
    <t>JARDIN AZUAYO</t>
  </si>
  <si>
    <t>ARRIENDO</t>
  </si>
  <si>
    <t>Etiquetas de fila</t>
  </si>
  <si>
    <t>Total general</t>
  </si>
  <si>
    <t>OBSERVACION</t>
  </si>
  <si>
    <t>ABONO</t>
  </si>
  <si>
    <t>CANCELACION</t>
  </si>
  <si>
    <t>REGISTRO DE INGRESOS Y EGRESOS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</si>
  <si>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</si>
  <si>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</si>
  <si>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</si>
  <si>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</si>
  <si>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</si>
  <si>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</si>
  <si>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</si>
  <si>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</si>
  <si>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</si>
  <si>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</si>
  <si>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</si>
  <si>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</si>
  <si>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INGRESOS</t>
  </si>
  <si>
    <t>GASTOS</t>
  </si>
  <si>
    <t>Saldo Mensual</t>
  </si>
  <si>
    <t>Saldo Acumulado</t>
  </si>
  <si>
    <t>TIPO</t>
  </si>
  <si>
    <t>EGRESO</t>
  </si>
  <si>
    <t>DETALLE ADICIONAL</t>
  </si>
  <si>
    <t>NO. DOCUMENTO</t>
  </si>
  <si>
    <t>DIARIO DE EGRESOS</t>
  </si>
  <si>
    <t>DISTRIBUIDOR</t>
  </si>
  <si>
    <t>ALEPSA</t>
  </si>
  <si>
    <t>IMPORTLENTS</t>
  </si>
  <si>
    <t>DELIVERY</t>
  </si>
  <si>
    <t>PERSONAL</t>
  </si>
  <si>
    <t>OPTICA</t>
  </si>
  <si>
    <t>COMPRAS</t>
  </si>
  <si>
    <t>BRYAM</t>
  </si>
  <si>
    <t>DANNA</t>
  </si>
  <si>
    <t>ACCESORIOS</t>
  </si>
  <si>
    <t>MOROCHO</t>
  </si>
  <si>
    <t>OTROS</t>
  </si>
  <si>
    <t xml:space="preserve">EDGAR </t>
  </si>
  <si>
    <t>PEÑAFIEL</t>
  </si>
  <si>
    <t>ORDEN</t>
  </si>
  <si>
    <t>DAN</t>
  </si>
  <si>
    <t>SAMANIEGO</t>
  </si>
  <si>
    <t>MIGUEL</t>
  </si>
  <si>
    <t>BELGICA</t>
  </si>
  <si>
    <t>GARCIA</t>
  </si>
  <si>
    <t>FUNDAS DE BASURA FLOREADAS</t>
  </si>
  <si>
    <t>FUNDAS DE BASURA NEGRAS</t>
  </si>
  <si>
    <t>JEP DANNA</t>
  </si>
  <si>
    <t>JEP BRYAM</t>
  </si>
  <si>
    <t>MARCO</t>
  </si>
  <si>
    <t>MOCHA</t>
  </si>
  <si>
    <t>BRYAN</t>
  </si>
  <si>
    <t>VIZHÑAY</t>
  </si>
  <si>
    <t>IT453</t>
  </si>
  <si>
    <t>Columna1</t>
  </si>
  <si>
    <t>IT454</t>
  </si>
  <si>
    <t>IT455</t>
  </si>
  <si>
    <t>RV330</t>
  </si>
  <si>
    <t>RV331</t>
  </si>
  <si>
    <t>IT456</t>
  </si>
  <si>
    <t>ESTEBAN</t>
  </si>
  <si>
    <t>MATUTE</t>
  </si>
  <si>
    <t>ET606</t>
  </si>
  <si>
    <t>RV337</t>
  </si>
  <si>
    <t>SOFFI</t>
  </si>
  <si>
    <t>EGRESOS</t>
  </si>
  <si>
    <t xml:space="preserve">TOTAL ENTREGADO </t>
  </si>
  <si>
    <t>RESUMEN DE MOVIMIENTOS</t>
  </si>
  <si>
    <t>RECIBI CONFORME</t>
  </si>
  <si>
    <t>JOSE</t>
  </si>
  <si>
    <t>MAITE</t>
  </si>
  <si>
    <t>HILDA LEONOR</t>
  </si>
  <si>
    <t>ANDRADE REYES</t>
  </si>
  <si>
    <t xml:space="preserve">FABIAN </t>
  </si>
  <si>
    <t>MOSQUERA</t>
  </si>
  <si>
    <t>TRASPASO</t>
  </si>
  <si>
    <t>IT458</t>
  </si>
  <si>
    <t>BRUJITA</t>
  </si>
  <si>
    <t xml:space="preserve">DAN </t>
  </si>
  <si>
    <t>HUGO</t>
  </si>
  <si>
    <t>CAJAMARCA</t>
  </si>
  <si>
    <t>LIMON</t>
  </si>
  <si>
    <t>ET608</t>
  </si>
  <si>
    <t>ET607</t>
  </si>
  <si>
    <t>RV339</t>
  </si>
  <si>
    <t>FCE345</t>
  </si>
  <si>
    <t>RV338</t>
  </si>
  <si>
    <t>TOTAL ENTREGADO</t>
  </si>
  <si>
    <t xml:space="preserve">MARCO </t>
  </si>
  <si>
    <t>ARPI</t>
  </si>
  <si>
    <t xml:space="preserve">FRANKLIN </t>
  </si>
  <si>
    <t>QUITUIZACA</t>
  </si>
  <si>
    <t>MARTHA LUCIA</t>
  </si>
  <si>
    <t>ALVAREZ</t>
  </si>
  <si>
    <t>JORGE LUIS</t>
  </si>
  <si>
    <t xml:space="preserve">JUAN </t>
  </si>
  <si>
    <t>PEÑA</t>
  </si>
  <si>
    <t>JOSSELINE</t>
  </si>
  <si>
    <t>REPARACION</t>
  </si>
  <si>
    <t>CAMBIO PLAQUETAS</t>
  </si>
  <si>
    <t>S/N</t>
  </si>
  <si>
    <t>IT 459</t>
  </si>
  <si>
    <t>IT460</t>
  </si>
  <si>
    <t>IT461</t>
  </si>
  <si>
    <t>IT462</t>
  </si>
  <si>
    <t>ALIMENTACION SÀBADO</t>
  </si>
  <si>
    <t>PAN</t>
  </si>
  <si>
    <t>ET609</t>
  </si>
  <si>
    <t>MARUJA</t>
  </si>
  <si>
    <t>HURTADO</t>
  </si>
  <si>
    <t>ANGEL</t>
  </si>
  <si>
    <t>SALAZAR</t>
  </si>
  <si>
    <t>ANY</t>
  </si>
  <si>
    <t>DIAZ</t>
  </si>
  <si>
    <t>ANTICIPO A LENTES</t>
  </si>
  <si>
    <t>RETIRA LENTES</t>
  </si>
  <si>
    <t xml:space="preserve">CARLOS </t>
  </si>
  <si>
    <t>LIMA</t>
  </si>
  <si>
    <t>DESAYUNO</t>
  </si>
  <si>
    <t>ALMUERZO DB</t>
  </si>
  <si>
    <t>DETALLE</t>
  </si>
  <si>
    <t xml:space="preserve">DYLAN </t>
  </si>
  <si>
    <t>VARILLAS</t>
  </si>
  <si>
    <t>JAIME</t>
  </si>
  <si>
    <t>VELESACA</t>
  </si>
  <si>
    <t>PROGRESIVO</t>
  </si>
  <si>
    <t>BRIGADA</t>
  </si>
  <si>
    <t>ROSARIO</t>
  </si>
  <si>
    <t>VILLACIS</t>
  </si>
  <si>
    <t>AMY</t>
  </si>
  <si>
    <t>DAYANNA</t>
  </si>
  <si>
    <t>L/C</t>
  </si>
  <si>
    <t>ANA</t>
  </si>
  <si>
    <t>AREVALO</t>
  </si>
  <si>
    <t>MELANIE</t>
  </si>
  <si>
    <t>SALTO</t>
  </si>
  <si>
    <t>LENTES + PLAQUETAS</t>
  </si>
  <si>
    <t>UYAGUARI</t>
  </si>
  <si>
    <t>CRISTINA</t>
  </si>
  <si>
    <t>AVILEZ</t>
  </si>
  <si>
    <t>COMIDA CASA BD</t>
  </si>
  <si>
    <t>LIMON Y CINTA</t>
  </si>
  <si>
    <t>ELISABETH RUBIO</t>
  </si>
  <si>
    <t>ALIMENTACION DEL 15/09/2025 AL 14/10/2025</t>
  </si>
  <si>
    <t xml:space="preserve">SUSANA </t>
  </si>
  <si>
    <t>TEPAN</t>
  </si>
  <si>
    <t xml:space="preserve">ABONO FINAL A LENTES </t>
  </si>
  <si>
    <t>Total entregado</t>
  </si>
  <si>
    <t>VIAJE</t>
  </si>
  <si>
    <t>RV342</t>
  </si>
  <si>
    <t>IT468</t>
  </si>
  <si>
    <t>IT 470</t>
  </si>
  <si>
    <t>RV343</t>
  </si>
  <si>
    <t>IT471</t>
  </si>
  <si>
    <t>IT472</t>
  </si>
  <si>
    <t>RV344</t>
  </si>
  <si>
    <t>RV345</t>
  </si>
  <si>
    <t>RV346</t>
  </si>
  <si>
    <t>IT 473</t>
  </si>
  <si>
    <t>RV347</t>
  </si>
  <si>
    <t>RV348</t>
  </si>
  <si>
    <t>IT474</t>
  </si>
  <si>
    <t>RV349</t>
  </si>
  <si>
    <t>ANDRADE</t>
  </si>
  <si>
    <t>TANNYA</t>
  </si>
  <si>
    <t>AUQUILLA</t>
  </si>
  <si>
    <t>PAGO CON DE UNA</t>
  </si>
  <si>
    <t>RV350</t>
  </si>
  <si>
    <t>FCE348</t>
  </si>
  <si>
    <t>RV351</t>
  </si>
  <si>
    <t>MILTON</t>
  </si>
  <si>
    <t>ESPINOZA</t>
  </si>
  <si>
    <t>LENTES BIFOCALES INVISIBLES  POLI-BL</t>
  </si>
  <si>
    <t xml:space="preserve">ALEXIS </t>
  </si>
  <si>
    <t>VARGAS</t>
  </si>
  <si>
    <t>CERTIFICADO VISUAL</t>
  </si>
  <si>
    <t>GUSTAVO</t>
  </si>
  <si>
    <t>ASTUDILLO</t>
  </si>
  <si>
    <t>liquido de limpieza</t>
  </si>
  <si>
    <t>desinfectante</t>
  </si>
  <si>
    <t>recarga celular</t>
  </si>
  <si>
    <t>SAMUEL</t>
  </si>
  <si>
    <t>OSORIO</t>
  </si>
  <si>
    <t>CR39-BAR-2</t>
  </si>
  <si>
    <t xml:space="preserve">DIANA </t>
  </si>
  <si>
    <t>CUMBE</t>
  </si>
  <si>
    <t>PABLO</t>
  </si>
  <si>
    <t>DOMINGUEZ</t>
  </si>
  <si>
    <t>HIGH INDEX</t>
  </si>
  <si>
    <t>VENDE</t>
  </si>
  <si>
    <t>fundas de basura</t>
  </si>
  <si>
    <t>octubre</t>
  </si>
  <si>
    <t>motorizado</t>
  </si>
  <si>
    <t>ADRIAN</t>
  </si>
  <si>
    <t>ORTIZ</t>
  </si>
  <si>
    <t xml:space="preserve">LENTES </t>
  </si>
  <si>
    <t xml:space="preserve">JAIME </t>
  </si>
  <si>
    <t>VELASACA</t>
  </si>
  <si>
    <t>ALVARADO</t>
  </si>
  <si>
    <t>SERVICIOS PRESTADOS OPTOMETRA</t>
  </si>
  <si>
    <t>ANTICIPO DANNA</t>
  </si>
  <si>
    <t>ENTREGADO</t>
  </si>
  <si>
    <t>fecha</t>
  </si>
  <si>
    <t>café y pan</t>
  </si>
  <si>
    <t>ET614</t>
  </si>
  <si>
    <t>ET615</t>
  </si>
  <si>
    <t>ET616</t>
  </si>
  <si>
    <t>ET617</t>
  </si>
  <si>
    <t xml:space="preserve">RAUL </t>
  </si>
  <si>
    <t>BERMEO</t>
  </si>
  <si>
    <t>NADA</t>
  </si>
  <si>
    <t>QUITO</t>
  </si>
  <si>
    <t>POLI BLANCO</t>
  </si>
  <si>
    <t>RECTIFICACION MAL EL EJE</t>
  </si>
  <si>
    <t>VIVIANA</t>
  </si>
  <si>
    <t>SANTOS</t>
  </si>
  <si>
    <t>ERIK</t>
  </si>
  <si>
    <t>QUITUISACA</t>
  </si>
  <si>
    <t xml:space="preserve">KATERINE </t>
  </si>
  <si>
    <t>AGUILAR</t>
  </si>
  <si>
    <t>CACERES</t>
  </si>
  <si>
    <t>ANAHI</t>
  </si>
  <si>
    <t>PINOS</t>
  </si>
  <si>
    <t>BYRON</t>
  </si>
  <si>
    <t>AYALA</t>
  </si>
  <si>
    <t>NANCY</t>
  </si>
  <si>
    <t>AMENDAÑO</t>
  </si>
  <si>
    <t>VASQUEZ</t>
  </si>
  <si>
    <t xml:space="preserve">NANCY </t>
  </si>
  <si>
    <t xml:space="preserve">CHRISTIAN </t>
  </si>
  <si>
    <t>LAURA</t>
  </si>
  <si>
    <t>MACAS</t>
  </si>
  <si>
    <t xml:space="preserve">FREDDY </t>
  </si>
  <si>
    <t>RODRIGUEZ</t>
  </si>
  <si>
    <t>CAMBIO VARILLAS</t>
  </si>
  <si>
    <t>CARTIFICADO</t>
  </si>
  <si>
    <t>WILSON</t>
  </si>
  <si>
    <t>CASTRO</t>
  </si>
  <si>
    <t xml:space="preserve">DAIRA </t>
  </si>
  <si>
    <t>VILLOTA</t>
  </si>
  <si>
    <t>SEGUNDO</t>
  </si>
  <si>
    <t>PARDO</t>
  </si>
  <si>
    <t>PADILLA</t>
  </si>
  <si>
    <t>CREDITO</t>
  </si>
  <si>
    <t>RUMIPULLA</t>
  </si>
  <si>
    <t>MANUEL</t>
  </si>
  <si>
    <t>MELGAR</t>
  </si>
  <si>
    <t>JESSICA</t>
  </si>
  <si>
    <t>PATIÑO</t>
  </si>
  <si>
    <t>TORNILLO</t>
  </si>
  <si>
    <t>ILDA</t>
  </si>
  <si>
    <t>PAUCAR</t>
  </si>
  <si>
    <t>CARMEN</t>
  </si>
  <si>
    <t xml:space="preserve">PIEDAD </t>
  </si>
  <si>
    <t>BARRERA</t>
  </si>
  <si>
    <t>ERNESTO</t>
  </si>
  <si>
    <t>RAMOS</t>
  </si>
  <si>
    <t>ANTONIO</t>
  </si>
  <si>
    <t>VARELA</t>
  </si>
  <si>
    <t>CHOCHO</t>
  </si>
  <si>
    <t>VICTOR</t>
  </si>
  <si>
    <t>ESTUCHE Y NAILON</t>
  </si>
  <si>
    <t>JOSUE</t>
  </si>
  <si>
    <t>MENDEZ</t>
  </si>
  <si>
    <t>FRUTAS</t>
  </si>
  <si>
    <t>ADELANTO DANNA</t>
  </si>
  <si>
    <t>REGALO AMIGO SECRETO</t>
  </si>
  <si>
    <t>COMPRAS CORAL CENTRO</t>
  </si>
  <si>
    <t xml:space="preserve">PAN </t>
  </si>
  <si>
    <t xml:space="preserve">MOTO </t>
  </si>
  <si>
    <t>TEMU DANNA Y BRYAM</t>
  </si>
  <si>
    <t>ABOGADO ADUANA</t>
  </si>
  <si>
    <t>CURITA</t>
  </si>
  <si>
    <t>FUNDAS BASURA</t>
  </si>
  <si>
    <t>DEPOSITO BANCO</t>
  </si>
  <si>
    <t>PAÑITOS HUMEDOS</t>
  </si>
  <si>
    <t>TRANSPORTE</t>
  </si>
  <si>
    <t>COMIDA SABADO Y DOMINGO BRYAM Y DANNA</t>
  </si>
  <si>
    <t xml:space="preserve">COMIDA  </t>
  </si>
  <si>
    <t>GASOLINA Y PASTILLAS</t>
  </si>
  <si>
    <t>VUELTO</t>
  </si>
  <si>
    <t>ALMUERZO Y MOTORIZADO BRYAM</t>
  </si>
  <si>
    <t xml:space="preserve">ADELANTO DANNA </t>
  </si>
  <si>
    <t>PRESTAMO ALEX RUBIO</t>
  </si>
  <si>
    <t>FUNDAS DE BASURA</t>
  </si>
  <si>
    <t>L/C RESTREPO</t>
  </si>
  <si>
    <t>CAFÉ FAMILIA BRYAM</t>
  </si>
  <si>
    <t>ALMUERZO DANNA Y BRYAM</t>
  </si>
  <si>
    <t>KATHERINE</t>
  </si>
  <si>
    <t>MURILLO</t>
  </si>
  <si>
    <t xml:space="preserve">ALEX </t>
  </si>
  <si>
    <t>LOJA</t>
  </si>
  <si>
    <t>LIQUIDO DE L/C</t>
  </si>
  <si>
    <t>LIQUIDO</t>
  </si>
  <si>
    <t>ALEX</t>
  </si>
  <si>
    <t>ARREGLO ARMAZON</t>
  </si>
  <si>
    <t>GASOLINA AZOGUEZ</t>
  </si>
  <si>
    <t>CHALCO</t>
  </si>
  <si>
    <t>XAVIER</t>
  </si>
  <si>
    <t>ABONO L/C</t>
  </si>
  <si>
    <t>SALDO 30</t>
  </si>
  <si>
    <t>ELISMAR</t>
  </si>
  <si>
    <t>CARMONA</t>
  </si>
  <si>
    <t>ARIZAGA</t>
  </si>
  <si>
    <t>SALT ANDREWA</t>
  </si>
  <si>
    <t>PASTILLA</t>
  </si>
  <si>
    <t xml:space="preserve">FRANCISCO </t>
  </si>
  <si>
    <t>EDGAR</t>
  </si>
  <si>
    <t>ZUMBA</t>
  </si>
  <si>
    <t>JONAS</t>
  </si>
  <si>
    <t>TRELLES</t>
  </si>
  <si>
    <t>DARWIN</t>
  </si>
  <si>
    <t>PUCHA</t>
  </si>
  <si>
    <t>SEÑOR PREFECTURA</t>
  </si>
  <si>
    <t>SALDO DE ARMAZON</t>
  </si>
  <si>
    <t>ESTADO</t>
  </si>
  <si>
    <t>POR PAGAR</t>
  </si>
  <si>
    <t>PAGADO</t>
  </si>
  <si>
    <t>TOTAL</t>
  </si>
  <si>
    <t>LUNAS Y BISEL PARA JOSE LEON</t>
  </si>
  <si>
    <t>LUNAS Y BISEL PARA BYRON AYALA</t>
  </si>
  <si>
    <t>LUNAS Y BISEL PARA ANAHI PINOS</t>
  </si>
  <si>
    <t>LUNAS Y BISEL NANCY AMENDAÑO Y FABIAN MARIN</t>
  </si>
  <si>
    <t>LUNAS LUZ VASQUEZ</t>
  </si>
  <si>
    <t>LUNAS ANDRES OCHOA</t>
  </si>
  <si>
    <t>ADELANTO BRYAM</t>
  </si>
  <si>
    <t>CAFÉ</t>
  </si>
  <si>
    <t>LUNAS PROVISIONALES MARCOS LUCERO</t>
  </si>
  <si>
    <t>BISEL</t>
  </si>
  <si>
    <t>BISEL BIFOCAL</t>
  </si>
  <si>
    <t>BISEL CARMEN ALVARADO</t>
  </si>
  <si>
    <t>LUNAS Y BISEL VANNESA PESANTES BISEL ANA CHOCHO</t>
  </si>
  <si>
    <t>LUNAS ALEXIS PILLACELA Y GABRIELA VIDAL</t>
  </si>
  <si>
    <t>BISEL JOSUE MENDEZ</t>
  </si>
  <si>
    <t>PAÑOS MICROFIBRA</t>
  </si>
  <si>
    <t>BISEL MARCOS LUCERO GEORGE SANCHEZ</t>
  </si>
  <si>
    <t>BISELES</t>
  </si>
  <si>
    <t>LUNAS Y BISEL DANIEL LOJA LUNAS JULIO ARIZAGA BISEL ELISIMAR CARMONA</t>
  </si>
  <si>
    <t>BISEL MARLON MARIN</t>
  </si>
  <si>
    <t>MERCADERIA</t>
  </si>
  <si>
    <t>OPTEC</t>
  </si>
  <si>
    <t>LUNAS Y BISEL VANESSA PESANTEZ</t>
  </si>
  <si>
    <t>LUNAS Y BISEL CHRISTIAN AGUILAR</t>
  </si>
  <si>
    <t>LUNAS Y BISEL VICTOR AVILES</t>
  </si>
  <si>
    <t>LUNAS ANABEL PESANTEZ</t>
  </si>
  <si>
    <t>LUNA TERMINADA TRANSITION GRIS DAVID RODRIGUEZ</t>
  </si>
  <si>
    <t>LUNA TALLADA TRANSITION GRIS DAVID RODRIGUEZ</t>
  </si>
  <si>
    <t>LUNAS TALLADAS TRANSITION ZAFIRO MARCOS LUCERO</t>
  </si>
  <si>
    <t>LUNAS SCHNEIDER SUPERIOR TRANSITION VERDE ANTONIO VARELA</t>
  </si>
  <si>
    <t>LUNAS PROVISIONALES ANTONIO VARELA</t>
  </si>
  <si>
    <t>LUNAS SCHNEIDER SUPERIOR TRANSITION GRIS MARLON MARIN</t>
  </si>
  <si>
    <t>LUNAS SCHNEIDER SUPERIOR +AR</t>
  </si>
  <si>
    <t>DIARIO DE FACTURAS</t>
  </si>
  <si>
    <t>PECSA</t>
  </si>
  <si>
    <t>PROVISION LENS</t>
  </si>
  <si>
    <t>LUNAS PECSA PRECISA BLUE +AR DAIRA VILLOTA</t>
  </si>
  <si>
    <t>LUNAS PECSA PRECISA BLUE +AR ILDA PAUCAR</t>
  </si>
  <si>
    <t>LUNAS PECSA PRECISA BLUE +AR EULALIA GALINDO</t>
  </si>
  <si>
    <t>LUNAS ELITA HD BLUE +AR ERNESTO RAMOS</t>
  </si>
  <si>
    <t>LUNAS PECSA PRECISA BLUE +AR PIEDAD BARRERA</t>
  </si>
  <si>
    <t>ANTERIOR</t>
  </si>
  <si>
    <t>SALDO ANTERIOR DE CAJA</t>
  </si>
  <si>
    <t>AVILES</t>
  </si>
  <si>
    <t>NICOLAS</t>
  </si>
  <si>
    <t>LINDA</t>
  </si>
  <si>
    <t>VEGA</t>
  </si>
  <si>
    <t>CRIOLLO</t>
  </si>
  <si>
    <t>JUGOS</t>
  </si>
  <si>
    <t>ARROZ CON POLLO</t>
  </si>
  <si>
    <t xml:space="preserve">FUNDAS VENDIDAS </t>
  </si>
  <si>
    <t xml:space="preserve">DANIEL </t>
  </si>
  <si>
    <t>MENDOZA</t>
  </si>
  <si>
    <t>ADELANTO</t>
  </si>
  <si>
    <t>NOTARIA Y TRANSPORTE</t>
  </si>
  <si>
    <t>ADELANTO SUELDO</t>
  </si>
  <si>
    <t>ALMUERZOS</t>
  </si>
  <si>
    <t>DIEGO</t>
  </si>
  <si>
    <t>CEDILLO</t>
  </si>
  <si>
    <t>HESS</t>
  </si>
  <si>
    <t>FABIAN</t>
  </si>
  <si>
    <t>MARIN</t>
  </si>
  <si>
    <t>PAUL</t>
  </si>
  <si>
    <t>SUÑA</t>
  </si>
  <si>
    <t>PAGO FACTURAS</t>
  </si>
  <si>
    <t>DELBAK</t>
  </si>
  <si>
    <t>PROVISION CUENCA</t>
  </si>
  <si>
    <t>ARMAZONES</t>
  </si>
  <si>
    <t>TECNILENTS</t>
  </si>
  <si>
    <t>PAGO LUNAS</t>
  </si>
  <si>
    <t>ANDINA</t>
  </si>
  <si>
    <t>MECANICO AZOGUES</t>
  </si>
  <si>
    <t>PAGO ARMAZONES</t>
  </si>
  <si>
    <t>GUARTAZACA</t>
  </si>
  <si>
    <t>PAGO BISELES</t>
  </si>
  <si>
    <t>RESTREPO</t>
  </si>
  <si>
    <t>PAGO L/C</t>
  </si>
  <si>
    <t>TIENDA</t>
  </si>
  <si>
    <t>SALDO ANTERIOR</t>
  </si>
  <si>
    <t>PAULA</t>
  </si>
  <si>
    <t>CORONEL</t>
  </si>
  <si>
    <t>SERVICION BASICOS</t>
  </si>
  <si>
    <t>CRUCE DE CUENTAS</t>
  </si>
  <si>
    <t>ENMA</t>
  </si>
  <si>
    <t>CHRISTINA</t>
  </si>
  <si>
    <t>PARRA</t>
  </si>
  <si>
    <t>AMELIA</t>
  </si>
  <si>
    <t>MOGROVEJO</t>
  </si>
  <si>
    <t>GAD PROVINCIAL</t>
  </si>
  <si>
    <t>EMPLEADOS</t>
  </si>
  <si>
    <t>ABONOS</t>
  </si>
  <si>
    <t>PROVISION</t>
  </si>
  <si>
    <t>COMPRAS OPTICA</t>
  </si>
  <si>
    <t>AHORRO META</t>
  </si>
  <si>
    <t>AHORRO META PRODUBANCO</t>
  </si>
  <si>
    <t>PAGO IESS</t>
  </si>
  <si>
    <t>IESS DANNA Y BRYAM</t>
  </si>
  <si>
    <t>PAGO IESS COMISION</t>
  </si>
  <si>
    <t>IESS DANNA Y BYRAM COMICION</t>
  </si>
  <si>
    <t>COMIDA DANNA Y BRYAM</t>
  </si>
  <si>
    <t xml:space="preserve">DAYRA </t>
  </si>
  <si>
    <t xml:space="preserve">DE UNA </t>
  </si>
  <si>
    <t>MARIA ROSA</t>
  </si>
  <si>
    <t>QUISHPI</t>
  </si>
  <si>
    <t>CRUCE CUENTAS</t>
  </si>
  <si>
    <t xml:space="preserve"> CRUCE CUENTAS DEL DE UNA A PICHINCHA</t>
  </si>
  <si>
    <t>ADELANTO DANNA DE UNA A PICHINCHA</t>
  </si>
  <si>
    <t>faBIAN</t>
  </si>
  <si>
    <t>JOEL</t>
  </si>
  <si>
    <t>MITE</t>
  </si>
  <si>
    <t>ROSA</t>
  </si>
  <si>
    <t xml:space="preserve">DAVID </t>
  </si>
  <si>
    <t>WILLIAM</t>
  </si>
  <si>
    <t>SARI</t>
  </si>
  <si>
    <t>CAMILA</t>
  </si>
  <si>
    <t>TORRES</t>
  </si>
  <si>
    <t>ARREGLO</t>
  </si>
  <si>
    <t xml:space="preserve">CAFE </t>
  </si>
  <si>
    <t>COMIDA FRUTAS CASA</t>
  </si>
  <si>
    <t>MOTO BRYAM</t>
  </si>
  <si>
    <t>PLAQUETAS</t>
  </si>
  <si>
    <t>PATRICIO</t>
  </si>
  <si>
    <t>COMIAD FRUTAS</t>
  </si>
  <si>
    <t>COSAS DE LIMPIEZA</t>
  </si>
  <si>
    <t>BANCO BARRIO</t>
  </si>
  <si>
    <t>CRUCE ENTRE CUENTAS</t>
  </si>
  <si>
    <t>PAGOS SERVICIOS ( PAULA CORONEL)</t>
  </si>
  <si>
    <t>PAGO SERVICIOS</t>
  </si>
  <si>
    <t>IMPORTLENS</t>
  </si>
  <si>
    <t>TABLA ZHINDON BRYAM</t>
  </si>
  <si>
    <t>COMPRAS CYC</t>
  </si>
  <si>
    <t>EDUARDO</t>
  </si>
  <si>
    <t>CANDO</t>
  </si>
  <si>
    <t>DE UNA</t>
  </si>
  <si>
    <t>CRUCE CUENTAS DE UNA-PICHINCHA</t>
  </si>
  <si>
    <t>PEDRO</t>
  </si>
  <si>
    <t>ZARUMEÑO</t>
  </si>
  <si>
    <t>ARIANA</t>
  </si>
  <si>
    <t>BOJORQUE</t>
  </si>
  <si>
    <t>LENTES DE CONTACTO</t>
  </si>
  <si>
    <t>MATEO</t>
  </si>
  <si>
    <t>TENEZACA</t>
  </si>
  <si>
    <t>BERTHA</t>
  </si>
  <si>
    <t>GUILLEN</t>
  </si>
  <si>
    <t>PRESTAMO DIEGO MORA</t>
  </si>
  <si>
    <t>GUERRERO</t>
  </si>
  <si>
    <t>KELLY</t>
  </si>
  <si>
    <t>HECTOR</t>
  </si>
  <si>
    <t>CAIZA</t>
  </si>
  <si>
    <t xml:space="preserve">LUNAS FABIO MOROCHO GX7 BLUE AR Y BISEL </t>
  </si>
  <si>
    <t>*</t>
  </si>
  <si>
    <t>LUNAS ANTIREFLEJO  ROCIO LITUMA Y BISEL</t>
  </si>
  <si>
    <t>LUNAS Y BISEL PEDRO CHALCO GX7 (4 LUNAS)</t>
  </si>
  <si>
    <t xml:space="preserve">ARM. METAL CRONOS Y TRASPASO </t>
  </si>
  <si>
    <t>BISEL POLY BLANCO Y TRASPASO</t>
  </si>
  <si>
    <t xml:space="preserve">LUNAS GX7 BLUE AR MICHELLE ZAMORA </t>
  </si>
  <si>
    <t>L/C  VERDE - DAYANA MOROCHO</t>
  </si>
  <si>
    <t>BISELADOS GX7 Y POLY BLUE AR</t>
  </si>
  <si>
    <t>LUNAS POLI AR-ROSA AREVALO</t>
  </si>
  <si>
    <t xml:space="preserve">LUNAS BLUE AR </t>
  </si>
  <si>
    <t>LUNAS POLY AR AMELIA MOGROVEJO</t>
  </si>
  <si>
    <t xml:space="preserve">LUNAS GX7 AR </t>
  </si>
  <si>
    <t xml:space="preserve">LUNAS POLI AR- LUIS BRAVO </t>
  </si>
  <si>
    <t>LUNAS AR - PAUL SUÑA</t>
  </si>
  <si>
    <t>PROGRESIVO BLUE BLOCK + AR -EDUARDO CANDO</t>
  </si>
  <si>
    <t>LUNAS POLI-AR - ANDRES LEON</t>
  </si>
  <si>
    <t>LUNAS POLY-BLANCO - JUAN DIEGO MOROCHO</t>
  </si>
  <si>
    <t>GENESIS</t>
  </si>
  <si>
    <t>DAYANA</t>
  </si>
  <si>
    <t>JUAN DIEGO</t>
  </si>
  <si>
    <t>MATIAS</t>
  </si>
  <si>
    <t>MEJIA</t>
  </si>
  <si>
    <t>KAREN</t>
  </si>
  <si>
    <t>ORDOÑEZ</t>
  </si>
  <si>
    <t>FRANKLIN</t>
  </si>
  <si>
    <t>COPARA</t>
  </si>
  <si>
    <t>DANIEL</t>
  </si>
  <si>
    <t>AGUA BOTELLONES</t>
  </si>
  <si>
    <t>CRUCE CUENTAS PICHINCHA</t>
  </si>
  <si>
    <t>YOGURT BRYAM</t>
  </si>
  <si>
    <t>COLCHON Y SABANAS</t>
  </si>
  <si>
    <t>SORAYA</t>
  </si>
  <si>
    <t>JORGE</t>
  </si>
  <si>
    <t>ERIKA</t>
  </si>
  <si>
    <t>ARIAS</t>
  </si>
  <si>
    <t>FRANCESCA - GIACOMO</t>
  </si>
  <si>
    <t>PIEDRA</t>
  </si>
  <si>
    <t>MAYRA</t>
  </si>
  <si>
    <t>LAGLA</t>
  </si>
  <si>
    <t xml:space="preserve"> MORA</t>
  </si>
  <si>
    <t>PRESTAMO</t>
  </si>
  <si>
    <t>HUMBERTO</t>
  </si>
  <si>
    <t>PARRAGA</t>
  </si>
  <si>
    <t>COMIDA VIERNES WAYRA</t>
  </si>
  <si>
    <t>COMIDA FIN DE SEMANA</t>
  </si>
  <si>
    <t>COMIDA DOMINGO</t>
  </si>
  <si>
    <t>PLAYA( PENDIENTE DEVOLUCION)</t>
  </si>
  <si>
    <t>CAFÉ CON PAN</t>
  </si>
  <si>
    <t>AYUDA SOCIAL</t>
  </si>
  <si>
    <t>LUNAS-POLI-POLARIZADO- MIRIAM SEGOVIA</t>
  </si>
  <si>
    <t>LUNAS POLI-PRO KODAK ZAFIRO-BERTHA GUILLEN</t>
  </si>
  <si>
    <t>LUNAS POLI VARILUX BLUE AR- HUMBERTO PARRAGA</t>
  </si>
  <si>
    <t>LUNAS PROGRESIVAS BLUE + AR- SANTIAGO ESPINOZA</t>
  </si>
  <si>
    <t>PROGRESIVAS ELITE HD BLUE+AR- SORAYA CRIOLLO</t>
  </si>
  <si>
    <t>PROGRESIVAS BLUE BLOCK+AR- GALO RUIZ</t>
  </si>
  <si>
    <t>PROGRESIVAS BLUE BLOCK + AR-EDGAR GUY</t>
  </si>
  <si>
    <t>GX7-BLUE AR-ERIKA ARIAS</t>
  </si>
  <si>
    <t xml:space="preserve">ANTHONY </t>
  </si>
  <si>
    <t>ORELLANA</t>
  </si>
  <si>
    <t>PUIN</t>
  </si>
  <si>
    <t>ISMAEL</t>
  </si>
  <si>
    <t>JEAN</t>
  </si>
  <si>
    <t>CHAPA</t>
  </si>
  <si>
    <t>DESAYUNO DANNA Y BRYAM</t>
  </si>
  <si>
    <t>GASOLINA BRYAM</t>
  </si>
  <si>
    <t>ALMUERZOS TODO EL MES</t>
  </si>
  <si>
    <t>OPTICAS</t>
  </si>
  <si>
    <t>LUNAS PROVISION</t>
  </si>
  <si>
    <t>LUNAS PECSA</t>
  </si>
  <si>
    <t>LUNAS Y BISEL IMPORTLENS</t>
  </si>
  <si>
    <t>LUNAS CYC</t>
  </si>
  <si>
    <t>LENTES DE CONTACTO RESTREPO</t>
  </si>
  <si>
    <t>TRASNPORTR PECSA</t>
  </si>
  <si>
    <t>COMPRAS MERCADERIA MOD</t>
  </si>
  <si>
    <t>COMPRAS MERCADERIA GALES</t>
  </si>
  <si>
    <t>MERCADERA PROVISION</t>
  </si>
  <si>
    <t>CAMA DANNA Y BRYAM</t>
  </si>
  <si>
    <t>ROPA DANNA Y BRYAM</t>
  </si>
  <si>
    <t>LUNAS ANDINA</t>
  </si>
  <si>
    <t xml:space="preserve">ABONO </t>
  </si>
  <si>
    <t>DUDA</t>
  </si>
  <si>
    <t>ASOCIACION GAD</t>
  </si>
  <si>
    <t>GAD DEL AZUAY</t>
  </si>
  <si>
    <t>SANTIAGO</t>
  </si>
  <si>
    <t>DEBBIE</t>
  </si>
  <si>
    <t>GRANUIER</t>
  </si>
  <si>
    <t>ANDRES</t>
  </si>
  <si>
    <t>JOHNNY</t>
  </si>
  <si>
    <t>CHICHANDE</t>
  </si>
  <si>
    <t>LINKEN</t>
  </si>
  <si>
    <t xml:space="preserve">DANIELA </t>
  </si>
  <si>
    <t>ARGUELLO</t>
  </si>
  <si>
    <t xml:space="preserve">JOHN </t>
  </si>
  <si>
    <t>CALLE</t>
  </si>
  <si>
    <t xml:space="preserve">ADELANDO DANNA </t>
  </si>
  <si>
    <t xml:space="preserve">ADRIANA </t>
  </si>
  <si>
    <t>BARROS</t>
  </si>
  <si>
    <t>ARREGLO LENTES</t>
  </si>
  <si>
    <t>WILMER</t>
  </si>
  <si>
    <t>ARMAZON TRASPASO</t>
  </si>
  <si>
    <t>LUIS</t>
  </si>
  <si>
    <t>CANCELADO</t>
  </si>
  <si>
    <t>JULIA</t>
  </si>
  <si>
    <t>CARMITA</t>
  </si>
  <si>
    <t>MERCHAN</t>
  </si>
  <si>
    <t xml:space="preserve">MARIA </t>
  </si>
  <si>
    <t>ESTHER</t>
  </si>
  <si>
    <t>SUELDA</t>
  </si>
  <si>
    <t>CRUZ</t>
  </si>
  <si>
    <t>MARIA</t>
  </si>
  <si>
    <t>CABRERA</t>
  </si>
  <si>
    <t xml:space="preserve">ALMUERZOS </t>
  </si>
  <si>
    <t>MAMA BRYAM</t>
  </si>
  <si>
    <t>PAGO CUERPO EXTRAÑO</t>
  </si>
  <si>
    <t>FUNDAS Y LIMPIA VIDRIOS</t>
  </si>
  <si>
    <t>PRESTAMO DANNA</t>
  </si>
  <si>
    <t>CAKE SEÑORA PFELIA</t>
  </si>
  <si>
    <t>PELUQUERIA ADELANTO BRYAM</t>
  </si>
  <si>
    <t>PRESTAMO MAMA BRYAM</t>
  </si>
  <si>
    <t>CUMPLEAÑOS CRIS</t>
  </si>
  <si>
    <t>FIN DE SEMANA</t>
  </si>
  <si>
    <t>RECARGA CELULAR</t>
  </si>
  <si>
    <t>JUAN</t>
  </si>
  <si>
    <t>SEMINARIO</t>
  </si>
  <si>
    <t>VERA</t>
  </si>
  <si>
    <t xml:space="preserve">ROSA </t>
  </si>
  <si>
    <t>AGUIRRE</t>
  </si>
  <si>
    <t>CARRASCO</t>
  </si>
  <si>
    <t>CARRO</t>
  </si>
  <si>
    <t>GLADIS</t>
  </si>
  <si>
    <t>RUBIO</t>
  </si>
  <si>
    <t>EDWIN</t>
  </si>
  <si>
    <t>CAMPOVERDE</t>
  </si>
  <si>
    <t xml:space="preserve">DEUDA </t>
  </si>
  <si>
    <t>ADELANDO BRYAM</t>
  </si>
  <si>
    <t>PRESTAMO CARRO ELY RUBIO</t>
  </si>
  <si>
    <t>CELULAR</t>
  </si>
  <si>
    <t xml:space="preserve">COMIDA </t>
  </si>
  <si>
    <t>TEMU JULIO AVILA PRESTAMO</t>
  </si>
  <si>
    <t xml:space="preserve"> </t>
  </si>
  <si>
    <t>NICOLE</t>
  </si>
  <si>
    <t>PALOMEQUE</t>
  </si>
  <si>
    <t>INTERESES</t>
  </si>
  <si>
    <t>PATRICIA</t>
  </si>
  <si>
    <t>CHICAIZA</t>
  </si>
  <si>
    <t>CHICANDE</t>
  </si>
  <si>
    <t>SEBASTIAN</t>
  </si>
  <si>
    <t>OCHOA</t>
  </si>
  <si>
    <t>VERONICA</t>
  </si>
  <si>
    <t>BOLETOS</t>
  </si>
  <si>
    <t>ABRAHAM</t>
  </si>
  <si>
    <t>COYAGUAZO</t>
  </si>
  <si>
    <t>GUADALUPE</t>
  </si>
  <si>
    <t>AGARRE</t>
  </si>
  <si>
    <t xml:space="preserve">KATHERINE </t>
  </si>
  <si>
    <t>SACA</t>
  </si>
  <si>
    <t>N</t>
  </si>
  <si>
    <t xml:space="preserve">N </t>
  </si>
  <si>
    <t xml:space="preserve">BLANCA </t>
  </si>
  <si>
    <t>DELGADO</t>
  </si>
  <si>
    <t>HENRY</t>
  </si>
  <si>
    <t>COLLAGUAZO</t>
  </si>
  <si>
    <t>PAREDES</t>
  </si>
  <si>
    <t>PRESTAMO FERNANDA AVILA</t>
  </si>
  <si>
    <t xml:space="preserve">ARRIENDOS </t>
  </si>
  <si>
    <t>COMIDA Y COMPRAS</t>
  </si>
  <si>
    <t>COMPRAS Y COMIDA</t>
  </si>
  <si>
    <t>PRESTAMOS DANNA</t>
  </si>
  <si>
    <t xml:space="preserve">PRISICILA </t>
  </si>
  <si>
    <t>LIQUIDO DE LENTES</t>
  </si>
  <si>
    <t>SERVCIOS BASICOS</t>
  </si>
  <si>
    <t>SERVICIOS BASICAS</t>
  </si>
  <si>
    <t>ISABLE</t>
  </si>
  <si>
    <t>RODAS</t>
  </si>
  <si>
    <t>ABONO LENTE</t>
  </si>
  <si>
    <t>COMPRAS LILIANA LONDOÑO</t>
  </si>
  <si>
    <t>YUBER PEREIRA</t>
  </si>
  <si>
    <t>SRI MULTA</t>
  </si>
  <si>
    <t>AMERICAN COLLEGE</t>
  </si>
  <si>
    <t>BOLETOS APOYO</t>
  </si>
  <si>
    <t>IESS</t>
  </si>
  <si>
    <t xml:space="preserve">PROVISION </t>
  </si>
  <si>
    <t xml:space="preserve">CRISTOBAL </t>
  </si>
  <si>
    <t>CRISTIAN</t>
  </si>
  <si>
    <t xml:space="preserve">CRISTIAN </t>
  </si>
  <si>
    <t>DEPOSITO ENTRE CUENTAS</t>
  </si>
  <si>
    <t>ESTACION DE SERVICIOS</t>
  </si>
  <si>
    <t>ELIAS</t>
  </si>
  <si>
    <t>SOLORZANO</t>
  </si>
  <si>
    <t>NORA</t>
  </si>
  <si>
    <t>TUQUIÑAGUI</t>
  </si>
  <si>
    <t>AVILA</t>
  </si>
  <si>
    <t>FERNANDA</t>
  </si>
  <si>
    <t>DEVOLUCION DEL PRESTAMOS</t>
  </si>
  <si>
    <t>ARIEL</t>
  </si>
  <si>
    <t>LOJANO</t>
  </si>
  <si>
    <t>YAGUARIMA</t>
  </si>
  <si>
    <t>CONTACTO</t>
  </si>
  <si>
    <t xml:space="preserve">ARREGLO  </t>
  </si>
  <si>
    <t>COMIDA Y MOTORIZADO</t>
  </si>
  <si>
    <t>MACETA OPTICA</t>
  </si>
  <si>
    <t>COMPRA BRYAM KAI</t>
  </si>
  <si>
    <t>MANDILES</t>
  </si>
  <si>
    <t>COMIDA Y EMERGENCIA ABUELO</t>
  </si>
  <si>
    <t>COMIAD DANNA</t>
  </si>
  <si>
    <t>COMPRA</t>
  </si>
  <si>
    <t>SRI RECAUDACION</t>
  </si>
  <si>
    <t xml:space="preserve">SRI </t>
  </si>
  <si>
    <t>JAIME ZULUGA</t>
  </si>
  <si>
    <t>CHRISTIAN AREVALO</t>
  </si>
  <si>
    <t>JUEGOS BRYAM</t>
  </si>
  <si>
    <t>ANA CHICAIZA</t>
  </si>
  <si>
    <t>SERVICIOS BASICOS</t>
  </si>
  <si>
    <t>MARIO</t>
  </si>
  <si>
    <t>URGILEZ</t>
  </si>
  <si>
    <t>DAMIANA</t>
  </si>
  <si>
    <t>PEREZ</t>
  </si>
  <si>
    <t>NORTON</t>
  </si>
  <si>
    <t>CACNELACION</t>
  </si>
  <si>
    <t>FLORES</t>
  </si>
  <si>
    <t>JESE</t>
  </si>
  <si>
    <t>INTERES</t>
  </si>
  <si>
    <t>LORENA</t>
  </si>
  <si>
    <t>ENCALADA</t>
  </si>
  <si>
    <t>ACCESORIOSQ</t>
  </si>
  <si>
    <t>NELSON</t>
  </si>
  <si>
    <t>GAFAS</t>
  </si>
  <si>
    <t>TINTURADO GAFAS</t>
  </si>
  <si>
    <t>KAI</t>
  </si>
  <si>
    <t>SISTEMA</t>
  </si>
  <si>
    <t>SEGURO IESS</t>
  </si>
  <si>
    <t>CYC</t>
  </si>
  <si>
    <t>DATOS MOVILES</t>
  </si>
  <si>
    <t>PAGO DISTRIBUIDORA</t>
  </si>
  <si>
    <t>CHUQUI</t>
  </si>
  <si>
    <t>CORNEJO</t>
  </si>
  <si>
    <t>LIZ</t>
  </si>
  <si>
    <t xml:space="preserve">DEVOLUCION  </t>
  </si>
  <si>
    <t>YUNGA</t>
  </si>
  <si>
    <t>BOLETOS ELY RUBIO</t>
  </si>
  <si>
    <t>PRESTAMO LIZ</t>
  </si>
  <si>
    <t>COMDIA</t>
  </si>
  <si>
    <t>CAMBIO FIRU A LA JEP BRYAM</t>
  </si>
  <si>
    <t>BUS</t>
  </si>
  <si>
    <t>FABIOLA</t>
  </si>
  <si>
    <t>CHICA</t>
  </si>
  <si>
    <t>ALMUERZO</t>
  </si>
  <si>
    <t>ADRIANA</t>
  </si>
  <si>
    <t>PAGO OPTEC</t>
  </si>
  <si>
    <t>DANNA (PANELA)</t>
  </si>
  <si>
    <t>GALES</t>
  </si>
  <si>
    <t>COMPRA PRODUCTOS LIMPIEZA</t>
  </si>
  <si>
    <t>PAGO PECSA</t>
  </si>
  <si>
    <t>PAGO SRI</t>
  </si>
  <si>
    <t>PAGO IMPORTLENS</t>
  </si>
  <si>
    <t>KAI COMIDA</t>
  </si>
  <si>
    <t>COMPRAS COMIDA</t>
  </si>
  <si>
    <t>COMPRAS FUNDAS</t>
  </si>
  <si>
    <t>OPTICA GALE</t>
  </si>
  <si>
    <t>MARIANA</t>
  </si>
  <si>
    <t>NARVAEZ</t>
  </si>
  <si>
    <t>CESAR</t>
  </si>
  <si>
    <t>IGLESIAS</t>
  </si>
  <si>
    <t xml:space="preserve">JARA </t>
  </si>
  <si>
    <t>LLIVICHUZHCA</t>
  </si>
  <si>
    <t>ABONO LENTES</t>
  </si>
  <si>
    <t>ANDREA</t>
  </si>
  <si>
    <t>MEDINA</t>
  </si>
  <si>
    <t>MEGAMAXI</t>
  </si>
  <si>
    <t xml:space="preserve">MAX </t>
  </si>
  <si>
    <t>RODRIGUEZZ</t>
  </si>
  <si>
    <t>LOURDES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</si>
</sst>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FFC000"/>
      <name val="Calibri"/>
      <family val="2"/>
      <scheme val="minor"/>
    </font>
    <font>
      <sz val="2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/>
        <bgColor theme="9"/>
      </patternFill>
    </fill>
    <fill>
      <patternFill patternType="solid">
        <fgColor rgb="FFF6C3FF"/>
        <bgColor indexed="64"/>
      </patternFill>
    </fill>
    <fill>
      <patternFill patternType="solid">
        <fgColor rgb="FFF6C3FF"/>
        <bgColor theme="9" tint="0.59999389629810485"/>
      </patternFill>
    </fill>
    <fill>
      <patternFill patternType="solid">
        <fgColor rgb="FFFF7474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4" xfId="0" applyBorder="1"/>
    <xf numFmtId="14" fontId="0" fillId="0" borderId="0" xfId="0" applyNumberFormat="1"/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1" fillId="9" borderId="0" xfId="0" applyFont="1" applyFill="1" applyAlignment="1">
      <alignment horizontal="center" vertical="center"/>
    </xf>
    <xf numFmtId="14" fontId="0" fillId="10" borderId="0" xfId="0" applyNumberFormat="1" applyFill="1"/>
    <xf numFmtId="0" fontId="0" fillId="10" borderId="0" xfId="0" applyFill="1"/>
    <xf numFmtId="1" fontId="0" fillId="10" borderId="0" xfId="0" applyNumberFormat="1" applyFill="1"/>
    <xf numFmtId="2" fontId="0" fillId="10" borderId="0" xfId="0" applyNumberFormat="1" applyFill="1"/>
    <xf numFmtId="2" fontId="0" fillId="0" borderId="0" xfId="0" applyNumberFormat="1"/>
    <xf numFmtId="0" fontId="0" fillId="12" borderId="9" xfId="0" applyFill="1" applyBorder="1"/>
    <xf numFmtId="0" fontId="0" fillId="12" borderId="10" xfId="0" applyFill="1" applyBorder="1"/>
    <xf numFmtId="0" fontId="0" fillId="13" borderId="9" xfId="0" applyFill="1" applyBorder="1"/>
    <xf numFmtId="0" fontId="0" fillId="13" borderId="10" xfId="0" applyFill="1" applyBorder="1"/>
    <xf numFmtId="0" fontId="1" fillId="14" borderId="11" xfId="0" applyFont="1" applyFill="1" applyBorder="1"/>
    <xf numFmtId="0" fontId="1" fillId="14" borderId="12" xfId="0" applyFont="1" applyFill="1" applyBorder="1"/>
    <xf numFmtId="0" fontId="1" fillId="14" borderId="13" xfId="0" applyFont="1" applyFill="1" applyBorder="1"/>
    <xf numFmtId="14" fontId="0" fillId="13" borderId="7" xfId="0" applyNumberFormat="1" applyFill="1" applyBorder="1"/>
    <xf numFmtId="0" fontId="0" fillId="13" borderId="8" xfId="0" applyFill="1" applyBorder="1"/>
    <xf numFmtId="14" fontId="0" fillId="12" borderId="7" xfId="0" applyNumberFormat="1" applyFill="1" applyBorder="1"/>
    <xf numFmtId="0" fontId="0" fillId="12" borderId="8" xfId="0" applyFill="1" applyBorder="1"/>
    <xf numFmtId="0" fontId="4" fillId="0" borderId="0" xfId="0" applyFont="1" applyAlignment="1">
      <alignment horizontal="center"/>
    </xf>
    <xf numFmtId="0" fontId="0" fillId="15" borderId="0" xfId="0" applyFill="1"/>
    <xf numFmtId="0" fontId="0" fillId="16" borderId="14" xfId="0" applyFill="1" applyBorder="1"/>
    <xf numFmtId="0" fontId="0" fillId="17" borderId="0" xfId="0" applyFill="1"/>
    <xf numFmtId="2" fontId="0" fillId="17" borderId="0" xfId="0" applyNumberFormat="1" applyFill="1"/>
    <xf numFmtId="0" fontId="0" fillId="18" borderId="15" xfId="0" applyFill="1" applyBorder="1"/>
    <xf numFmtId="0" fontId="0" fillId="18" borderId="16" xfId="0" applyFill="1" applyBorder="1"/>
    <xf numFmtId="0" fontId="0" fillId="18" borderId="17" xfId="0" applyFill="1" applyBorder="1"/>
    <xf numFmtId="0" fontId="0" fillId="18" borderId="18" xfId="0" applyFill="1" applyBorder="1"/>
    <xf numFmtId="0" fontId="0" fillId="18" borderId="19" xfId="0" applyFill="1" applyBorder="1"/>
    <xf numFmtId="0" fontId="0" fillId="18" borderId="20" xfId="0" applyFill="1" applyBorder="1"/>
    <xf numFmtId="0" fontId="0" fillId="18" borderId="21" xfId="0" applyFill="1" applyBorder="1"/>
    <xf numFmtId="0" fontId="0" fillId="18" borderId="0" xfId="0" applyFill="1"/>
    <xf numFmtId="0" fontId="0" fillId="18" borderId="22" xfId="0" applyFill="1" applyBorder="1"/>
    <xf numFmtId="0" fontId="0" fillId="18" borderId="23" xfId="0" applyFill="1" applyBorder="1"/>
    <xf numFmtId="0" fontId="0" fillId="18" borderId="24" xfId="0" applyFill="1" applyBorder="1"/>
    <xf numFmtId="0" fontId="0" fillId="18" borderId="25" xfId="0" applyFill="1" applyBorder="1"/>
    <xf numFmtId="14" fontId="0" fillId="12" borderId="0" xfId="0" applyNumberFormat="1" applyFill="1"/>
    <xf numFmtId="0" fontId="0" fillId="12" borderId="0" xfId="0" applyFill="1"/>
    <xf numFmtId="0" fontId="0" fillId="13" borderId="0" xfId="0" applyFill="1"/>
    <xf numFmtId="14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12" borderId="4" xfId="0" applyFill="1" applyBorder="1"/>
    <xf numFmtId="0" fontId="0" fillId="12" borderId="26" xfId="0" applyFill="1" applyBorder="1"/>
    <xf numFmtId="164" fontId="0" fillId="12" borderId="7" xfId="0" applyNumberFormat="1" applyFill="1" applyBorder="1"/>
    <xf numFmtId="164" fontId="0" fillId="13" borderId="7" xfId="0" applyNumberFormat="1" applyFill="1" applyBorder="1"/>
    <xf numFmtId="0" fontId="0" fillId="19" borderId="0" xfId="0" applyFill="1"/>
    <xf numFmtId="2" fontId="0" fillId="19" borderId="0" xfId="0" applyNumberFormat="1" applyFill="1"/>
    <xf numFmtId="2" fontId="0" fillId="18" borderId="25" xfId="0" applyNumberFormat="1" applyFill="1" applyBorder="1"/>
    <xf numFmtId="22" fontId="0" fillId="0" borderId="0" xfId="0" applyNumberFormat="1"/>
    <xf numFmtId="14" fontId="0" fillId="13" borderId="0" xfId="0" applyNumberFormat="1" applyFill="1"/>
    <xf numFmtId="0" fontId="0" fillId="13" borderId="4" xfId="0" applyFill="1" applyBorder="1"/>
    <xf numFmtId="0" fontId="0" fillId="13" borderId="26" xfId="0" applyFill="1" applyBorder="1"/>
    <xf numFmtId="0" fontId="0" fillId="0" borderId="7" xfId="0" applyBorder="1"/>
    <xf numFmtId="14" fontId="0" fillId="10" borderId="8" xfId="0" applyNumberFormat="1" applyFill="1" applyBorder="1"/>
    <xf numFmtId="0" fontId="0" fillId="10" borderId="9" xfId="0" applyFill="1" applyBorder="1"/>
    <xf numFmtId="1" fontId="0" fillId="10" borderId="9" xfId="0" applyNumberFormat="1" applyFill="1" applyBorder="1"/>
    <xf numFmtId="2" fontId="0" fillId="10" borderId="9" xfId="0" applyNumberFormat="1" applyFill="1" applyBorder="1"/>
    <xf numFmtId="164" fontId="0" fillId="10" borderId="0" xfId="0" applyNumberFormat="1" applyFill="1"/>
    <xf numFmtId="2" fontId="0" fillId="5" borderId="1" xfId="0" applyNumberFormat="1" applyFill="1" applyBorder="1"/>
    <xf numFmtId="0" fontId="0" fillId="2" borderId="0" xfId="0" applyFill="1"/>
    <xf numFmtId="0" fontId="1" fillId="21" borderId="0" xfId="0" applyFont="1" applyFill="1" applyAlignment="1">
      <alignment horizontal="center" vertical="center"/>
    </xf>
    <xf numFmtId="164" fontId="0" fillId="0" borderId="0" xfId="0" applyNumberFormat="1"/>
    <xf numFmtId="14" fontId="0" fillId="10" borderId="27" xfId="0" applyNumberFormat="1" applyFill="1" applyBorder="1"/>
    <xf numFmtId="0" fontId="0" fillId="22" borderId="0" xfId="0" applyFill="1"/>
    <xf numFmtId="164" fontId="0" fillId="0" borderId="7" xfId="0" applyNumberFormat="1" applyBorder="1"/>
    <xf numFmtId="14" fontId="0" fillId="10" borderId="0" xfId="0" applyNumberFormat="1" applyFill="1" applyBorder="1"/>
    <xf numFmtId="164" fontId="0" fillId="0" borderId="0" xfId="0" applyNumberFormat="1" applyFill="1"/>
    <xf numFmtId="0" fontId="0" fillId="0" borderId="0" xfId="0" applyNumberFormat="1"/>
    <xf numFmtId="0" fontId="0" fillId="0" borderId="0" xfId="0" applyFill="1"/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49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numFmt numFmtId="2" formatCode="0.00"/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numFmt numFmtId="19" formatCode="dd/mm/yyyy"/>
      <fill>
        <patternFill patternType="solid">
          <fgColor theme="6" tint="0.79998168889431442"/>
          <bgColor theme="6" tint="0.79998168889431442"/>
        </patternFill>
      </fill>
    </dxf>
    <dxf>
      <numFmt numFmtId="19" formatCode="dd/mm/yyyy"/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numFmt numFmtId="2" formatCode="0.00"/>
      <fill>
        <patternFill patternType="solid">
          <fgColor theme="6" tint="0.79998168889431442"/>
          <bgColor theme="6" tint="0.79998168889431442"/>
        </patternFill>
      </fill>
    </dxf>
    <dxf>
      <numFmt numFmtId="2" formatCode="0.00"/>
      <fill>
        <patternFill patternType="solid">
          <fgColor theme="6" tint="0.79998168889431442"/>
          <bgColor theme="6" tint="0.79998168889431442"/>
        </patternFill>
      </fill>
    </dxf>
    <dxf>
      <numFmt numFmtId="1" formatCode="0"/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numFmt numFmtId="164" formatCode="d/m/yyyy"/>
      <fill>
        <patternFill patternType="solid">
          <fgColor theme="6" tint="0.79998168889431442"/>
          <bgColor theme="6" tint="0.79998168889431442"/>
        </patternFill>
      </fill>
    </dxf>
    <dxf>
      <numFmt numFmtId="19" formatCode="dd/mm/yyyy"/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border outline="0">
        <left style="thin">
          <color indexed="64"/>
        </left>
      </border>
    </dxf>
    <dxf>
      <numFmt numFmtId="164" formatCode="d/m/yyyy"/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'RESUMEN 1'!A1"/><Relationship Id="rId7" Type="http://schemas.openxmlformats.org/officeDocument/2006/relationships/hyperlink" Target="#INGRESOS!A1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hyperlink" Target="#'CUENTAS CONTABLES'!A1"/><Relationship Id="rId6" Type="http://schemas.openxmlformats.org/officeDocument/2006/relationships/image" Target="../media/image3.png"/><Relationship Id="rId11" Type="http://schemas.openxmlformats.org/officeDocument/2006/relationships/hyperlink" Target="#TABLA!A1"/><Relationship Id="rId5" Type="http://schemas.openxmlformats.org/officeDocument/2006/relationships/hyperlink" Target="#'RESUMEN 2'!A1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#EGRESOS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'RESUMEN 1'!A1"/><Relationship Id="rId7" Type="http://schemas.openxmlformats.org/officeDocument/2006/relationships/hyperlink" Target="#INGRESOS!A1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hyperlink" Target="#'CUENTAS CONTABLES'!A1"/><Relationship Id="rId6" Type="http://schemas.openxmlformats.org/officeDocument/2006/relationships/image" Target="../media/image3.png"/><Relationship Id="rId11" Type="http://schemas.openxmlformats.org/officeDocument/2006/relationships/hyperlink" Target="#TABLA!A1"/><Relationship Id="rId5" Type="http://schemas.openxmlformats.org/officeDocument/2006/relationships/hyperlink" Target="#'RESUMEN 2'!A1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#EGRESOS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'RESUMEN 1'!A1"/><Relationship Id="rId7" Type="http://schemas.openxmlformats.org/officeDocument/2006/relationships/hyperlink" Target="#INGRESOS!A1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hyperlink" Target="#'CUENTAS CONTABLES'!A1"/><Relationship Id="rId6" Type="http://schemas.openxmlformats.org/officeDocument/2006/relationships/image" Target="../media/image3.png"/><Relationship Id="rId11" Type="http://schemas.openxmlformats.org/officeDocument/2006/relationships/hyperlink" Target="#TABLA!A1"/><Relationship Id="rId5" Type="http://schemas.openxmlformats.org/officeDocument/2006/relationships/hyperlink" Target="#'RESUMEN 2'!A1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#EGRESOS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'RESUMEN 1'!A1"/><Relationship Id="rId7" Type="http://schemas.openxmlformats.org/officeDocument/2006/relationships/hyperlink" Target="#INGRESOS!A1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hyperlink" Target="#'CUENTAS CONTABLES'!A1"/><Relationship Id="rId6" Type="http://schemas.openxmlformats.org/officeDocument/2006/relationships/image" Target="../media/image3.png"/><Relationship Id="rId11" Type="http://schemas.openxmlformats.org/officeDocument/2006/relationships/hyperlink" Target="#TABLA!A1"/><Relationship Id="rId5" Type="http://schemas.openxmlformats.org/officeDocument/2006/relationships/hyperlink" Target="#'RESUMEN 2'!A1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#EGRESOS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'RESUMEN 1'!A1"/><Relationship Id="rId7" Type="http://schemas.openxmlformats.org/officeDocument/2006/relationships/hyperlink" Target="#INGRESOS!A1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hyperlink" Target="#'CUENTAS CONTABLES'!A1"/><Relationship Id="rId6" Type="http://schemas.openxmlformats.org/officeDocument/2006/relationships/image" Target="../media/image3.png"/><Relationship Id="rId11" Type="http://schemas.openxmlformats.org/officeDocument/2006/relationships/hyperlink" Target="#TABLA!A1"/><Relationship Id="rId5" Type="http://schemas.openxmlformats.org/officeDocument/2006/relationships/hyperlink" Target="#'RESUMEN 2'!A1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#EGRESOS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'RESUMEN 1'!A1"/><Relationship Id="rId7" Type="http://schemas.openxmlformats.org/officeDocument/2006/relationships/hyperlink" Target="#INGRESOS!A1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hyperlink" Target="#'CUENTAS CONTABLES'!A1"/><Relationship Id="rId6" Type="http://schemas.openxmlformats.org/officeDocument/2006/relationships/image" Target="../media/image3.png"/><Relationship Id="rId11" Type="http://schemas.openxmlformats.org/officeDocument/2006/relationships/hyperlink" Target="#TABLA!A1"/><Relationship Id="rId5" Type="http://schemas.openxmlformats.org/officeDocument/2006/relationships/hyperlink" Target="#'RESUMEN 2'!A1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#EGRESOS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#'RESUMEN 1'!A1"/><Relationship Id="rId7" Type="http://schemas.openxmlformats.org/officeDocument/2006/relationships/hyperlink" Target="#INGRESOS!A1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hyperlink" Target="#'CUENTAS CONTABLES'!A1"/><Relationship Id="rId6" Type="http://schemas.openxmlformats.org/officeDocument/2006/relationships/image" Target="../media/image3.png"/><Relationship Id="rId11" Type="http://schemas.openxmlformats.org/officeDocument/2006/relationships/hyperlink" Target="#TABLA!A1"/><Relationship Id="rId5" Type="http://schemas.openxmlformats.org/officeDocument/2006/relationships/hyperlink" Target="#'RESUMEN 2'!A1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#EGRESO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1432379</xdr:colOff>
      <xdr:row>0</xdr:row>
      <xdr:rowOff>45794</xdr:rowOff>
    </xdr:from>
    <xdr:to>
      <xdr:col>3</xdr:col>
      <xdr:colOff>327660</xdr:colOff>
      <xdr:row>1</xdr:row>
      <xdr:rowOff>1202</xdr:rowOff>
    </xdr:to>
    <xdr:pic>
      <xdr:nvPicPr>
        <xdr:cNvPr id="8" name="Imagen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D39A97-F4C8-4E81-9296-B6F899A72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77459" y="45794"/>
          <a:ext cx="411661" cy="384033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1</xdr:col>
      <xdr:colOff>890627</xdr:colOff>
      <xdr:row>0</xdr:row>
      <xdr:rowOff>40126</xdr:rowOff>
    </xdr:from>
    <xdr:to>
      <xdr:col>1</xdr:col>
      <xdr:colOff>1360911</xdr:colOff>
      <xdr:row>1</xdr:row>
      <xdr:rowOff>7619</xdr:rowOff>
    </xdr:to>
    <xdr:pic>
      <xdr:nvPicPr>
        <xdr:cNvPr id="9" name="Imagen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25C3DF9-8A38-4848-B797-A3B26FFB3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83107" y="40126"/>
          <a:ext cx="470284" cy="401833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1</xdr:col>
      <xdr:colOff>1710140</xdr:colOff>
      <xdr:row>0</xdr:row>
      <xdr:rowOff>43778</xdr:rowOff>
    </xdr:from>
    <xdr:to>
      <xdr:col>2</xdr:col>
      <xdr:colOff>426720</xdr:colOff>
      <xdr:row>0</xdr:row>
      <xdr:rowOff>423970</xdr:rowOff>
    </xdr:to>
    <xdr:pic>
      <xdr:nvPicPr>
        <xdr:cNvPr id="10" name="Imagen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B864CA1-0EF9-42A4-B8A8-D998CA462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02620" y="43778"/>
          <a:ext cx="469180" cy="38019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1</xdr:col>
      <xdr:colOff>199176</xdr:colOff>
      <xdr:row>0</xdr:row>
      <xdr:rowOff>56001</xdr:rowOff>
    </xdr:from>
    <xdr:to>
      <xdr:col>1</xdr:col>
      <xdr:colOff>594408</xdr:colOff>
      <xdr:row>1</xdr:row>
      <xdr:rowOff>7620</xdr:rowOff>
    </xdr:to>
    <xdr:pic>
      <xdr:nvPicPr>
        <xdr:cNvPr id="11" name="Imagen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7C9D753-2976-4C0A-9FAF-A34D63417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91656" y="56001"/>
          <a:ext cx="395232" cy="385959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0</xdr:col>
      <xdr:colOff>150756</xdr:colOff>
      <xdr:row>0</xdr:row>
      <xdr:rowOff>56638</xdr:rowOff>
    </xdr:from>
    <xdr:to>
      <xdr:col>0</xdr:col>
      <xdr:colOff>598524</xdr:colOff>
      <xdr:row>1</xdr:row>
      <xdr:rowOff>0</xdr:rowOff>
    </xdr:to>
    <xdr:pic>
      <xdr:nvPicPr>
        <xdr:cNvPr id="12" name="Imagen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AE46E46-E2C2-40CF-B137-6FDC55A0E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0756" y="56638"/>
          <a:ext cx="447768" cy="37770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2</xdr:col>
      <xdr:colOff>646804</xdr:colOff>
      <xdr:row>0</xdr:row>
      <xdr:rowOff>39499</xdr:rowOff>
    </xdr:from>
    <xdr:to>
      <xdr:col>2</xdr:col>
      <xdr:colOff>1112519</xdr:colOff>
      <xdr:row>0</xdr:row>
      <xdr:rowOff>428141</xdr:rowOff>
    </xdr:to>
    <xdr:pic>
      <xdr:nvPicPr>
        <xdr:cNvPr id="13" name="Imagen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C52CCA5-1B82-4985-8B14-A2B37C423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191884" y="39499"/>
          <a:ext cx="465715" cy="38864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175079</xdr:colOff>
      <xdr:row>0</xdr:row>
      <xdr:rowOff>45794</xdr:rowOff>
    </xdr:from>
    <xdr:to>
      <xdr:col>5</xdr:col>
      <xdr:colOff>586740</xdr:colOff>
      <xdr:row>0</xdr:row>
      <xdr:rowOff>429827</xdr:rowOff>
    </xdr:to>
    <xdr:pic>
      <xdr:nvPicPr>
        <xdr:cNvPr id="20" name="Imagen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353C91-3CFD-472C-B1D3-559D31A99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37479" y="45794"/>
          <a:ext cx="411661" cy="384033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2</xdr:col>
      <xdr:colOff>166727</xdr:colOff>
      <xdr:row>0</xdr:row>
      <xdr:rowOff>40126</xdr:rowOff>
    </xdr:from>
    <xdr:to>
      <xdr:col>2</xdr:col>
      <xdr:colOff>637011</xdr:colOff>
      <xdr:row>0</xdr:row>
      <xdr:rowOff>441959</xdr:rowOff>
    </xdr:to>
    <xdr:pic>
      <xdr:nvPicPr>
        <xdr:cNvPr id="21" name="Imagen 2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FE24181-9544-4C5B-8B6A-B7CCAD1EE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1687" y="40126"/>
          <a:ext cx="470284" cy="401833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3</xdr:col>
      <xdr:colOff>186140</xdr:colOff>
      <xdr:row>0</xdr:row>
      <xdr:rowOff>51398</xdr:rowOff>
    </xdr:from>
    <xdr:to>
      <xdr:col>3</xdr:col>
      <xdr:colOff>655320</xdr:colOff>
      <xdr:row>0</xdr:row>
      <xdr:rowOff>431590</xdr:rowOff>
    </xdr:to>
    <xdr:pic>
      <xdr:nvPicPr>
        <xdr:cNvPr id="22" name="Imagen 2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D2A306A-D684-4164-92C0-33BBCA147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63580" y="51398"/>
          <a:ext cx="469180" cy="38019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1</xdr:col>
      <xdr:colOff>199176</xdr:colOff>
      <xdr:row>0</xdr:row>
      <xdr:rowOff>56001</xdr:rowOff>
    </xdr:from>
    <xdr:to>
      <xdr:col>1</xdr:col>
      <xdr:colOff>594408</xdr:colOff>
      <xdr:row>0</xdr:row>
      <xdr:rowOff>441960</xdr:rowOff>
    </xdr:to>
    <xdr:pic>
      <xdr:nvPicPr>
        <xdr:cNvPr id="23" name="Imagen 2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5211011-E7AB-46DD-8D03-2F895B602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91656" y="56001"/>
          <a:ext cx="395232" cy="385959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0</xdr:col>
      <xdr:colOff>150756</xdr:colOff>
      <xdr:row>0</xdr:row>
      <xdr:rowOff>56638</xdr:rowOff>
    </xdr:from>
    <xdr:to>
      <xdr:col>0</xdr:col>
      <xdr:colOff>598524</xdr:colOff>
      <xdr:row>0</xdr:row>
      <xdr:rowOff>434340</xdr:rowOff>
    </xdr:to>
    <xdr:pic>
      <xdr:nvPicPr>
        <xdr:cNvPr id="24" name="Imagen 2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E27A947-8551-40A4-A9EC-08A1758B5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0756" y="56638"/>
          <a:ext cx="447768" cy="37770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4</xdr:col>
      <xdr:colOff>166744</xdr:colOff>
      <xdr:row>0</xdr:row>
      <xdr:rowOff>47119</xdr:rowOff>
    </xdr:from>
    <xdr:to>
      <xdr:col>4</xdr:col>
      <xdr:colOff>632459</xdr:colOff>
      <xdr:row>0</xdr:row>
      <xdr:rowOff>435761</xdr:rowOff>
    </xdr:to>
    <xdr:pic>
      <xdr:nvPicPr>
        <xdr:cNvPr id="25" name="Imagen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B777514-3DC1-4795-BE07-FE6C7D65E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336664" y="47119"/>
          <a:ext cx="465715" cy="38864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1066619</xdr:colOff>
      <xdr:row>0</xdr:row>
      <xdr:rowOff>91515</xdr:rowOff>
    </xdr:from>
    <xdr:to>
      <xdr:col>3</xdr:col>
      <xdr:colOff>495300</xdr:colOff>
      <xdr:row>0</xdr:row>
      <xdr:rowOff>571501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F4366A-4BDA-4B6B-926C-20E7B83D7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319" y="91515"/>
          <a:ext cx="533581" cy="479986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1</xdr:col>
      <xdr:colOff>547726</xdr:colOff>
      <xdr:row>0</xdr:row>
      <xdr:rowOff>78227</xdr:rowOff>
    </xdr:from>
    <xdr:to>
      <xdr:col>1</xdr:col>
      <xdr:colOff>1082039</xdr:colOff>
      <xdr:row>0</xdr:row>
      <xdr:rowOff>571500</xdr:rowOff>
    </xdr:to>
    <xdr:pic>
      <xdr:nvPicPr>
        <xdr:cNvPr id="3" name="Imagen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1F7C342-2E8B-4DC9-BBC9-AD54328DC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40206" y="78227"/>
          <a:ext cx="534313" cy="493273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1</xdr:col>
      <xdr:colOff>1161500</xdr:colOff>
      <xdr:row>0</xdr:row>
      <xdr:rowOff>81878</xdr:rowOff>
    </xdr:from>
    <xdr:to>
      <xdr:col>2</xdr:col>
      <xdr:colOff>304800</xdr:colOff>
      <xdr:row>0</xdr:row>
      <xdr:rowOff>571500</xdr:rowOff>
    </xdr:to>
    <xdr:pic>
      <xdr:nvPicPr>
        <xdr:cNvPr id="4" name="Imagen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93FC68B-7AC2-4D09-B411-437616F96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53980" y="81878"/>
          <a:ext cx="522520" cy="48962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0</xdr:col>
      <xdr:colOff>739140</xdr:colOff>
      <xdr:row>0</xdr:row>
      <xdr:rowOff>76200</xdr:rowOff>
    </xdr:from>
    <xdr:to>
      <xdr:col>1</xdr:col>
      <xdr:colOff>487728</xdr:colOff>
      <xdr:row>0</xdr:row>
      <xdr:rowOff>556260</xdr:rowOff>
    </xdr:to>
    <xdr:pic>
      <xdr:nvPicPr>
        <xdr:cNvPr id="5" name="Imagen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8DE7D19-68B9-4616-A1E7-ED3A339B2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9140" y="76200"/>
          <a:ext cx="541068" cy="480060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0</xdr:col>
      <xdr:colOff>143136</xdr:colOff>
      <xdr:row>0</xdr:row>
      <xdr:rowOff>76199</xdr:rowOff>
    </xdr:from>
    <xdr:to>
      <xdr:col>0</xdr:col>
      <xdr:colOff>670560</xdr:colOff>
      <xdr:row>0</xdr:row>
      <xdr:rowOff>556260</xdr:rowOff>
    </xdr:to>
    <xdr:pic>
      <xdr:nvPicPr>
        <xdr:cNvPr id="6" name="Imagen 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50F677E-B540-4365-A962-B050B8AF0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3136" y="76199"/>
          <a:ext cx="527424" cy="480061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2</xdr:col>
      <xdr:colOff>395344</xdr:colOff>
      <xdr:row>0</xdr:row>
      <xdr:rowOff>99059</xdr:rowOff>
    </xdr:from>
    <xdr:to>
      <xdr:col>2</xdr:col>
      <xdr:colOff>922020</xdr:colOff>
      <xdr:row>0</xdr:row>
      <xdr:rowOff>556260</xdr:rowOff>
    </xdr:to>
    <xdr:pic>
      <xdr:nvPicPr>
        <xdr:cNvPr id="7" name="Imagen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70F5DD5-81F9-4D4D-BC85-F69040337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567044" y="99059"/>
          <a:ext cx="526676" cy="457201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175079</xdr:colOff>
      <xdr:row>0</xdr:row>
      <xdr:rowOff>45794</xdr:rowOff>
    </xdr:from>
    <xdr:to>
      <xdr:col>5</xdr:col>
      <xdr:colOff>586740</xdr:colOff>
      <xdr:row>0</xdr:row>
      <xdr:rowOff>429827</xdr:rowOff>
    </xdr:to>
    <xdr:pic>
      <xdr:nvPicPr>
        <xdr:cNvPr id="8" name="Imagen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E7E38B-F1A4-44C1-A4F1-0F0F08249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37479" y="45794"/>
          <a:ext cx="411661" cy="384033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2</xdr:col>
      <xdr:colOff>166727</xdr:colOff>
      <xdr:row>0</xdr:row>
      <xdr:rowOff>40126</xdr:rowOff>
    </xdr:from>
    <xdr:to>
      <xdr:col>2</xdr:col>
      <xdr:colOff>637011</xdr:colOff>
      <xdr:row>0</xdr:row>
      <xdr:rowOff>441959</xdr:rowOff>
    </xdr:to>
    <xdr:pic>
      <xdr:nvPicPr>
        <xdr:cNvPr id="9" name="Imagen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F0FBBC8-D4F5-4A9B-9745-A608E80D1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1687" y="40126"/>
          <a:ext cx="470284" cy="401833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3</xdr:col>
      <xdr:colOff>186140</xdr:colOff>
      <xdr:row>0</xdr:row>
      <xdr:rowOff>51398</xdr:rowOff>
    </xdr:from>
    <xdr:to>
      <xdr:col>3</xdr:col>
      <xdr:colOff>655320</xdr:colOff>
      <xdr:row>0</xdr:row>
      <xdr:rowOff>431590</xdr:rowOff>
    </xdr:to>
    <xdr:pic>
      <xdr:nvPicPr>
        <xdr:cNvPr id="10" name="Imagen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6550BF4-1347-443A-84FA-486DC6F4F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63580" y="51398"/>
          <a:ext cx="469180" cy="38019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1</xdr:col>
      <xdr:colOff>199176</xdr:colOff>
      <xdr:row>0</xdr:row>
      <xdr:rowOff>56001</xdr:rowOff>
    </xdr:from>
    <xdr:to>
      <xdr:col>1</xdr:col>
      <xdr:colOff>594408</xdr:colOff>
      <xdr:row>0</xdr:row>
      <xdr:rowOff>441960</xdr:rowOff>
    </xdr:to>
    <xdr:pic>
      <xdr:nvPicPr>
        <xdr:cNvPr id="11" name="Imagen 1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B1F7189-0B27-460F-BEBC-01992EAF1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91656" y="56001"/>
          <a:ext cx="395232" cy="385959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0</xdr:col>
      <xdr:colOff>150756</xdr:colOff>
      <xdr:row>0</xdr:row>
      <xdr:rowOff>56638</xdr:rowOff>
    </xdr:from>
    <xdr:to>
      <xdr:col>0</xdr:col>
      <xdr:colOff>598524</xdr:colOff>
      <xdr:row>0</xdr:row>
      <xdr:rowOff>434340</xdr:rowOff>
    </xdr:to>
    <xdr:pic>
      <xdr:nvPicPr>
        <xdr:cNvPr id="12" name="Imagen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A13D000-7C1A-46A0-92C5-C385B0FB2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0756" y="56638"/>
          <a:ext cx="447768" cy="37770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4</xdr:col>
      <xdr:colOff>166744</xdr:colOff>
      <xdr:row>0</xdr:row>
      <xdr:rowOff>47119</xdr:rowOff>
    </xdr:from>
    <xdr:to>
      <xdr:col>4</xdr:col>
      <xdr:colOff>632459</xdr:colOff>
      <xdr:row>0</xdr:row>
      <xdr:rowOff>435761</xdr:rowOff>
    </xdr:to>
    <xdr:pic>
      <xdr:nvPicPr>
        <xdr:cNvPr id="13" name="Imagen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17F8146-AF61-4DDE-81FA-9C7113E4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336664" y="47119"/>
          <a:ext cx="465715" cy="38864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175079</xdr:colOff>
      <xdr:row>0</xdr:row>
      <xdr:rowOff>45794</xdr:rowOff>
    </xdr:from>
    <xdr:to>
      <xdr:col>5</xdr:col>
      <xdr:colOff>586740</xdr:colOff>
      <xdr:row>0</xdr:row>
      <xdr:rowOff>429827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42FCBD-303B-421A-8F4D-3957C987C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37479" y="45794"/>
          <a:ext cx="411661" cy="384033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2</xdr:col>
      <xdr:colOff>166727</xdr:colOff>
      <xdr:row>0</xdr:row>
      <xdr:rowOff>40126</xdr:rowOff>
    </xdr:from>
    <xdr:to>
      <xdr:col>2</xdr:col>
      <xdr:colOff>637011</xdr:colOff>
      <xdr:row>0</xdr:row>
      <xdr:rowOff>441959</xdr:rowOff>
    </xdr:to>
    <xdr:pic>
      <xdr:nvPicPr>
        <xdr:cNvPr id="3" name="Imagen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70E5D3E-0B97-4E24-A904-7AC7F2471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1687" y="40126"/>
          <a:ext cx="470284" cy="401833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3</xdr:col>
      <xdr:colOff>186140</xdr:colOff>
      <xdr:row>0</xdr:row>
      <xdr:rowOff>51398</xdr:rowOff>
    </xdr:from>
    <xdr:to>
      <xdr:col>3</xdr:col>
      <xdr:colOff>655320</xdr:colOff>
      <xdr:row>0</xdr:row>
      <xdr:rowOff>431590</xdr:rowOff>
    </xdr:to>
    <xdr:pic>
      <xdr:nvPicPr>
        <xdr:cNvPr id="4" name="Imagen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CD68B88-2C83-4D9A-8C9F-2945768BB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63580" y="51398"/>
          <a:ext cx="469180" cy="38019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1</xdr:col>
      <xdr:colOff>199176</xdr:colOff>
      <xdr:row>0</xdr:row>
      <xdr:rowOff>56001</xdr:rowOff>
    </xdr:from>
    <xdr:to>
      <xdr:col>1</xdr:col>
      <xdr:colOff>594408</xdr:colOff>
      <xdr:row>0</xdr:row>
      <xdr:rowOff>441960</xdr:rowOff>
    </xdr:to>
    <xdr:pic>
      <xdr:nvPicPr>
        <xdr:cNvPr id="5" name="Imagen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4C556FC-829E-4BF9-A895-9A95278B9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91656" y="56001"/>
          <a:ext cx="395232" cy="385959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0</xdr:col>
      <xdr:colOff>150756</xdr:colOff>
      <xdr:row>0</xdr:row>
      <xdr:rowOff>56638</xdr:rowOff>
    </xdr:from>
    <xdr:to>
      <xdr:col>0</xdr:col>
      <xdr:colOff>598524</xdr:colOff>
      <xdr:row>0</xdr:row>
      <xdr:rowOff>434340</xdr:rowOff>
    </xdr:to>
    <xdr:pic>
      <xdr:nvPicPr>
        <xdr:cNvPr id="6" name="Imagen 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87C5C06-94ED-4E80-92C5-9A1144850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0756" y="56638"/>
          <a:ext cx="447768" cy="37770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4</xdr:col>
      <xdr:colOff>166744</xdr:colOff>
      <xdr:row>0</xdr:row>
      <xdr:rowOff>47119</xdr:rowOff>
    </xdr:from>
    <xdr:to>
      <xdr:col>4</xdr:col>
      <xdr:colOff>632459</xdr:colOff>
      <xdr:row>0</xdr:row>
      <xdr:rowOff>435761</xdr:rowOff>
    </xdr:to>
    <xdr:pic>
      <xdr:nvPicPr>
        <xdr:cNvPr id="7" name="Imagen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C030FFA-7BBF-46A8-B6FA-B54868F24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336664" y="47119"/>
          <a:ext cx="465715" cy="38864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175079</xdr:colOff>
      <xdr:row>0</xdr:row>
      <xdr:rowOff>45794</xdr:rowOff>
    </xdr:from>
    <xdr:to>
      <xdr:col>5</xdr:col>
      <xdr:colOff>586740</xdr:colOff>
      <xdr:row>0</xdr:row>
      <xdr:rowOff>429827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4FC1AE-A5EE-4A97-AFFB-05754876D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37479" y="45794"/>
          <a:ext cx="411661" cy="384033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2</xdr:col>
      <xdr:colOff>166727</xdr:colOff>
      <xdr:row>0</xdr:row>
      <xdr:rowOff>40126</xdr:rowOff>
    </xdr:from>
    <xdr:to>
      <xdr:col>2</xdr:col>
      <xdr:colOff>637011</xdr:colOff>
      <xdr:row>0</xdr:row>
      <xdr:rowOff>441959</xdr:rowOff>
    </xdr:to>
    <xdr:pic>
      <xdr:nvPicPr>
        <xdr:cNvPr id="3" name="Imagen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42A0B9F-9862-4BEA-BD70-9371F9FB0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1687" y="40126"/>
          <a:ext cx="470284" cy="401833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3</xdr:col>
      <xdr:colOff>186140</xdr:colOff>
      <xdr:row>0</xdr:row>
      <xdr:rowOff>51398</xdr:rowOff>
    </xdr:from>
    <xdr:to>
      <xdr:col>3</xdr:col>
      <xdr:colOff>655320</xdr:colOff>
      <xdr:row>0</xdr:row>
      <xdr:rowOff>431590</xdr:rowOff>
    </xdr:to>
    <xdr:pic>
      <xdr:nvPicPr>
        <xdr:cNvPr id="4" name="Imagen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CEBFAF4-18EE-4BC1-B20A-40C92CBFD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63580" y="51398"/>
          <a:ext cx="469180" cy="38019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1</xdr:col>
      <xdr:colOff>199176</xdr:colOff>
      <xdr:row>0</xdr:row>
      <xdr:rowOff>56001</xdr:rowOff>
    </xdr:from>
    <xdr:to>
      <xdr:col>1</xdr:col>
      <xdr:colOff>594408</xdr:colOff>
      <xdr:row>0</xdr:row>
      <xdr:rowOff>441960</xdr:rowOff>
    </xdr:to>
    <xdr:pic>
      <xdr:nvPicPr>
        <xdr:cNvPr id="5" name="Imagen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94632A2-FE6A-464A-A99C-BFE713264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91656" y="56001"/>
          <a:ext cx="395232" cy="385959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0</xdr:col>
      <xdr:colOff>150756</xdr:colOff>
      <xdr:row>0</xdr:row>
      <xdr:rowOff>56638</xdr:rowOff>
    </xdr:from>
    <xdr:to>
      <xdr:col>0</xdr:col>
      <xdr:colOff>598524</xdr:colOff>
      <xdr:row>0</xdr:row>
      <xdr:rowOff>434340</xdr:rowOff>
    </xdr:to>
    <xdr:pic>
      <xdr:nvPicPr>
        <xdr:cNvPr id="6" name="Imagen 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4AEB71A-6E87-45DA-9D1D-C7243134C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0756" y="56638"/>
          <a:ext cx="447768" cy="37770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4</xdr:col>
      <xdr:colOff>166744</xdr:colOff>
      <xdr:row>0</xdr:row>
      <xdr:rowOff>47119</xdr:rowOff>
    </xdr:from>
    <xdr:to>
      <xdr:col>4</xdr:col>
      <xdr:colOff>632459</xdr:colOff>
      <xdr:row>0</xdr:row>
      <xdr:rowOff>435761</xdr:rowOff>
    </xdr:to>
    <xdr:pic>
      <xdr:nvPicPr>
        <xdr:cNvPr id="7" name="Imagen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6FE4302-D663-4975-AE8F-50B84A319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336664" y="47119"/>
          <a:ext cx="465715" cy="38864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175079</xdr:colOff>
      <xdr:row>0</xdr:row>
      <xdr:rowOff>45794</xdr:rowOff>
    </xdr:from>
    <xdr:to>
      <xdr:col>5</xdr:col>
      <xdr:colOff>586740</xdr:colOff>
      <xdr:row>0</xdr:row>
      <xdr:rowOff>429827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84B1110-953B-4BDB-84F9-A6FA54AAF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37479" y="45794"/>
          <a:ext cx="411661" cy="384033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2</xdr:col>
      <xdr:colOff>166727</xdr:colOff>
      <xdr:row>0</xdr:row>
      <xdr:rowOff>40126</xdr:rowOff>
    </xdr:from>
    <xdr:to>
      <xdr:col>2</xdr:col>
      <xdr:colOff>637011</xdr:colOff>
      <xdr:row>0</xdr:row>
      <xdr:rowOff>441959</xdr:rowOff>
    </xdr:to>
    <xdr:pic>
      <xdr:nvPicPr>
        <xdr:cNvPr id="3" name="Imagen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DA1E575-EAAB-42F5-80E4-F5D232A12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51687" y="40126"/>
          <a:ext cx="470284" cy="401833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3</xdr:col>
      <xdr:colOff>186140</xdr:colOff>
      <xdr:row>0</xdr:row>
      <xdr:rowOff>51398</xdr:rowOff>
    </xdr:from>
    <xdr:to>
      <xdr:col>3</xdr:col>
      <xdr:colOff>655320</xdr:colOff>
      <xdr:row>0</xdr:row>
      <xdr:rowOff>431590</xdr:rowOff>
    </xdr:to>
    <xdr:pic>
      <xdr:nvPicPr>
        <xdr:cNvPr id="4" name="Imagen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C019F0D-7DFE-4D0F-BF8E-42E17EE3C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563580" y="51398"/>
          <a:ext cx="469180" cy="38019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1</xdr:col>
      <xdr:colOff>199176</xdr:colOff>
      <xdr:row>0</xdr:row>
      <xdr:rowOff>56001</xdr:rowOff>
    </xdr:from>
    <xdr:to>
      <xdr:col>1</xdr:col>
      <xdr:colOff>594408</xdr:colOff>
      <xdr:row>0</xdr:row>
      <xdr:rowOff>441960</xdr:rowOff>
    </xdr:to>
    <xdr:pic>
      <xdr:nvPicPr>
        <xdr:cNvPr id="5" name="Imagen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F84DBA4-90C9-46A5-AED2-1C60AA018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91656" y="56001"/>
          <a:ext cx="395232" cy="385959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0</xdr:col>
      <xdr:colOff>150756</xdr:colOff>
      <xdr:row>0</xdr:row>
      <xdr:rowOff>56638</xdr:rowOff>
    </xdr:from>
    <xdr:to>
      <xdr:col>0</xdr:col>
      <xdr:colOff>598524</xdr:colOff>
      <xdr:row>0</xdr:row>
      <xdr:rowOff>434340</xdr:rowOff>
    </xdr:to>
    <xdr:pic>
      <xdr:nvPicPr>
        <xdr:cNvPr id="6" name="Imagen 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F36C2E2-B93A-4219-A2A7-D75D01C97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50756" y="56638"/>
          <a:ext cx="447768" cy="37770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  <xdr:twoCellAnchor editAs="oneCell">
    <xdr:from>
      <xdr:col>4</xdr:col>
      <xdr:colOff>166744</xdr:colOff>
      <xdr:row>0</xdr:row>
      <xdr:rowOff>47119</xdr:rowOff>
    </xdr:from>
    <xdr:to>
      <xdr:col>4</xdr:col>
      <xdr:colOff>632459</xdr:colOff>
      <xdr:row>0</xdr:row>
      <xdr:rowOff>435761</xdr:rowOff>
    </xdr:to>
    <xdr:pic>
      <xdr:nvPicPr>
        <xdr:cNvPr id="7" name="Imagen 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5021431-B7C0-4DB5-B2DB-0A0CA16E6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336664" y="47119"/>
          <a:ext cx="465715" cy="388642"/>
        </a:xfrm>
        <a:prstGeom prst="rect">
          <a:avLst/>
        </a:prstGeom>
        <a:ln>
          <a:solidFill>
            <a:srgbClr val="C00000"/>
          </a:solidFill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yam" refreshedDate="45548.677037615744" createdVersion="8" refreshedVersion="8" minRefreshableVersion="3" recordCount="10" xr:uid="{28F5B5D8-F809-458F-82D2-A5FF6EE5F235}">
  <cacheSource type="worksheet">
    <worksheetSource ref="A3:L316" sheet="INGRESOS"/>
  </cacheSource>
  <cacheFields count="12">
    <cacheField name="FECHA" numFmtId="14">
      <sharedItems containsSemiMixedTypes="0" containsNonDate="0" containsDate="1" containsString="0" minDate="2024-09-02T00:00:00" maxDate="2024-09-05T00:00:00"/>
    </cacheField>
    <cacheField name="NOMBRE" numFmtId="0">
      <sharedItems containsBlank="1"/>
    </cacheField>
    <cacheField name="APELLIDO" numFmtId="0">
      <sharedItems containsBlank="1"/>
    </cacheField>
    <cacheField name="PRODUCTO" numFmtId="0">
      <sharedItems containsBlank="1" count="3">
        <s v="LENTES"/>
        <s v="CERTIFICADO"/>
        <m u="1"/>
      </sharedItems>
    </cacheField>
    <cacheField name="CANTIDAD" numFmtId="0">
      <sharedItems containsSemiMixedTypes="0" containsString="0" containsNumber="1" containsInteger="1" minValue="1" maxValue="2"/>
    </cacheField>
    <cacheField name="PRECIO" numFmtId="0">
      <sharedItems containsSemiMixedTypes="0" containsString="0" containsNumber="1" containsInteger="1" minValue="3" maxValue="115"/>
    </cacheField>
    <cacheField name="INGRESO" numFmtId="0">
      <sharedItems containsSemiMixedTypes="0" containsString="0" containsNumber="1" containsInteger="1" minValue="5" maxValue="115"/>
    </cacheField>
    <cacheField name="DESCRIPCION" numFmtId="0">
      <sharedItems/>
    </cacheField>
    <cacheField name="OBSERVACION" numFmtId="0">
      <sharedItems containsBlank="1"/>
    </cacheField>
    <cacheField name="TIPO DE PAGO" numFmtId="0">
      <sharedItems/>
    </cacheField>
    <cacheField name="MES" numFmtId="0">
      <sharedItems/>
    </cacheField>
    <cacheField name="AÑO" numFmtId="0">
      <sharedItems containsSemiMixedTypes="0" containsString="0" containsNumber="1" containsInteger="1" minValue="2024" maxValue="20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4-09-02T00:00:00"/>
    <s v="DYLAN"/>
    <s v="MONTAÑO"/>
    <x v="0"/>
    <n v="1"/>
    <n v="10"/>
    <n v="10"/>
    <s v="ABONO"/>
    <m/>
    <s v="EFECTIVO"/>
    <s v="SEPTIEMBRE"/>
    <n v="2024"/>
  </r>
  <r>
    <d v="2024-09-02T00:00:00"/>
    <s v="JUAN"/>
    <s v="ARIAS"/>
    <x v="0"/>
    <n v="1"/>
    <n v="45"/>
    <n v="45"/>
    <s v="CANCELACION"/>
    <m/>
    <s v="EFECTIVO"/>
    <s v="SEPTIEMBRE"/>
    <n v="2024"/>
  </r>
  <r>
    <d v="2024-09-02T00:00:00"/>
    <m/>
    <m/>
    <x v="1"/>
    <n v="2"/>
    <n v="3"/>
    <n v="6"/>
    <s v="CANCELACION"/>
    <m/>
    <s v="EFECTIVO"/>
    <s v="SEPTIEMBRE"/>
    <n v="2024"/>
  </r>
  <r>
    <d v="2024-09-02T00:00:00"/>
    <s v="EMILIA"/>
    <s v="LEON"/>
    <x v="0"/>
    <n v="1"/>
    <n v="50"/>
    <n v="50"/>
    <s v="ABONO"/>
    <s v="PLAZOS"/>
    <s v="EFECTIVO"/>
    <s v="SEPTIEMBRE"/>
    <n v="2024"/>
  </r>
  <r>
    <d v="2024-09-03T00:00:00"/>
    <s v="WASHINGTON"/>
    <m/>
    <x v="0"/>
    <n v="1"/>
    <n v="100"/>
    <n v="100"/>
    <s v="ABONO"/>
    <m/>
    <s v="EFECTIVO"/>
    <s v="SEPTIEMBRE"/>
    <n v="2024"/>
  </r>
  <r>
    <d v="2024-09-03T00:00:00"/>
    <s v="MESIAS"/>
    <s v="ZUÑIGA"/>
    <x v="0"/>
    <n v="1"/>
    <n v="30"/>
    <n v="30"/>
    <s v="ABONO"/>
    <m/>
    <s v="EFECTIVO"/>
    <s v="SEPTIEMBRE"/>
    <n v="2024"/>
  </r>
  <r>
    <d v="2024-09-03T00:00:00"/>
    <s v="RAQUEL"/>
    <s v="PAREDES"/>
    <x v="0"/>
    <n v="1"/>
    <n v="35"/>
    <n v="35"/>
    <s v="CANCELACION"/>
    <m/>
    <s v="EFECTIVO"/>
    <s v="SEPTIEMBRE"/>
    <n v="2024"/>
  </r>
  <r>
    <d v="2024-09-03T00:00:00"/>
    <s v="BOLIVAR"/>
    <s v="ABAD"/>
    <x v="0"/>
    <n v="1"/>
    <n v="70"/>
    <n v="70"/>
    <s v="CANCELACION"/>
    <m/>
    <s v="EFECTIVO"/>
    <s v="SEPTIEMBRE"/>
    <n v="2024"/>
  </r>
  <r>
    <d v="2024-09-04T00:00:00"/>
    <m/>
    <m/>
    <x v="0"/>
    <n v="1"/>
    <n v="5"/>
    <n v="5"/>
    <s v="CANCELACION"/>
    <m/>
    <s v="EFECTIVO"/>
    <s v="SEPTIEMBRE"/>
    <n v="2024"/>
  </r>
  <r>
    <d v="2024-09-04T00:00:00"/>
    <s v="MIRYAM"/>
    <s v="MERCHAN"/>
    <x v="0"/>
    <n v="1"/>
    <n v="115"/>
    <n v="115"/>
    <s v="CANCELACION"/>
    <m/>
    <s v="EFECTIVO"/>
    <s v="SEPTIEMBRE"/>
    <n v="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1F1147-B001-4D9B-823A-76427D932796}" name="TablaDiná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0:A13" firstHeaderRow="1" firstDataRow="1" firstDataCol="1"/>
  <pivotFields count="12">
    <pivotField numFmtId="14" showAll="0"/>
    <pivotField showAll="0"/>
    <pivotField showAll="0"/>
    <pivotField axis="axisRow" showAll="0">
      <items count="4">
        <item m="1"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6EA0A80-4895-441F-BC83-1C72F69279FD}" name="Tabla5" displayName="Tabla5" ref="A3:O316" totalsRowShown="0">
  <autoFilter ref="A3:O316" xr:uid="{E6EA0A80-4895-441F-BC83-1C72F69279FD}">
    <filterColumn colId="0">
      <filters>
        <dateGroupItem year="2026" month="2" dateTimeGrouping="month"/>
        <dateGroupItem year="2024" dateTimeGrouping="year"/>
      </filters>
    </filterColumn>
  </autoFilter>
  <sortState ref="A84:O286">
    <sortCondition ref="A4:A286"/>
  </sortState>
  <tableColumns count="15">
    <tableColumn id="12" xr3:uid="{20984B19-D3F0-4A46-8DB4-3082E277FD8B}" name="FECHA" dataDxfId="48"/>
    <tableColumn id="1" xr3:uid="{2E28451F-9E0E-44D4-A2E4-F18B6F3B1C8D}" name="NOMBRE" dataDxfId="47"/>
    <tableColumn id="2" xr3:uid="{12E22D3C-3AF7-4A5E-B394-1931FF75DB25}" name="APELLIDO"/>
    <tableColumn id="3" xr3:uid="{1A07EFC8-4A7D-41D2-B05C-D0CD9F2E7806}" name="PRODUCTO"/>
    <tableColumn id="4" xr3:uid="{0EA3C1CC-A8B0-4833-91F9-21550F051CA4}" name="CANTIDAD"/>
    <tableColumn id="5" xr3:uid="{B45292BF-A9B4-469A-A747-237F442CBA0E}" name="PRECIO"/>
    <tableColumn id="6" xr3:uid="{FEDC2D72-525A-41BC-A545-D148E9580857}" name="INGRESO" dataDxfId="46">
      <calculatedColumnFormula>E4*F4</calculatedColumnFormula>
    </tableColumn>
    <tableColumn id="7" xr3:uid="{FD3F98AA-2BE9-4E14-B87F-70B7FF6E6D3C}" name="DESCRIPCION"/>
    <tableColumn id="8" xr3:uid="{EBE65128-8271-4A7C-BD56-678B67DFD3D5}" name="OBSERVACION"/>
    <tableColumn id="9" xr3:uid="{D23037D9-6C31-4655-88BC-51CF45EDBCE7}" name="TIPO DE PAGO"/>
    <tableColumn id="10" xr3:uid="{4028D5D6-5D45-4996-BFDE-FFA1104793E7}" name="MES" dataDxfId="45">
      <calculatedColumnFormula>UPPER(TEXT(A4,"MMMM"))</calculatedColumnFormula>
    </tableColumn>
    <tableColumn id="11" xr3:uid="{4D01AAC2-2E06-4495-8A73-EBAD2B97B5D9}" name="AÑO" dataDxfId="44">
      <calculatedColumnFormula>+YEAR(A4)</calculatedColumnFormula>
    </tableColumn>
    <tableColumn id="13" xr3:uid="{F199B8ED-7A26-4FA0-8A56-FFC8FE7C1834}" name="ORDEN"/>
    <tableColumn id="14" xr3:uid="{2D1E3A78-7788-4810-B1AC-B8F62B4A9FBA}" name="SOFFI"/>
    <tableColumn id="15" xr3:uid="{1C01EC3C-4EEA-43B1-9E72-F13B6796A0D0}" name="Columna1" dataDxfId="43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600766-D8CB-4CE3-8841-691B0C200203}" name="Tabla8" displayName="Tabla8" ref="A3:L387" totalsRowShown="0" headerRowDxfId="42" dataDxfId="41">
  <autoFilter ref="A3:L387" xr:uid="{08600766-D8CB-4CE3-8841-691B0C200203}"/>
  <sortState ref="A4:L379">
    <sortCondition ref="A4:A379"/>
  </sortState>
  <tableColumns count="12">
    <tableColumn id="1" xr3:uid="{E7CC5145-A5BC-4D40-97A9-8E36FAFDCBEC}" name="FECHA" dataDxfId="40"/>
    <tableColumn id="2" xr3:uid="{180A4000-5536-4B5C-A740-F3DC36B32455}" name="CUENTA" dataDxfId="39"/>
    <tableColumn id="3" xr3:uid="{B7B1B672-FD96-4A86-BCD1-36F68CC4CF5E}" name="DISTRIBUIDOR" dataDxfId="38"/>
    <tableColumn id="4" xr3:uid="{BBDFC0BD-3C69-49BD-BD1E-F0DB49B74621}" name="CANTIDAD" dataDxfId="37"/>
    <tableColumn id="10" xr3:uid="{FD3FA49A-5E55-4E6A-B0E2-E7083CCDEA7E}" name="PRECIO" dataDxfId="36"/>
    <tableColumn id="5" xr3:uid="{B8CB4BFD-756E-4703-AFAA-2BE5E53E2BB9}" name="EGRESO" dataDxfId="35">
      <calculatedColumnFormula>Tabla8[[#This Row],[CANTIDAD]]*Tabla8[[#This Row],[PRECIO]]</calculatedColumnFormula>
    </tableColumn>
    <tableColumn id="6" xr3:uid="{C4A5F6A6-E3E2-47E2-B87C-23CC98BBC469}" name="DETALLE ADICIONAL" dataDxfId="34"/>
    <tableColumn id="7" xr3:uid="{975A4561-C034-420A-BE51-DE97B6940E84}" name="NO. DOCUMENTO" dataDxfId="33"/>
    <tableColumn id="8" xr3:uid="{C549AD8B-13E1-4398-A66D-ED74C2B6D70C}" name="MES" dataDxfId="32">
      <calculatedColumnFormula>UPPER(TEXT(A4,"MMMM"))</calculatedColumnFormula>
    </tableColumn>
    <tableColumn id="9" xr3:uid="{0A8B103D-6243-414D-8BD4-DE3AA05AF661}" name="AÑO" dataDxfId="31">
      <calculatedColumnFormula>+YEAR(A4)</calculatedColumnFormula>
    </tableColumn>
    <tableColumn id="11" xr3:uid="{C6994FAC-FB83-4775-B4DA-C563B97FA053}" name="TIPO DE PAGO" dataDxfId="30"/>
    <tableColumn id="12" xr3:uid="{A4D8BBCB-254D-4146-9AF6-12A233D82BED}" name="Columna1" dataDxfId="2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0922CE1-C089-4ED7-BF71-B84035DAC215}" name="Tabla6" displayName="Tabla6" ref="A3:I72" totalsRowShown="0" headerRowDxfId="28" dataDxfId="27">
  <autoFilter ref="A3:I72" xr:uid="{60922CE1-C089-4ED7-BF71-B84035DAC215}"/>
  <sortState ref="A4:I72">
    <sortCondition ref="A4:A72"/>
  </sortState>
  <tableColumns count="9">
    <tableColumn id="1" xr3:uid="{A41ACEAC-EA9E-4D2B-89AF-1005485F6793}" name="FECHA" dataDxfId="26"/>
    <tableColumn id="2" xr3:uid="{6D90ABED-CE10-459F-8F59-72EA76DAC25C}" name="CUENTA" dataDxfId="25"/>
    <tableColumn id="3" xr3:uid="{4B12740C-1DA8-4688-AC75-35EDC2B33463}" name="DISTRIBUIDOR" dataDxfId="24"/>
    <tableColumn id="6" xr3:uid="{C3887CE1-82C1-4A0F-9248-A33071E15ADE}" name="TOTAL" dataDxfId="23"/>
    <tableColumn id="7" xr3:uid="{968E62E5-8A97-4486-A40A-9443C69DB171}" name="DETALLE ADICIONAL" dataDxfId="22"/>
    <tableColumn id="8" xr3:uid="{FD9EA63A-D66C-40A2-B292-026BDF678CB9}" name="NO. DOCUMENTO" dataDxfId="21"/>
    <tableColumn id="9" xr3:uid="{901252D2-70DC-4CED-8A29-D720DA94739A}" name="MES" dataDxfId="20">
      <calculatedColumnFormula>UPPER(TEXT(A4,"MMMM"))</calculatedColumnFormula>
    </tableColumn>
    <tableColumn id="10" xr3:uid="{E101EA0C-C675-4FF2-965A-A52692DA0CCA}" name="AÑO" dataDxfId="19">
      <calculatedColumnFormula>+YEAR(A4)</calculatedColumnFormula>
    </tableColumn>
    <tableColumn id="11" xr3:uid="{6DC783CA-940E-4DAD-B3CD-9026BFCA5DA2}" name="TIPO DE PAGO" dataDxfId="18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2F1760-DA25-4439-B1A0-C1A4A13CCFBB}" name="INGRESO" displayName="INGRESO" ref="A4:A7" totalsRowShown="0" headerRowDxfId="17" dataDxfId="16">
  <autoFilter ref="A4:A7" xr:uid="{D22F1760-DA25-4439-B1A0-C1A4A13CCFBB}"/>
  <tableColumns count="1">
    <tableColumn id="1" xr3:uid="{F484495D-7B07-4DC5-9A1A-0B019F117EE5}" name="CUENTAS DE INGRESO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8AEFC8-6DDF-434F-996E-76FE8E86DCDD}" name="GASTO" displayName="GASTO" ref="C4:C16" totalsRowShown="0" headerRowDxfId="14" dataDxfId="13">
  <autoFilter ref="C4:C16" xr:uid="{6F8AEFC8-6DDF-434F-996E-76FE8E86DCDD}"/>
  <tableColumns count="1">
    <tableColumn id="1" xr3:uid="{A398C4FD-A7D7-4ADA-8B38-8A50FE26A3B5}" name="CUENTAS DE GASTO" dataDxfId="1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98B330-375E-4F03-8D5B-D61448669789}" name="MERCADERIA" displayName="MERCADERIA" ref="E4:E10" totalsRowShown="0" headerRowDxfId="11" dataDxfId="10">
  <autoFilter ref="E4:E10" xr:uid="{7598B330-375E-4F03-8D5B-D61448669789}"/>
  <tableColumns count="1">
    <tableColumn id="1" xr3:uid="{7FCBAB87-F666-44E0-8C17-0C38B1CE1CDE}" name="PRODUCTO" dataDxfId="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76942C-F9C0-4771-8F22-4B5D5E9FAAAF}" name="MERCADERIA9" displayName="MERCADERIA9" ref="G4:G14" totalsRowShown="0" headerRowDxfId="8" dataDxfId="7">
  <autoFilter ref="G4:G14" xr:uid="{0876942C-F9C0-4771-8F22-4B5D5E9FAAAF}"/>
  <tableColumns count="1">
    <tableColumn id="1" xr3:uid="{59A20FB3-4AFE-4059-92E8-3B8599D96699}" name="TIPO DE PAGO" dataDxfId="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165A26A-EFD5-465E-9337-D42FE02C6A63}" name="INGRESO8" displayName="INGRESO8" ref="I4:I25" totalsRowShown="0" headerRowDxfId="5" dataDxfId="4">
  <autoFilter ref="I4:I25" xr:uid="{9165A26A-EFD5-465E-9337-D42FE02C6A63}"/>
  <tableColumns count="1">
    <tableColumn id="1" xr3:uid="{022F872B-6A16-4EC5-832A-8038D03EE58D}" name="DISTRIBUIDOR" dataDxfId="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E62B9B4-A53C-4CE9-8295-A94D1639FFB2}" name="INGRESO10" displayName="INGRESO10" ref="K4:K7" totalsRowShown="0" headerRowDxfId="2" dataDxfId="1">
  <autoFilter ref="K4:K7" xr:uid="{0E62B9B4-A53C-4CE9-8295-A94D1639FFB2}"/>
  <tableColumns count="1">
    <tableColumn id="1" xr3:uid="{73CB39BB-4736-43EE-8E3E-67E99CA6F9F8}" name="ESTA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drawing" Target="../drawings/drawing7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9F430-C852-4215-8137-A846D213C420}">
  <sheetPr>
    <pageSetUpPr fitToPage="1"/>
  </sheetPr>
  <dimension ref="A1:O316"/>
  <sheetViews>
    <sheetView topLeftCell="A287" workbookViewId="0">
      <selection activeCell="I316" sqref="I316"/>
    </sheetView>
  </sheetViews>
  <sheetFormatPr baseColWidth="10" defaultRowHeight="15" x14ac:dyDescent="0.25"/>
  <cols>
    <col min="2" max="2" width="25.5703125" customWidth="1"/>
    <col min="3" max="3" width="22.140625" customWidth="1"/>
    <col min="4" max="4" width="14.28515625" customWidth="1"/>
    <col min="7" max="7" width="14.28515625" customWidth="1"/>
    <col min="8" max="8" width="14.140625" customWidth="1"/>
    <col min="9" max="9" width="15.140625" customWidth="1"/>
    <col min="10" max="10" width="15.7109375" customWidth="1"/>
  </cols>
  <sheetData>
    <row r="1" spans="1:15" ht="34.15" customHeight="1" x14ac:dyDescent="0.25">
      <c r="A1" s="80"/>
      <c r="B1" s="80"/>
      <c r="C1" s="80"/>
      <c r="D1" s="80"/>
      <c r="E1" s="81" t="s">
        <v>0</v>
      </c>
      <c r="F1" s="81"/>
      <c r="G1" s="81"/>
      <c r="H1" s="81"/>
      <c r="I1" s="81"/>
      <c r="J1" s="81"/>
      <c r="K1" s="81"/>
      <c r="L1" s="81"/>
      <c r="M1" s="81"/>
    </row>
    <row r="3" spans="1:15" x14ac:dyDescent="0.25">
      <c r="A3" t="s">
        <v>1</v>
      </c>
      <c r="B3" t="s">
        <v>11</v>
      </c>
      <c r="C3" t="s">
        <v>12</v>
      </c>
      <c r="D3" t="s">
        <v>9</v>
      </c>
      <c r="E3" t="s">
        <v>3</v>
      </c>
      <c r="F3" t="s">
        <v>4</v>
      </c>
      <c r="G3" t="s">
        <v>5</v>
      </c>
      <c r="H3" t="s">
        <v>6</v>
      </c>
      <c r="I3" t="s">
        <v>36</v>
      </c>
      <c r="J3" t="s">
        <v>10</v>
      </c>
      <c r="K3" t="s">
        <v>7</v>
      </c>
      <c r="L3" t="s">
        <v>8</v>
      </c>
      <c r="M3" t="s">
        <v>75</v>
      </c>
      <c r="N3" t="s">
        <v>100</v>
      </c>
      <c r="O3" t="s">
        <v>90</v>
      </c>
    </row>
    <row r="4" spans="1:15" hidden="1" x14ac:dyDescent="0.25">
      <c r="A4" s="4">
        <v>46023</v>
      </c>
      <c r="B4" s="3" t="s">
        <v>396</v>
      </c>
      <c r="C4" s="3"/>
      <c r="E4">
        <v>1</v>
      </c>
      <c r="F4">
        <v>1993.66</v>
      </c>
      <c r="G4">
        <f t="shared" ref="G4:G35" si="0">E4*F4</f>
        <v>1993.66</v>
      </c>
      <c r="H4" t="s">
        <v>38</v>
      </c>
      <c r="I4" t="s">
        <v>397</v>
      </c>
      <c r="J4" t="s">
        <v>18</v>
      </c>
      <c r="K4" t="str">
        <f t="shared" ref="K4:K35" si="1">UPPER(TEXT(A4,"MMMM"))</f>
        <v>ENERO</v>
      </c>
      <c r="L4">
        <f t="shared" ref="L4:L35" si="2">+YEAR(A4)</f>
        <v>2026</v>
      </c>
    </row>
    <row r="5" spans="1:15" hidden="1" x14ac:dyDescent="0.25">
      <c r="A5" s="60">
        <v>46023</v>
      </c>
      <c r="B5" s="61" t="s">
        <v>433</v>
      </c>
      <c r="C5" s="61"/>
      <c r="D5" s="47"/>
      <c r="E5" s="47">
        <v>1</v>
      </c>
      <c r="F5" s="47">
        <v>445.83</v>
      </c>
      <c r="G5">
        <f t="shared" si="0"/>
        <v>445.83</v>
      </c>
      <c r="H5" s="47" t="s">
        <v>38</v>
      </c>
      <c r="I5" s="47"/>
      <c r="J5" s="47" t="s">
        <v>27</v>
      </c>
      <c r="K5" t="str">
        <f t="shared" si="1"/>
        <v>ENERO</v>
      </c>
      <c r="L5">
        <f t="shared" si="2"/>
        <v>2026</v>
      </c>
      <c r="M5" s="47"/>
      <c r="N5" s="46"/>
    </row>
    <row r="6" spans="1:15" hidden="1" x14ac:dyDescent="0.25">
      <c r="A6" s="4">
        <v>46027</v>
      </c>
      <c r="B6" s="3" t="s">
        <v>252</v>
      </c>
      <c r="C6" s="3" t="s">
        <v>253</v>
      </c>
      <c r="D6" t="s">
        <v>17</v>
      </c>
      <c r="E6">
        <v>1</v>
      </c>
      <c r="F6">
        <v>135</v>
      </c>
      <c r="G6">
        <f t="shared" si="0"/>
        <v>135</v>
      </c>
      <c r="H6" t="s">
        <v>38</v>
      </c>
      <c r="J6" t="s">
        <v>18</v>
      </c>
      <c r="K6" t="str">
        <f t="shared" si="1"/>
        <v>ENERO</v>
      </c>
      <c r="L6">
        <f t="shared" si="2"/>
        <v>2026</v>
      </c>
    </row>
    <row r="7" spans="1:15" hidden="1" x14ac:dyDescent="0.25">
      <c r="A7" s="4">
        <v>46027</v>
      </c>
      <c r="B7" s="3" t="s">
        <v>254</v>
      </c>
      <c r="C7" s="3" t="s">
        <v>255</v>
      </c>
      <c r="D7" t="s">
        <v>17</v>
      </c>
      <c r="E7">
        <v>1</v>
      </c>
      <c r="F7">
        <v>25</v>
      </c>
      <c r="G7">
        <f t="shared" si="0"/>
        <v>25</v>
      </c>
      <c r="H7" t="s">
        <v>38</v>
      </c>
      <c r="J7" t="s">
        <v>18</v>
      </c>
      <c r="K7" t="str">
        <f t="shared" si="1"/>
        <v>ENERO</v>
      </c>
      <c r="L7">
        <f t="shared" si="2"/>
        <v>2026</v>
      </c>
    </row>
    <row r="8" spans="1:15" hidden="1" x14ac:dyDescent="0.25">
      <c r="A8" s="4">
        <v>46027</v>
      </c>
      <c r="B8" s="3" t="s">
        <v>250</v>
      </c>
      <c r="C8" s="3" t="s">
        <v>251</v>
      </c>
      <c r="D8" t="s">
        <v>17</v>
      </c>
      <c r="E8">
        <v>1</v>
      </c>
      <c r="F8">
        <v>40</v>
      </c>
      <c r="G8">
        <f t="shared" si="0"/>
        <v>40</v>
      </c>
      <c r="H8" t="s">
        <v>37</v>
      </c>
      <c r="J8" t="s">
        <v>18</v>
      </c>
      <c r="K8" t="str">
        <f t="shared" si="1"/>
        <v>ENERO</v>
      </c>
      <c r="L8">
        <f t="shared" si="2"/>
        <v>2026</v>
      </c>
    </row>
    <row r="9" spans="1:15" hidden="1" x14ac:dyDescent="0.25">
      <c r="A9" s="4">
        <v>46028</v>
      </c>
      <c r="B9" s="3" t="s">
        <v>257</v>
      </c>
      <c r="C9" s="3" t="s">
        <v>256</v>
      </c>
      <c r="D9" t="s">
        <v>21</v>
      </c>
      <c r="E9">
        <v>1</v>
      </c>
      <c r="F9">
        <v>5</v>
      </c>
      <c r="G9">
        <f t="shared" si="0"/>
        <v>5</v>
      </c>
      <c r="H9" t="s">
        <v>38</v>
      </c>
      <c r="J9" t="s">
        <v>18</v>
      </c>
      <c r="K9" t="str">
        <f t="shared" si="1"/>
        <v>ENERO</v>
      </c>
      <c r="L9">
        <f t="shared" si="2"/>
        <v>2026</v>
      </c>
    </row>
    <row r="10" spans="1:15" hidden="1" x14ac:dyDescent="0.25">
      <c r="A10" s="4">
        <v>46028</v>
      </c>
      <c r="B10" s="3" t="s">
        <v>257</v>
      </c>
      <c r="C10" s="3" t="s">
        <v>258</v>
      </c>
      <c r="D10" t="s">
        <v>17</v>
      </c>
      <c r="E10">
        <v>1</v>
      </c>
      <c r="F10">
        <v>20</v>
      </c>
      <c r="G10">
        <f t="shared" si="0"/>
        <v>20</v>
      </c>
      <c r="H10" t="s">
        <v>37</v>
      </c>
      <c r="J10" t="s">
        <v>18</v>
      </c>
      <c r="K10" t="str">
        <f t="shared" si="1"/>
        <v>ENERO</v>
      </c>
      <c r="L10">
        <f t="shared" si="2"/>
        <v>2026</v>
      </c>
    </row>
    <row r="11" spans="1:15" hidden="1" x14ac:dyDescent="0.25">
      <c r="A11" s="4">
        <v>46028</v>
      </c>
      <c r="B11" s="3" t="s">
        <v>259</v>
      </c>
      <c r="C11" s="3" t="s">
        <v>260</v>
      </c>
      <c r="D11" t="s">
        <v>17</v>
      </c>
      <c r="E11">
        <v>1</v>
      </c>
      <c r="F11">
        <v>160</v>
      </c>
      <c r="G11">
        <f t="shared" si="0"/>
        <v>160</v>
      </c>
      <c r="H11" t="s">
        <v>38</v>
      </c>
      <c r="J11" t="s">
        <v>18</v>
      </c>
      <c r="K11" t="str">
        <f t="shared" si="1"/>
        <v>ENERO</v>
      </c>
      <c r="L11">
        <f t="shared" si="2"/>
        <v>2026</v>
      </c>
    </row>
    <row r="12" spans="1:15" hidden="1" x14ac:dyDescent="0.25">
      <c r="A12" s="4">
        <v>46028</v>
      </c>
      <c r="B12" s="3" t="s">
        <v>105</v>
      </c>
      <c r="C12" s="3" t="s">
        <v>13</v>
      </c>
      <c r="D12" t="s">
        <v>17</v>
      </c>
      <c r="E12">
        <v>1</v>
      </c>
      <c r="F12">
        <v>216.2</v>
      </c>
      <c r="G12">
        <f t="shared" si="0"/>
        <v>216.2</v>
      </c>
      <c r="H12" t="s">
        <v>38</v>
      </c>
      <c r="J12" t="s">
        <v>18</v>
      </c>
      <c r="K12" t="str">
        <f t="shared" si="1"/>
        <v>ENERO</v>
      </c>
      <c r="L12">
        <f t="shared" si="2"/>
        <v>2026</v>
      </c>
    </row>
    <row r="13" spans="1:15" hidden="1" x14ac:dyDescent="0.25">
      <c r="A13" s="4">
        <v>46028</v>
      </c>
      <c r="B13" s="3" t="s">
        <v>261</v>
      </c>
      <c r="C13" s="3" t="s">
        <v>262</v>
      </c>
      <c r="D13" t="s">
        <v>17</v>
      </c>
      <c r="E13">
        <v>1</v>
      </c>
      <c r="F13">
        <v>10</v>
      </c>
      <c r="G13">
        <f t="shared" si="0"/>
        <v>10</v>
      </c>
      <c r="H13" t="s">
        <v>37</v>
      </c>
      <c r="J13" t="s">
        <v>18</v>
      </c>
      <c r="K13" t="str">
        <f t="shared" si="1"/>
        <v>ENERO</v>
      </c>
      <c r="L13">
        <f t="shared" si="2"/>
        <v>2026</v>
      </c>
    </row>
    <row r="14" spans="1:15" hidden="1" x14ac:dyDescent="0.25">
      <c r="A14" s="4">
        <v>46028</v>
      </c>
      <c r="B14" s="3" t="s">
        <v>250</v>
      </c>
      <c r="C14" s="3" t="s">
        <v>251</v>
      </c>
      <c r="D14" t="s">
        <v>17</v>
      </c>
      <c r="E14">
        <v>1</v>
      </c>
      <c r="F14">
        <v>25</v>
      </c>
      <c r="G14">
        <f t="shared" si="0"/>
        <v>25</v>
      </c>
      <c r="H14" t="s">
        <v>38</v>
      </c>
      <c r="J14" t="s">
        <v>18</v>
      </c>
      <c r="K14" t="str">
        <f t="shared" si="1"/>
        <v>ENERO</v>
      </c>
      <c r="L14">
        <f t="shared" si="2"/>
        <v>2026</v>
      </c>
    </row>
    <row r="15" spans="1:15" hidden="1" x14ac:dyDescent="0.25">
      <c r="A15" s="4">
        <v>46029</v>
      </c>
      <c r="B15" s="3" t="s">
        <v>265</v>
      </c>
      <c r="C15" s="3" t="s">
        <v>255</v>
      </c>
      <c r="D15" t="s">
        <v>17</v>
      </c>
      <c r="E15">
        <v>1</v>
      </c>
      <c r="F15">
        <v>50</v>
      </c>
      <c r="G15">
        <f t="shared" si="0"/>
        <v>50</v>
      </c>
      <c r="H15" t="s">
        <v>37</v>
      </c>
      <c r="J15" t="s">
        <v>18</v>
      </c>
      <c r="K15" t="str">
        <f t="shared" si="1"/>
        <v>ENERO</v>
      </c>
      <c r="L15">
        <f t="shared" si="2"/>
        <v>2026</v>
      </c>
    </row>
    <row r="16" spans="1:15" hidden="1" x14ac:dyDescent="0.25">
      <c r="A16" s="4">
        <v>46029</v>
      </c>
      <c r="B16" s="3" t="s">
        <v>28</v>
      </c>
      <c r="C16" s="3" t="s">
        <v>263</v>
      </c>
      <c r="D16" t="s">
        <v>17</v>
      </c>
      <c r="E16">
        <v>1</v>
      </c>
      <c r="F16">
        <v>50</v>
      </c>
      <c r="G16">
        <f t="shared" si="0"/>
        <v>50</v>
      </c>
      <c r="H16" t="s">
        <v>37</v>
      </c>
      <c r="J16" t="s">
        <v>18</v>
      </c>
      <c r="K16" t="str">
        <f t="shared" si="1"/>
        <v>ENERO</v>
      </c>
      <c r="L16">
        <f t="shared" si="2"/>
        <v>2026</v>
      </c>
    </row>
    <row r="17" spans="1:14" hidden="1" x14ac:dyDescent="0.25">
      <c r="A17" s="60">
        <v>46029</v>
      </c>
      <c r="B17" s="61" t="s">
        <v>28</v>
      </c>
      <c r="C17" s="61" t="s">
        <v>263</v>
      </c>
      <c r="D17" s="47" t="s">
        <v>17</v>
      </c>
      <c r="E17" s="47">
        <v>1</v>
      </c>
      <c r="F17" s="47">
        <v>125</v>
      </c>
      <c r="G17">
        <f t="shared" si="0"/>
        <v>125</v>
      </c>
      <c r="H17" s="47" t="s">
        <v>38</v>
      </c>
      <c r="I17" s="47"/>
      <c r="J17" s="47" t="s">
        <v>27</v>
      </c>
      <c r="K17" t="str">
        <f t="shared" si="1"/>
        <v>ENERO</v>
      </c>
      <c r="L17">
        <f t="shared" si="2"/>
        <v>2026</v>
      </c>
      <c r="M17" s="47"/>
      <c r="N17" s="46"/>
    </row>
    <row r="18" spans="1:14" hidden="1" x14ac:dyDescent="0.25">
      <c r="A18" s="4">
        <v>46029</v>
      </c>
      <c r="B18" s="3" t="s">
        <v>264</v>
      </c>
      <c r="C18" s="3" t="s">
        <v>262</v>
      </c>
      <c r="D18" t="s">
        <v>17</v>
      </c>
      <c r="E18">
        <v>1</v>
      </c>
      <c r="F18">
        <v>30</v>
      </c>
      <c r="G18">
        <f t="shared" si="0"/>
        <v>30</v>
      </c>
      <c r="H18" t="s">
        <v>38</v>
      </c>
      <c r="J18" t="s">
        <v>18</v>
      </c>
      <c r="K18" t="str">
        <f t="shared" si="1"/>
        <v>ENERO</v>
      </c>
      <c r="L18">
        <f t="shared" si="2"/>
        <v>2026</v>
      </c>
    </row>
    <row r="19" spans="1:14" hidden="1" x14ac:dyDescent="0.25">
      <c r="A19" s="4">
        <v>46029</v>
      </c>
      <c r="B19" s="3" t="s">
        <v>158</v>
      </c>
      <c r="C19" s="3" t="s">
        <v>158</v>
      </c>
      <c r="D19" t="s">
        <v>17</v>
      </c>
      <c r="E19">
        <v>1</v>
      </c>
      <c r="F19">
        <v>12</v>
      </c>
      <c r="G19">
        <f t="shared" si="0"/>
        <v>12</v>
      </c>
      <c r="H19" t="s">
        <v>38</v>
      </c>
      <c r="I19" t="s">
        <v>270</v>
      </c>
      <c r="J19" t="s">
        <v>18</v>
      </c>
      <c r="K19" t="str">
        <f t="shared" si="1"/>
        <v>ENERO</v>
      </c>
      <c r="L19">
        <f t="shared" si="2"/>
        <v>2026</v>
      </c>
    </row>
    <row r="20" spans="1:14" hidden="1" x14ac:dyDescent="0.25">
      <c r="A20" s="4">
        <v>46030</v>
      </c>
      <c r="B20" s="3" t="s">
        <v>21</v>
      </c>
      <c r="C20" s="3" t="s">
        <v>271</v>
      </c>
      <c r="D20" t="s">
        <v>17</v>
      </c>
      <c r="E20">
        <v>1</v>
      </c>
      <c r="F20">
        <v>5</v>
      </c>
      <c r="G20">
        <f t="shared" si="0"/>
        <v>5</v>
      </c>
      <c r="H20" t="s">
        <v>38</v>
      </c>
      <c r="I20" t="s">
        <v>211</v>
      </c>
      <c r="J20" t="s">
        <v>18</v>
      </c>
      <c r="K20" t="str">
        <f t="shared" si="1"/>
        <v>ENERO</v>
      </c>
      <c r="L20">
        <f t="shared" si="2"/>
        <v>2026</v>
      </c>
    </row>
    <row r="21" spans="1:14" hidden="1" x14ac:dyDescent="0.25">
      <c r="A21" s="60">
        <v>46030</v>
      </c>
      <c r="B21" s="52" t="s">
        <v>437</v>
      </c>
      <c r="C21" s="52"/>
      <c r="D21" s="46"/>
      <c r="E21" s="46">
        <v>1</v>
      </c>
      <c r="F21" s="46">
        <v>207</v>
      </c>
      <c r="G21">
        <f t="shared" si="0"/>
        <v>207</v>
      </c>
      <c r="H21" s="46" t="s">
        <v>38</v>
      </c>
      <c r="I21" s="46" t="s">
        <v>437</v>
      </c>
      <c r="J21" s="46" t="s">
        <v>27</v>
      </c>
      <c r="K21" t="str">
        <f t="shared" si="1"/>
        <v>ENERO</v>
      </c>
      <c r="L21">
        <f t="shared" si="2"/>
        <v>2026</v>
      </c>
      <c r="M21" s="46"/>
      <c r="N21" s="46"/>
    </row>
    <row r="22" spans="1:14" hidden="1" x14ac:dyDescent="0.25">
      <c r="A22" s="4">
        <v>46030</v>
      </c>
      <c r="B22" s="3" t="s">
        <v>268</v>
      </c>
      <c r="C22" s="3" t="s">
        <v>269</v>
      </c>
      <c r="D22" t="s">
        <v>17</v>
      </c>
      <c r="E22">
        <v>1</v>
      </c>
      <c r="F22">
        <v>100</v>
      </c>
      <c r="G22">
        <f t="shared" si="0"/>
        <v>100</v>
      </c>
      <c r="H22" t="s">
        <v>37</v>
      </c>
      <c r="J22" t="s">
        <v>18</v>
      </c>
      <c r="K22" t="str">
        <f t="shared" si="1"/>
        <v>ENERO</v>
      </c>
      <c r="L22">
        <f t="shared" si="2"/>
        <v>2026</v>
      </c>
    </row>
    <row r="23" spans="1:14" hidden="1" x14ac:dyDescent="0.25">
      <c r="A23" s="4">
        <v>46030</v>
      </c>
      <c r="B23" s="3" t="s">
        <v>266</v>
      </c>
      <c r="C23" s="3" t="s">
        <v>267</v>
      </c>
      <c r="D23" t="s">
        <v>17</v>
      </c>
      <c r="E23">
        <v>1</v>
      </c>
      <c r="F23">
        <v>110</v>
      </c>
      <c r="G23">
        <f t="shared" si="0"/>
        <v>110</v>
      </c>
      <c r="H23" t="s">
        <v>37</v>
      </c>
      <c r="I23" t="s">
        <v>151</v>
      </c>
      <c r="J23" t="s">
        <v>18</v>
      </c>
      <c r="K23" t="str">
        <f t="shared" si="1"/>
        <v>ENERO</v>
      </c>
      <c r="L23">
        <f t="shared" si="2"/>
        <v>2026</v>
      </c>
    </row>
    <row r="24" spans="1:14" hidden="1" x14ac:dyDescent="0.25">
      <c r="A24" s="60">
        <v>46030</v>
      </c>
      <c r="B24" s="61" t="s">
        <v>434</v>
      </c>
      <c r="C24" s="61" t="s">
        <v>435</v>
      </c>
      <c r="D24" s="47"/>
      <c r="E24" s="47">
        <v>1</v>
      </c>
      <c r="F24" s="47">
        <v>13.76</v>
      </c>
      <c r="G24">
        <f t="shared" si="0"/>
        <v>13.76</v>
      </c>
      <c r="H24" s="47" t="s">
        <v>38</v>
      </c>
      <c r="I24" s="47" t="s">
        <v>436</v>
      </c>
      <c r="J24" s="47" t="s">
        <v>27</v>
      </c>
      <c r="K24" t="str">
        <f t="shared" si="1"/>
        <v>ENERO</v>
      </c>
      <c r="L24">
        <f t="shared" si="2"/>
        <v>2026</v>
      </c>
      <c r="M24" s="47"/>
      <c r="N24" s="47"/>
    </row>
    <row r="25" spans="1:14" hidden="1" x14ac:dyDescent="0.25">
      <c r="A25" s="4">
        <v>46031</v>
      </c>
      <c r="B25" s="3" t="s">
        <v>257</v>
      </c>
      <c r="C25" s="3" t="s">
        <v>258</v>
      </c>
      <c r="D25" t="s">
        <v>17</v>
      </c>
      <c r="E25">
        <v>1</v>
      </c>
      <c r="F25">
        <v>155</v>
      </c>
      <c r="G25">
        <f t="shared" si="0"/>
        <v>155</v>
      </c>
      <c r="H25" t="s">
        <v>38</v>
      </c>
      <c r="J25" t="s">
        <v>18</v>
      </c>
      <c r="K25" t="str">
        <f t="shared" si="1"/>
        <v>ENERO</v>
      </c>
      <c r="L25">
        <f t="shared" si="2"/>
        <v>2026</v>
      </c>
    </row>
    <row r="26" spans="1:14" hidden="1" x14ac:dyDescent="0.25">
      <c r="A26" s="4">
        <v>46031</v>
      </c>
      <c r="B26" s="3" t="s">
        <v>21</v>
      </c>
      <c r="C26" s="3" t="s">
        <v>21</v>
      </c>
      <c r="D26" t="s">
        <v>21</v>
      </c>
      <c r="E26">
        <v>1</v>
      </c>
      <c r="F26">
        <v>5</v>
      </c>
      <c r="G26">
        <f t="shared" si="0"/>
        <v>5</v>
      </c>
      <c r="H26" t="s">
        <v>38</v>
      </c>
      <c r="J26" t="s">
        <v>18</v>
      </c>
      <c r="K26" t="str">
        <f t="shared" si="1"/>
        <v>ENERO</v>
      </c>
      <c r="L26">
        <f t="shared" si="2"/>
        <v>2026</v>
      </c>
    </row>
    <row r="27" spans="1:14" hidden="1" x14ac:dyDescent="0.25">
      <c r="A27" s="4">
        <v>46031</v>
      </c>
      <c r="B27" s="3" t="s">
        <v>274</v>
      </c>
      <c r="C27" s="3" t="s">
        <v>275</v>
      </c>
      <c r="D27" t="s">
        <v>17</v>
      </c>
      <c r="E27">
        <v>1</v>
      </c>
      <c r="F27">
        <v>20</v>
      </c>
      <c r="G27">
        <f t="shared" si="0"/>
        <v>20</v>
      </c>
      <c r="H27" t="s">
        <v>37</v>
      </c>
      <c r="J27" t="s">
        <v>18</v>
      </c>
      <c r="K27" t="str">
        <f t="shared" si="1"/>
        <v>ENERO</v>
      </c>
      <c r="L27">
        <f t="shared" si="2"/>
        <v>2026</v>
      </c>
    </row>
    <row r="28" spans="1:14" hidden="1" x14ac:dyDescent="0.25">
      <c r="A28" s="72">
        <v>46031</v>
      </c>
      <c r="B28" s="3" t="s">
        <v>455</v>
      </c>
      <c r="C28" s="3" t="s">
        <v>275</v>
      </c>
      <c r="D28" t="s">
        <v>17</v>
      </c>
      <c r="E28">
        <v>1</v>
      </c>
      <c r="F28">
        <v>80</v>
      </c>
      <c r="G28">
        <f t="shared" si="0"/>
        <v>80</v>
      </c>
      <c r="H28" t="s">
        <v>38</v>
      </c>
      <c r="J28" t="s">
        <v>456</v>
      </c>
      <c r="K28" t="str">
        <f t="shared" si="1"/>
        <v>ENERO</v>
      </c>
      <c r="L28">
        <f t="shared" si="2"/>
        <v>2026</v>
      </c>
    </row>
    <row r="29" spans="1:14" hidden="1" x14ac:dyDescent="0.25">
      <c r="A29" s="4">
        <v>46031</v>
      </c>
      <c r="B29" s="3" t="s">
        <v>131</v>
      </c>
      <c r="C29" s="3" t="s">
        <v>278</v>
      </c>
      <c r="D29" t="s">
        <v>17</v>
      </c>
      <c r="E29">
        <v>1</v>
      </c>
      <c r="F29">
        <v>79</v>
      </c>
      <c r="G29">
        <f t="shared" si="0"/>
        <v>79</v>
      </c>
      <c r="H29" t="s">
        <v>38</v>
      </c>
      <c r="I29" t="s">
        <v>279</v>
      </c>
      <c r="J29" t="s">
        <v>18</v>
      </c>
      <c r="K29" t="str">
        <f t="shared" si="1"/>
        <v>ENERO</v>
      </c>
      <c r="L29">
        <f t="shared" si="2"/>
        <v>2026</v>
      </c>
    </row>
    <row r="30" spans="1:14" hidden="1" x14ac:dyDescent="0.25">
      <c r="A30" s="4">
        <v>46031</v>
      </c>
      <c r="B30" s="3" t="s">
        <v>276</v>
      </c>
      <c r="C30" s="3" t="s">
        <v>277</v>
      </c>
      <c r="D30" t="s">
        <v>17</v>
      </c>
      <c r="E30">
        <v>1</v>
      </c>
      <c r="F30">
        <v>140</v>
      </c>
      <c r="G30">
        <f t="shared" si="0"/>
        <v>140</v>
      </c>
      <c r="H30" t="s">
        <v>37</v>
      </c>
      <c r="J30" t="s">
        <v>18</v>
      </c>
      <c r="K30" t="str">
        <f t="shared" si="1"/>
        <v>ENERO</v>
      </c>
      <c r="L30">
        <f t="shared" si="2"/>
        <v>2026</v>
      </c>
    </row>
    <row r="31" spans="1:14" hidden="1" x14ac:dyDescent="0.25">
      <c r="A31" s="4">
        <v>46031</v>
      </c>
      <c r="B31" s="3" t="s">
        <v>272</v>
      </c>
      <c r="C31" s="3" t="s">
        <v>273</v>
      </c>
      <c r="D31" t="s">
        <v>17</v>
      </c>
      <c r="E31">
        <v>1</v>
      </c>
      <c r="F31">
        <v>20</v>
      </c>
      <c r="G31">
        <f t="shared" si="0"/>
        <v>20</v>
      </c>
      <c r="H31" t="s">
        <v>37</v>
      </c>
      <c r="J31" t="s">
        <v>18</v>
      </c>
      <c r="K31" t="str">
        <f t="shared" si="1"/>
        <v>ENERO</v>
      </c>
      <c r="L31">
        <f t="shared" si="2"/>
        <v>2026</v>
      </c>
    </row>
    <row r="32" spans="1:14" hidden="1" x14ac:dyDescent="0.25">
      <c r="A32" s="4">
        <v>46032</v>
      </c>
      <c r="B32" s="3" t="s">
        <v>266</v>
      </c>
      <c r="C32" s="3" t="s">
        <v>280</v>
      </c>
      <c r="D32" t="s">
        <v>17</v>
      </c>
      <c r="E32">
        <v>1</v>
      </c>
      <c r="F32">
        <v>20</v>
      </c>
      <c r="G32">
        <f t="shared" si="0"/>
        <v>20</v>
      </c>
      <c r="H32" t="s">
        <v>37</v>
      </c>
      <c r="J32" t="s">
        <v>18</v>
      </c>
      <c r="K32" t="str">
        <f t="shared" si="1"/>
        <v>ENERO</v>
      </c>
      <c r="L32">
        <f t="shared" si="2"/>
        <v>2026</v>
      </c>
    </row>
    <row r="33" spans="1:14" hidden="1" x14ac:dyDescent="0.25">
      <c r="A33" s="4">
        <v>46032</v>
      </c>
      <c r="B33" s="3" t="s">
        <v>281</v>
      </c>
      <c r="C33" s="3" t="s">
        <v>282</v>
      </c>
      <c r="D33" t="s">
        <v>17</v>
      </c>
      <c r="E33">
        <v>1</v>
      </c>
      <c r="F33">
        <v>20</v>
      </c>
      <c r="G33">
        <f t="shared" si="0"/>
        <v>20</v>
      </c>
      <c r="H33" t="s">
        <v>37</v>
      </c>
      <c r="J33" t="s">
        <v>18</v>
      </c>
      <c r="K33" t="str">
        <f t="shared" si="1"/>
        <v>ENERO</v>
      </c>
      <c r="L33">
        <f t="shared" si="2"/>
        <v>2026</v>
      </c>
    </row>
    <row r="34" spans="1:14" hidden="1" x14ac:dyDescent="0.25">
      <c r="A34" s="4">
        <v>46034</v>
      </c>
      <c r="B34" s="3" t="s">
        <v>21</v>
      </c>
      <c r="C34" s="3" t="s">
        <v>21</v>
      </c>
      <c r="D34" t="s">
        <v>21</v>
      </c>
      <c r="E34">
        <v>1</v>
      </c>
      <c r="F34">
        <v>5</v>
      </c>
      <c r="G34">
        <f t="shared" si="0"/>
        <v>5</v>
      </c>
      <c r="H34" t="s">
        <v>38</v>
      </c>
      <c r="J34" t="s">
        <v>18</v>
      </c>
      <c r="K34" t="str">
        <f t="shared" si="1"/>
        <v>ENERO</v>
      </c>
      <c r="L34">
        <f t="shared" si="2"/>
        <v>2026</v>
      </c>
    </row>
    <row r="35" spans="1:14" hidden="1" x14ac:dyDescent="0.25">
      <c r="A35" s="4">
        <v>46035</v>
      </c>
      <c r="B35" s="3" t="s">
        <v>288</v>
      </c>
      <c r="C35" s="3" t="s">
        <v>234</v>
      </c>
      <c r="D35" t="s">
        <v>17</v>
      </c>
      <c r="E35">
        <v>1</v>
      </c>
      <c r="F35">
        <v>60</v>
      </c>
      <c r="G35">
        <f t="shared" si="0"/>
        <v>60</v>
      </c>
      <c r="H35" t="s">
        <v>37</v>
      </c>
      <c r="J35" t="s">
        <v>18</v>
      </c>
      <c r="K35" t="str">
        <f t="shared" si="1"/>
        <v>ENERO</v>
      </c>
      <c r="L35">
        <f t="shared" si="2"/>
        <v>2026</v>
      </c>
    </row>
    <row r="36" spans="1:14" hidden="1" x14ac:dyDescent="0.25">
      <c r="A36" s="4">
        <v>46035</v>
      </c>
      <c r="B36" s="3" t="s">
        <v>286</v>
      </c>
      <c r="C36" s="3" t="s">
        <v>287</v>
      </c>
      <c r="D36" t="s">
        <v>17</v>
      </c>
      <c r="E36">
        <v>1</v>
      </c>
      <c r="F36">
        <v>60</v>
      </c>
      <c r="G36">
        <f t="shared" ref="G36:G67" si="3">E36*F36</f>
        <v>60</v>
      </c>
      <c r="H36" t="s">
        <v>37</v>
      </c>
      <c r="J36" t="s">
        <v>18</v>
      </c>
      <c r="K36" t="str">
        <f t="shared" ref="K36:K67" si="4">UPPER(TEXT(A36,"MMMM"))</f>
        <v>ENERO</v>
      </c>
      <c r="L36">
        <f t="shared" ref="L36:L67" si="5">+YEAR(A36)</f>
        <v>2026</v>
      </c>
    </row>
    <row r="37" spans="1:14" hidden="1" x14ac:dyDescent="0.25">
      <c r="A37" s="4">
        <v>46035</v>
      </c>
      <c r="B37" s="3" t="s">
        <v>283</v>
      </c>
      <c r="C37" s="3" t="s">
        <v>284</v>
      </c>
      <c r="D37" t="s">
        <v>17</v>
      </c>
      <c r="E37">
        <v>1</v>
      </c>
      <c r="F37">
        <v>100</v>
      </c>
      <c r="G37">
        <f t="shared" si="3"/>
        <v>100</v>
      </c>
      <c r="H37" t="s">
        <v>37</v>
      </c>
      <c r="J37" t="s">
        <v>18</v>
      </c>
      <c r="K37" t="str">
        <f t="shared" si="4"/>
        <v>ENERO</v>
      </c>
      <c r="L37">
        <f t="shared" si="5"/>
        <v>2026</v>
      </c>
    </row>
    <row r="38" spans="1:14" hidden="1" x14ac:dyDescent="0.25">
      <c r="A38" s="4">
        <v>46035</v>
      </c>
      <c r="B38" s="3" t="s">
        <v>289</v>
      </c>
      <c r="C38" s="3" t="s">
        <v>290</v>
      </c>
      <c r="D38" t="s">
        <v>17</v>
      </c>
      <c r="E38">
        <v>1</v>
      </c>
      <c r="F38">
        <v>70</v>
      </c>
      <c r="G38">
        <f t="shared" si="3"/>
        <v>70</v>
      </c>
      <c r="H38" t="s">
        <v>37</v>
      </c>
      <c r="J38" t="s">
        <v>18</v>
      </c>
      <c r="K38" t="str">
        <f t="shared" si="4"/>
        <v>ENERO</v>
      </c>
      <c r="L38">
        <f t="shared" si="5"/>
        <v>2026</v>
      </c>
    </row>
    <row r="39" spans="1:14" hidden="1" x14ac:dyDescent="0.25">
      <c r="A39" s="4">
        <v>46035</v>
      </c>
      <c r="B39" s="3" t="s">
        <v>285</v>
      </c>
      <c r="C39" s="3" t="s">
        <v>285</v>
      </c>
      <c r="D39" t="s">
        <v>70</v>
      </c>
      <c r="E39">
        <v>1</v>
      </c>
      <c r="F39">
        <v>1</v>
      </c>
      <c r="G39">
        <f t="shared" si="3"/>
        <v>1</v>
      </c>
      <c r="H39" t="s">
        <v>38</v>
      </c>
      <c r="J39" t="s">
        <v>18</v>
      </c>
      <c r="K39" t="str">
        <f t="shared" si="4"/>
        <v>ENERO</v>
      </c>
      <c r="L39">
        <f t="shared" si="5"/>
        <v>2026</v>
      </c>
    </row>
    <row r="40" spans="1:14" hidden="1" x14ac:dyDescent="0.25">
      <c r="A40" s="48">
        <v>46036</v>
      </c>
      <c r="B40" s="49" t="s">
        <v>70</v>
      </c>
      <c r="C40" s="49" t="s">
        <v>70</v>
      </c>
      <c r="D40" s="50" t="s">
        <v>70</v>
      </c>
      <c r="E40" s="50">
        <v>1</v>
      </c>
      <c r="F40" s="50">
        <v>8.5</v>
      </c>
      <c r="G40" s="50">
        <f t="shared" si="3"/>
        <v>8.5</v>
      </c>
      <c r="H40" s="50" t="s">
        <v>38</v>
      </c>
      <c r="I40" s="50" t="s">
        <v>70</v>
      </c>
      <c r="J40" s="50" t="s">
        <v>18</v>
      </c>
      <c r="K40" s="50" t="str">
        <f t="shared" si="4"/>
        <v>ENERO</v>
      </c>
      <c r="L40" s="50">
        <f t="shared" si="5"/>
        <v>2026</v>
      </c>
      <c r="M40" s="50"/>
      <c r="N40" s="50"/>
    </row>
    <row r="41" spans="1:14" hidden="1" x14ac:dyDescent="0.25">
      <c r="A41" s="4">
        <v>46036</v>
      </c>
      <c r="B41" s="3" t="s">
        <v>288</v>
      </c>
      <c r="C41" s="3" t="s">
        <v>234</v>
      </c>
      <c r="D41" t="s">
        <v>17</v>
      </c>
      <c r="E41">
        <v>1</v>
      </c>
      <c r="F41">
        <v>70</v>
      </c>
      <c r="G41">
        <f t="shared" si="3"/>
        <v>70</v>
      </c>
      <c r="H41" t="s">
        <v>38</v>
      </c>
      <c r="I41" t="s">
        <v>172</v>
      </c>
      <c r="J41" t="s">
        <v>18</v>
      </c>
      <c r="K41" t="str">
        <f t="shared" si="4"/>
        <v>ENERO</v>
      </c>
      <c r="L41">
        <f t="shared" si="5"/>
        <v>2026</v>
      </c>
    </row>
    <row r="42" spans="1:14" hidden="1" x14ac:dyDescent="0.25">
      <c r="A42" s="4">
        <v>46036</v>
      </c>
      <c r="B42" s="3" t="s">
        <v>291</v>
      </c>
      <c r="C42" t="s">
        <v>292</v>
      </c>
      <c r="D42" t="s">
        <v>17</v>
      </c>
      <c r="E42">
        <v>1</v>
      </c>
      <c r="F42">
        <v>60</v>
      </c>
      <c r="G42">
        <f t="shared" si="3"/>
        <v>60</v>
      </c>
      <c r="H42" t="s">
        <v>37</v>
      </c>
      <c r="J42" t="s">
        <v>18</v>
      </c>
      <c r="K42" t="str">
        <f t="shared" si="4"/>
        <v>ENERO</v>
      </c>
      <c r="L42">
        <f t="shared" si="5"/>
        <v>2026</v>
      </c>
    </row>
    <row r="43" spans="1:14" hidden="1" x14ac:dyDescent="0.25">
      <c r="A43" s="4">
        <v>46036</v>
      </c>
      <c r="B43" s="3" t="s">
        <v>283</v>
      </c>
      <c r="C43" t="s">
        <v>284</v>
      </c>
      <c r="D43" t="s">
        <v>17</v>
      </c>
      <c r="E43">
        <v>1</v>
      </c>
      <c r="F43">
        <v>90</v>
      </c>
      <c r="G43">
        <f t="shared" si="3"/>
        <v>90</v>
      </c>
      <c r="H43" t="s">
        <v>38</v>
      </c>
      <c r="J43" t="s">
        <v>18</v>
      </c>
      <c r="K43" t="str">
        <f t="shared" si="4"/>
        <v>ENERO</v>
      </c>
      <c r="L43">
        <f t="shared" si="5"/>
        <v>2026</v>
      </c>
    </row>
    <row r="44" spans="1:14" hidden="1" x14ac:dyDescent="0.25">
      <c r="A44" s="4">
        <v>46036</v>
      </c>
      <c r="B44" s="3" t="s">
        <v>266</v>
      </c>
      <c r="C44" t="s">
        <v>280</v>
      </c>
      <c r="D44" t="s">
        <v>17</v>
      </c>
      <c r="E44">
        <v>1</v>
      </c>
      <c r="F44">
        <v>120</v>
      </c>
      <c r="G44">
        <f t="shared" si="3"/>
        <v>120</v>
      </c>
      <c r="H44" t="s">
        <v>38</v>
      </c>
      <c r="J44" t="s">
        <v>18</v>
      </c>
      <c r="K44" t="str">
        <f t="shared" si="4"/>
        <v>ENERO</v>
      </c>
      <c r="L44">
        <f t="shared" si="5"/>
        <v>2026</v>
      </c>
    </row>
    <row r="45" spans="1:14" hidden="1" x14ac:dyDescent="0.25">
      <c r="A45" s="4">
        <v>46036</v>
      </c>
      <c r="B45" s="3" t="s">
        <v>281</v>
      </c>
      <c r="C45" t="s">
        <v>282</v>
      </c>
      <c r="D45" t="s">
        <v>17</v>
      </c>
      <c r="E45">
        <v>1</v>
      </c>
      <c r="F45">
        <v>15</v>
      </c>
      <c r="G45">
        <f t="shared" si="3"/>
        <v>15</v>
      </c>
      <c r="H45" t="s">
        <v>38</v>
      </c>
      <c r="J45" t="s">
        <v>18</v>
      </c>
      <c r="K45" t="str">
        <f t="shared" si="4"/>
        <v>ENERO</v>
      </c>
      <c r="L45">
        <f t="shared" si="5"/>
        <v>2026</v>
      </c>
    </row>
    <row r="46" spans="1:14" hidden="1" x14ac:dyDescent="0.25">
      <c r="A46" s="48">
        <v>46036</v>
      </c>
      <c r="B46" s="49" t="s">
        <v>222</v>
      </c>
      <c r="C46" s="49" t="s">
        <v>223</v>
      </c>
      <c r="D46" s="50" t="s">
        <v>17</v>
      </c>
      <c r="E46" s="50">
        <v>1</v>
      </c>
      <c r="F46" s="50">
        <v>125</v>
      </c>
      <c r="G46">
        <f t="shared" si="3"/>
        <v>125</v>
      </c>
      <c r="H46" s="50" t="s">
        <v>38</v>
      </c>
      <c r="I46" s="50"/>
      <c r="J46" s="50" t="s">
        <v>18</v>
      </c>
      <c r="K46" s="50" t="str">
        <f t="shared" si="4"/>
        <v>ENERO</v>
      </c>
      <c r="L46" s="50">
        <f t="shared" si="5"/>
        <v>2026</v>
      </c>
      <c r="M46" s="50"/>
    </row>
    <row r="47" spans="1:14" hidden="1" x14ac:dyDescent="0.25">
      <c r="A47" s="48">
        <v>46036</v>
      </c>
      <c r="B47" s="49" t="s">
        <v>276</v>
      </c>
      <c r="C47" s="49" t="s">
        <v>277</v>
      </c>
      <c r="D47" s="50" t="s">
        <v>17</v>
      </c>
      <c r="E47" s="50">
        <v>1</v>
      </c>
      <c r="F47" s="50">
        <v>40</v>
      </c>
      <c r="G47">
        <f t="shared" si="3"/>
        <v>40</v>
      </c>
      <c r="H47" s="50" t="s">
        <v>38</v>
      </c>
      <c r="I47" s="50"/>
      <c r="J47" s="50" t="s">
        <v>18</v>
      </c>
      <c r="K47" s="50" t="str">
        <f t="shared" si="4"/>
        <v>ENERO</v>
      </c>
      <c r="L47" s="50">
        <f t="shared" si="5"/>
        <v>2026</v>
      </c>
      <c r="M47" s="50"/>
      <c r="N47" s="50"/>
    </row>
    <row r="48" spans="1:14" hidden="1" x14ac:dyDescent="0.25">
      <c r="A48" s="48">
        <v>46037</v>
      </c>
      <c r="B48" s="49" t="s">
        <v>70</v>
      </c>
      <c r="C48" s="49" t="s">
        <v>70</v>
      </c>
      <c r="D48" s="50" t="s">
        <v>70</v>
      </c>
      <c r="E48" s="50">
        <v>1</v>
      </c>
      <c r="F48" s="50">
        <v>12</v>
      </c>
      <c r="G48">
        <f t="shared" si="3"/>
        <v>12</v>
      </c>
      <c r="H48" s="50" t="s">
        <v>38</v>
      </c>
      <c r="I48" s="50" t="s">
        <v>158</v>
      </c>
      <c r="J48" s="50" t="s">
        <v>18</v>
      </c>
      <c r="K48" s="50" t="str">
        <f t="shared" si="4"/>
        <v>ENERO</v>
      </c>
      <c r="L48" s="50">
        <f t="shared" si="5"/>
        <v>2026</v>
      </c>
      <c r="M48" s="50"/>
      <c r="N48" s="50"/>
    </row>
    <row r="49" spans="1:14" hidden="1" x14ac:dyDescent="0.25">
      <c r="A49" s="48">
        <v>46037</v>
      </c>
      <c r="B49" s="49" t="s">
        <v>168</v>
      </c>
      <c r="C49" s="49" t="s">
        <v>295</v>
      </c>
      <c r="D49" s="50" t="s">
        <v>17</v>
      </c>
      <c r="E49" s="50">
        <v>1</v>
      </c>
      <c r="F49" s="50">
        <v>40</v>
      </c>
      <c r="G49">
        <f t="shared" si="3"/>
        <v>40</v>
      </c>
      <c r="H49" s="50" t="s">
        <v>37</v>
      </c>
      <c r="I49" s="50"/>
      <c r="J49" s="50" t="s">
        <v>18</v>
      </c>
      <c r="K49" s="50" t="str">
        <f t="shared" si="4"/>
        <v>ENERO</v>
      </c>
      <c r="L49" s="50">
        <f t="shared" si="5"/>
        <v>2026</v>
      </c>
      <c r="M49" s="50"/>
      <c r="N49" s="50"/>
    </row>
    <row r="50" spans="1:14" hidden="1" x14ac:dyDescent="0.25">
      <c r="A50" s="48">
        <v>46037</v>
      </c>
      <c r="B50" s="49" t="s">
        <v>293</v>
      </c>
      <c r="C50" s="50" t="s">
        <v>294</v>
      </c>
      <c r="D50" s="50" t="s">
        <v>17</v>
      </c>
      <c r="E50" s="50">
        <v>1</v>
      </c>
      <c r="F50" s="50">
        <v>40</v>
      </c>
      <c r="G50">
        <f t="shared" si="3"/>
        <v>40</v>
      </c>
      <c r="H50" s="50" t="s">
        <v>37</v>
      </c>
      <c r="I50" s="50"/>
      <c r="J50" s="50" t="s">
        <v>18</v>
      </c>
      <c r="K50" s="50" t="str">
        <f t="shared" si="4"/>
        <v>ENERO</v>
      </c>
      <c r="L50" s="50">
        <f t="shared" si="5"/>
        <v>2026</v>
      </c>
      <c r="M50" s="50"/>
      <c r="N50" s="50"/>
    </row>
    <row r="51" spans="1:14" hidden="1" x14ac:dyDescent="0.25">
      <c r="A51" s="75">
        <v>46037</v>
      </c>
      <c r="B51" s="49" t="s">
        <v>455</v>
      </c>
      <c r="C51" s="50" t="s">
        <v>275</v>
      </c>
      <c r="D51" s="50" t="s">
        <v>17</v>
      </c>
      <c r="E51" s="50">
        <v>1</v>
      </c>
      <c r="F51" s="50">
        <v>190</v>
      </c>
      <c r="G51" s="50">
        <f t="shared" si="3"/>
        <v>190</v>
      </c>
      <c r="H51" s="50" t="s">
        <v>38</v>
      </c>
      <c r="I51" s="50"/>
      <c r="J51" s="50" t="s">
        <v>456</v>
      </c>
      <c r="K51" s="50" t="str">
        <f t="shared" si="4"/>
        <v>ENERO</v>
      </c>
      <c r="L51" s="50">
        <f t="shared" si="5"/>
        <v>2026</v>
      </c>
      <c r="M51" s="50"/>
      <c r="N51" s="50"/>
    </row>
    <row r="52" spans="1:14" hidden="1" x14ac:dyDescent="0.25">
      <c r="A52" s="48">
        <v>46037</v>
      </c>
      <c r="B52" s="49" t="s">
        <v>296</v>
      </c>
      <c r="C52" s="50" t="s">
        <v>398</v>
      </c>
      <c r="D52" s="50" t="s">
        <v>17</v>
      </c>
      <c r="E52" s="50">
        <v>1</v>
      </c>
      <c r="F52" s="50">
        <v>40</v>
      </c>
      <c r="G52" s="50">
        <f t="shared" si="3"/>
        <v>40</v>
      </c>
      <c r="H52" s="50" t="s">
        <v>37</v>
      </c>
      <c r="I52" s="50"/>
      <c r="J52" s="50" t="s">
        <v>18</v>
      </c>
      <c r="K52" s="50" t="str">
        <f t="shared" si="4"/>
        <v>ENERO</v>
      </c>
      <c r="L52" s="50">
        <f t="shared" si="5"/>
        <v>2026</v>
      </c>
      <c r="M52" s="50"/>
      <c r="N52" s="50"/>
    </row>
    <row r="53" spans="1:14" hidden="1" x14ac:dyDescent="0.25">
      <c r="A53" s="26">
        <v>46041</v>
      </c>
      <c r="B53" s="27" t="s">
        <v>70</v>
      </c>
      <c r="C53" s="17" t="s">
        <v>70</v>
      </c>
      <c r="D53" s="17" t="s">
        <v>70</v>
      </c>
      <c r="E53" s="17">
        <v>1</v>
      </c>
      <c r="F53" s="17">
        <v>2</v>
      </c>
      <c r="G53" s="50">
        <f t="shared" si="3"/>
        <v>2</v>
      </c>
      <c r="H53" s="17" t="s">
        <v>38</v>
      </c>
      <c r="I53" s="17" t="s">
        <v>297</v>
      </c>
      <c r="J53" s="17" t="s">
        <v>18</v>
      </c>
      <c r="K53" s="17" t="str">
        <f t="shared" si="4"/>
        <v>ENERO</v>
      </c>
      <c r="L53" s="17">
        <f t="shared" si="5"/>
        <v>2026</v>
      </c>
      <c r="M53" s="17"/>
      <c r="N53" s="50"/>
    </row>
    <row r="54" spans="1:14" hidden="1" x14ac:dyDescent="0.25">
      <c r="A54" s="45">
        <v>46041</v>
      </c>
      <c r="B54" s="52" t="s">
        <v>298</v>
      </c>
      <c r="C54" s="53" t="s">
        <v>299</v>
      </c>
      <c r="D54" s="46" t="s">
        <v>17</v>
      </c>
      <c r="E54" s="46">
        <v>1</v>
      </c>
      <c r="F54" s="46">
        <v>40</v>
      </c>
      <c r="G54">
        <f t="shared" si="3"/>
        <v>40</v>
      </c>
      <c r="H54" s="46" t="s">
        <v>37</v>
      </c>
      <c r="I54" s="46" t="s">
        <v>279</v>
      </c>
      <c r="J54" s="46" t="s">
        <v>18</v>
      </c>
      <c r="K54" s="46" t="str">
        <f t="shared" si="4"/>
        <v>ENERO</v>
      </c>
      <c r="L54" s="46">
        <f t="shared" si="5"/>
        <v>2026</v>
      </c>
      <c r="M54" s="46"/>
      <c r="N54" s="46"/>
    </row>
    <row r="55" spans="1:14" hidden="1" x14ac:dyDescent="0.25">
      <c r="A55" s="26">
        <v>46041</v>
      </c>
      <c r="B55" s="27" t="s">
        <v>289</v>
      </c>
      <c r="C55" s="17" t="s">
        <v>290</v>
      </c>
      <c r="D55" s="17" t="s">
        <v>17</v>
      </c>
      <c r="E55" s="17">
        <v>1</v>
      </c>
      <c r="F55" s="17">
        <v>200</v>
      </c>
      <c r="G55" s="50">
        <f t="shared" si="3"/>
        <v>200</v>
      </c>
      <c r="H55" s="17" t="s">
        <v>38</v>
      </c>
      <c r="I55" s="17"/>
      <c r="J55" s="17" t="s">
        <v>18</v>
      </c>
      <c r="K55" s="17" t="str">
        <f t="shared" si="4"/>
        <v>ENERO</v>
      </c>
      <c r="L55" s="17">
        <f t="shared" si="5"/>
        <v>2026</v>
      </c>
      <c r="M55" s="17"/>
      <c r="N55" s="17"/>
    </row>
    <row r="56" spans="1:14" hidden="1" x14ac:dyDescent="0.25">
      <c r="A56" s="24">
        <v>46041</v>
      </c>
      <c r="B56" s="25" t="s">
        <v>415</v>
      </c>
      <c r="C56" s="19" t="s">
        <v>287</v>
      </c>
      <c r="D56" s="19" t="s">
        <v>17</v>
      </c>
      <c r="E56" s="19">
        <v>1</v>
      </c>
      <c r="F56" s="19">
        <v>115</v>
      </c>
      <c r="G56" s="50">
        <f t="shared" si="3"/>
        <v>115</v>
      </c>
      <c r="H56" s="19" t="s">
        <v>38</v>
      </c>
      <c r="I56" s="19"/>
      <c r="J56" s="19" t="s">
        <v>18</v>
      </c>
      <c r="K56" s="19" t="str">
        <f t="shared" si="4"/>
        <v>ENERO</v>
      </c>
      <c r="L56" s="19">
        <f t="shared" si="5"/>
        <v>2026</v>
      </c>
      <c r="M56" s="19"/>
      <c r="N56" s="19"/>
    </row>
    <row r="57" spans="1:14" hidden="1" x14ac:dyDescent="0.25">
      <c r="A57" s="48">
        <v>46042</v>
      </c>
      <c r="B57" s="49" t="s">
        <v>291</v>
      </c>
      <c r="C57" s="19" t="s">
        <v>292</v>
      </c>
      <c r="D57" s="50" t="s">
        <v>17</v>
      </c>
      <c r="E57" s="50">
        <v>1</v>
      </c>
      <c r="F57" s="50">
        <v>200</v>
      </c>
      <c r="G57" s="50">
        <f t="shared" si="3"/>
        <v>200</v>
      </c>
      <c r="H57" s="50" t="s">
        <v>38</v>
      </c>
      <c r="I57" s="50"/>
      <c r="J57" s="50" t="s">
        <v>18</v>
      </c>
      <c r="K57" s="50" t="str">
        <f t="shared" si="4"/>
        <v>ENERO</v>
      </c>
      <c r="L57" s="50">
        <f t="shared" si="5"/>
        <v>2026</v>
      </c>
      <c r="M57" s="19"/>
      <c r="N57" s="19"/>
    </row>
    <row r="58" spans="1:14" hidden="1" x14ac:dyDescent="0.25">
      <c r="A58" s="48">
        <v>46043</v>
      </c>
      <c r="B58" s="49" t="s">
        <v>70</v>
      </c>
      <c r="C58" s="50" t="s">
        <v>70</v>
      </c>
      <c r="D58" s="50" t="s">
        <v>70</v>
      </c>
      <c r="E58" s="50">
        <v>1</v>
      </c>
      <c r="F58" s="50">
        <v>0.5</v>
      </c>
      <c r="G58" s="50">
        <f t="shared" si="3"/>
        <v>0.5</v>
      </c>
      <c r="H58" s="50" t="s">
        <v>38</v>
      </c>
      <c r="I58" s="50"/>
      <c r="J58" s="50" t="s">
        <v>18</v>
      </c>
      <c r="K58" s="50" t="str">
        <f t="shared" si="4"/>
        <v>ENERO</v>
      </c>
      <c r="L58" s="50">
        <f t="shared" si="5"/>
        <v>2026</v>
      </c>
      <c r="M58" s="50"/>
      <c r="N58" s="50"/>
    </row>
    <row r="59" spans="1:14" ht="15" hidden="1" customHeight="1" x14ac:dyDescent="0.25">
      <c r="A59" s="4">
        <v>46043</v>
      </c>
      <c r="B59" s="3" t="s">
        <v>326</v>
      </c>
      <c r="C59" t="s">
        <v>327</v>
      </c>
      <c r="D59" t="s">
        <v>17</v>
      </c>
      <c r="E59">
        <v>1</v>
      </c>
      <c r="F59">
        <v>60</v>
      </c>
      <c r="G59">
        <f t="shared" si="3"/>
        <v>60</v>
      </c>
      <c r="H59" t="s">
        <v>37</v>
      </c>
      <c r="J59" t="s">
        <v>18</v>
      </c>
      <c r="K59" t="str">
        <f t="shared" si="4"/>
        <v>ENERO</v>
      </c>
      <c r="L59">
        <f t="shared" si="5"/>
        <v>2026</v>
      </c>
    </row>
    <row r="60" spans="1:14" hidden="1" x14ac:dyDescent="0.25">
      <c r="A60" s="45">
        <v>46043</v>
      </c>
      <c r="B60" s="52" t="s">
        <v>168</v>
      </c>
      <c r="C60" s="46" t="s">
        <v>295</v>
      </c>
      <c r="D60" s="46" t="s">
        <v>17</v>
      </c>
      <c r="E60" s="46">
        <v>1</v>
      </c>
      <c r="F60" s="46">
        <v>125</v>
      </c>
      <c r="G60">
        <f t="shared" si="3"/>
        <v>125</v>
      </c>
      <c r="H60" s="46" t="s">
        <v>38</v>
      </c>
      <c r="I60" s="46"/>
      <c r="J60" s="46" t="s">
        <v>18</v>
      </c>
      <c r="K60" t="str">
        <f t="shared" si="4"/>
        <v>ENERO</v>
      </c>
      <c r="L60">
        <f t="shared" si="5"/>
        <v>2026</v>
      </c>
      <c r="M60" s="46"/>
      <c r="N60" s="46"/>
    </row>
    <row r="61" spans="1:14" hidden="1" x14ac:dyDescent="0.25">
      <c r="A61" s="4">
        <v>46043</v>
      </c>
      <c r="B61" s="3" t="s">
        <v>293</v>
      </c>
      <c r="C61" t="s">
        <v>294</v>
      </c>
      <c r="D61" t="s">
        <v>17</v>
      </c>
      <c r="E61">
        <v>1</v>
      </c>
      <c r="F61">
        <v>270</v>
      </c>
      <c r="G61">
        <f t="shared" si="3"/>
        <v>270</v>
      </c>
      <c r="H61" t="s">
        <v>38</v>
      </c>
      <c r="J61" t="s">
        <v>18</v>
      </c>
      <c r="K61" t="str">
        <f t="shared" si="4"/>
        <v>ENERO</v>
      </c>
      <c r="L61">
        <f t="shared" si="5"/>
        <v>2026</v>
      </c>
    </row>
    <row r="62" spans="1:14" hidden="1" x14ac:dyDescent="0.25">
      <c r="A62" s="4">
        <v>46043</v>
      </c>
      <c r="B62" s="3" t="s">
        <v>324</v>
      </c>
      <c r="C62" t="s">
        <v>325</v>
      </c>
      <c r="D62" t="s">
        <v>17</v>
      </c>
      <c r="E62">
        <v>1</v>
      </c>
      <c r="F62">
        <v>40</v>
      </c>
      <c r="G62">
        <f t="shared" si="3"/>
        <v>40</v>
      </c>
      <c r="H62" t="s">
        <v>37</v>
      </c>
      <c r="J62" t="s">
        <v>18</v>
      </c>
      <c r="K62" t="str">
        <f t="shared" si="4"/>
        <v>ENERO</v>
      </c>
      <c r="L62">
        <f t="shared" si="5"/>
        <v>2026</v>
      </c>
    </row>
    <row r="63" spans="1:14" hidden="1" x14ac:dyDescent="0.25">
      <c r="A63" s="4">
        <v>46043</v>
      </c>
      <c r="B63" s="3" t="s">
        <v>328</v>
      </c>
      <c r="C63" t="s">
        <v>329</v>
      </c>
      <c r="D63" t="s">
        <v>70</v>
      </c>
      <c r="E63">
        <v>1</v>
      </c>
      <c r="F63">
        <v>7</v>
      </c>
      <c r="G63">
        <f t="shared" si="3"/>
        <v>7</v>
      </c>
      <c r="H63" t="s">
        <v>38</v>
      </c>
      <c r="I63" t="s">
        <v>328</v>
      </c>
      <c r="J63" t="s">
        <v>18</v>
      </c>
      <c r="K63" t="str">
        <f t="shared" si="4"/>
        <v>ENERO</v>
      </c>
      <c r="L63">
        <f t="shared" si="5"/>
        <v>2026</v>
      </c>
    </row>
    <row r="64" spans="1:14" hidden="1" x14ac:dyDescent="0.25">
      <c r="A64" s="4">
        <v>46044</v>
      </c>
      <c r="B64" s="3" t="s">
        <v>70</v>
      </c>
      <c r="C64" t="s">
        <v>70</v>
      </c>
      <c r="D64" t="s">
        <v>70</v>
      </c>
      <c r="E64">
        <v>1</v>
      </c>
      <c r="F64">
        <v>4</v>
      </c>
      <c r="G64">
        <f t="shared" si="3"/>
        <v>4</v>
      </c>
      <c r="H64" t="s">
        <v>38</v>
      </c>
      <c r="I64" t="s">
        <v>331</v>
      </c>
      <c r="J64" t="s">
        <v>18</v>
      </c>
      <c r="K64" t="str">
        <f t="shared" si="4"/>
        <v>ENERO</v>
      </c>
      <c r="L64">
        <f t="shared" si="5"/>
        <v>2026</v>
      </c>
    </row>
    <row r="65" spans="1:14" hidden="1" x14ac:dyDescent="0.25">
      <c r="A65" s="4">
        <v>46044</v>
      </c>
      <c r="B65" s="3" t="s">
        <v>330</v>
      </c>
      <c r="C65" t="s">
        <v>327</v>
      </c>
      <c r="D65" t="s">
        <v>17</v>
      </c>
      <c r="E65">
        <v>1</v>
      </c>
      <c r="F65">
        <v>50</v>
      </c>
      <c r="G65">
        <f t="shared" si="3"/>
        <v>50</v>
      </c>
      <c r="H65" t="s">
        <v>38</v>
      </c>
      <c r="J65" t="s">
        <v>18</v>
      </c>
      <c r="K65" t="str">
        <f t="shared" si="4"/>
        <v>ENERO</v>
      </c>
      <c r="L65">
        <f t="shared" si="5"/>
        <v>2026</v>
      </c>
    </row>
    <row r="66" spans="1:14" hidden="1" x14ac:dyDescent="0.25">
      <c r="A66" s="4">
        <v>46044</v>
      </c>
      <c r="B66" s="3" t="s">
        <v>254</v>
      </c>
      <c r="C66" t="s">
        <v>325</v>
      </c>
      <c r="D66" t="s">
        <v>17</v>
      </c>
      <c r="E66">
        <v>1</v>
      </c>
      <c r="F66">
        <v>90</v>
      </c>
      <c r="G66">
        <f t="shared" si="3"/>
        <v>90</v>
      </c>
      <c r="H66" t="s">
        <v>38</v>
      </c>
      <c r="J66" t="s">
        <v>18</v>
      </c>
      <c r="K66" t="str">
        <f t="shared" si="4"/>
        <v>ENERO</v>
      </c>
      <c r="L66">
        <f t="shared" si="5"/>
        <v>2026</v>
      </c>
    </row>
    <row r="67" spans="1:14" hidden="1" x14ac:dyDescent="0.25">
      <c r="A67" s="60">
        <v>46045</v>
      </c>
      <c r="B67" s="61" t="s">
        <v>438</v>
      </c>
      <c r="C67" s="47" t="s">
        <v>223</v>
      </c>
      <c r="D67" s="47" t="s">
        <v>17</v>
      </c>
      <c r="E67" s="47">
        <v>1</v>
      </c>
      <c r="F67" s="47">
        <v>50</v>
      </c>
      <c r="G67">
        <f t="shared" si="3"/>
        <v>50</v>
      </c>
      <c r="H67" s="47" t="s">
        <v>37</v>
      </c>
      <c r="I67" s="47"/>
      <c r="J67" s="47" t="s">
        <v>83</v>
      </c>
      <c r="K67" t="str">
        <f t="shared" si="4"/>
        <v>ENERO</v>
      </c>
      <c r="L67">
        <f t="shared" si="5"/>
        <v>2026</v>
      </c>
      <c r="M67" s="47"/>
      <c r="N67" s="47"/>
    </row>
    <row r="68" spans="1:14" hidden="1" x14ac:dyDescent="0.25">
      <c r="A68" s="4">
        <v>46045</v>
      </c>
      <c r="B68" s="3" t="s">
        <v>399</v>
      </c>
      <c r="C68" t="s">
        <v>199</v>
      </c>
      <c r="D68" t="s">
        <v>17</v>
      </c>
      <c r="E68">
        <v>1</v>
      </c>
      <c r="F68">
        <v>50</v>
      </c>
      <c r="G68">
        <f t="shared" ref="G68:G83" si="6">E68*F68</f>
        <v>50</v>
      </c>
      <c r="H68" t="s">
        <v>37</v>
      </c>
      <c r="J68" t="s">
        <v>18</v>
      </c>
      <c r="K68" t="str">
        <f t="shared" ref="K68:K76" si="7">UPPER(TEXT(A68,"MMMM"))</f>
        <v>ENERO</v>
      </c>
      <c r="L68">
        <f t="shared" ref="L68:L76" si="8">+YEAR(A68)</f>
        <v>2026</v>
      </c>
    </row>
    <row r="69" spans="1:14" hidden="1" x14ac:dyDescent="0.25">
      <c r="A69" s="4">
        <v>46045</v>
      </c>
      <c r="B69" s="3" t="s">
        <v>244</v>
      </c>
      <c r="C69" t="s">
        <v>333</v>
      </c>
      <c r="D69" t="s">
        <v>17</v>
      </c>
      <c r="E69">
        <v>1</v>
      </c>
      <c r="F69">
        <v>50</v>
      </c>
      <c r="G69">
        <f t="shared" si="6"/>
        <v>50</v>
      </c>
      <c r="H69" t="s">
        <v>37</v>
      </c>
      <c r="J69" t="s">
        <v>18</v>
      </c>
      <c r="K69" t="str">
        <f t="shared" si="7"/>
        <v>ENERO</v>
      </c>
      <c r="L69">
        <f t="shared" si="8"/>
        <v>2026</v>
      </c>
    </row>
    <row r="70" spans="1:14" hidden="1" x14ac:dyDescent="0.25">
      <c r="A70" s="4">
        <v>46046</v>
      </c>
      <c r="B70" s="3" t="s">
        <v>334</v>
      </c>
      <c r="C70" t="s">
        <v>263</v>
      </c>
      <c r="D70" t="s">
        <v>17</v>
      </c>
      <c r="E70">
        <v>1</v>
      </c>
      <c r="F70">
        <v>40</v>
      </c>
      <c r="G70">
        <f t="shared" si="6"/>
        <v>40</v>
      </c>
      <c r="H70" t="s">
        <v>37</v>
      </c>
      <c r="I70" t="s">
        <v>335</v>
      </c>
      <c r="J70" t="s">
        <v>18</v>
      </c>
      <c r="K70" t="str">
        <f t="shared" si="7"/>
        <v>ENERO</v>
      </c>
      <c r="L70">
        <f t="shared" si="8"/>
        <v>2026</v>
      </c>
      <c r="M70" t="s">
        <v>336</v>
      </c>
    </row>
    <row r="71" spans="1:14" hidden="1" x14ac:dyDescent="0.25">
      <c r="A71" s="4">
        <v>46049</v>
      </c>
      <c r="B71" s="3" t="s">
        <v>343</v>
      </c>
      <c r="C71" t="s">
        <v>344</v>
      </c>
      <c r="D71" t="s">
        <v>21</v>
      </c>
      <c r="E71">
        <v>1</v>
      </c>
      <c r="F71">
        <v>5</v>
      </c>
      <c r="G71">
        <f t="shared" si="6"/>
        <v>5</v>
      </c>
      <c r="H71" t="s">
        <v>38</v>
      </c>
      <c r="J71" t="s">
        <v>18</v>
      </c>
      <c r="K71" t="str">
        <f t="shared" si="7"/>
        <v>ENERO</v>
      </c>
      <c r="L71">
        <f t="shared" si="8"/>
        <v>2026</v>
      </c>
    </row>
    <row r="72" spans="1:14" hidden="1" x14ac:dyDescent="0.25">
      <c r="A72" s="4">
        <v>46049</v>
      </c>
      <c r="B72" s="3" t="s">
        <v>342</v>
      </c>
      <c r="C72" t="s">
        <v>129</v>
      </c>
      <c r="D72" t="s">
        <v>21</v>
      </c>
      <c r="E72">
        <v>1</v>
      </c>
      <c r="F72">
        <v>5</v>
      </c>
      <c r="G72">
        <f t="shared" si="6"/>
        <v>5</v>
      </c>
      <c r="H72" t="s">
        <v>38</v>
      </c>
      <c r="J72" t="s">
        <v>18</v>
      </c>
      <c r="K72" t="str">
        <f t="shared" si="7"/>
        <v>ENERO</v>
      </c>
      <c r="L72">
        <f t="shared" si="8"/>
        <v>2026</v>
      </c>
    </row>
    <row r="73" spans="1:14" hidden="1" x14ac:dyDescent="0.25">
      <c r="A73" s="4">
        <v>46049</v>
      </c>
      <c r="B73" s="3" t="s">
        <v>46</v>
      </c>
      <c r="C73" t="s">
        <v>339</v>
      </c>
      <c r="D73" t="s">
        <v>17</v>
      </c>
      <c r="E73">
        <v>1</v>
      </c>
      <c r="F73">
        <v>45</v>
      </c>
      <c r="G73">
        <f t="shared" si="6"/>
        <v>45</v>
      </c>
      <c r="H73" t="s">
        <v>38</v>
      </c>
      <c r="J73" t="s">
        <v>18</v>
      </c>
      <c r="K73" t="str">
        <f t="shared" si="7"/>
        <v>ENERO</v>
      </c>
      <c r="L73">
        <f t="shared" si="8"/>
        <v>2026</v>
      </c>
    </row>
    <row r="74" spans="1:14" hidden="1" x14ac:dyDescent="0.25">
      <c r="A74" s="4">
        <v>46050</v>
      </c>
      <c r="B74" s="3" t="s">
        <v>347</v>
      </c>
      <c r="C74" t="s">
        <v>348</v>
      </c>
      <c r="D74" t="s">
        <v>21</v>
      </c>
      <c r="E74">
        <v>1</v>
      </c>
      <c r="F74">
        <v>5</v>
      </c>
      <c r="G74">
        <f t="shared" si="6"/>
        <v>5</v>
      </c>
      <c r="H74" t="s">
        <v>38</v>
      </c>
      <c r="J74" t="s">
        <v>18</v>
      </c>
      <c r="K74" t="str">
        <f t="shared" si="7"/>
        <v>ENERO</v>
      </c>
      <c r="L74">
        <f t="shared" si="8"/>
        <v>2026</v>
      </c>
    </row>
    <row r="75" spans="1:14" hidden="1" x14ac:dyDescent="0.25">
      <c r="A75" s="4">
        <v>46050</v>
      </c>
      <c r="B75" s="3" t="s">
        <v>337</v>
      </c>
      <c r="C75" t="s">
        <v>338</v>
      </c>
      <c r="D75" t="s">
        <v>17</v>
      </c>
      <c r="E75">
        <v>1</v>
      </c>
      <c r="F75">
        <v>20</v>
      </c>
      <c r="G75">
        <f t="shared" si="6"/>
        <v>20</v>
      </c>
      <c r="H75" t="s">
        <v>38</v>
      </c>
      <c r="J75" t="s">
        <v>18</v>
      </c>
      <c r="K75" t="str">
        <f t="shared" si="7"/>
        <v>ENERO</v>
      </c>
      <c r="L75">
        <f t="shared" si="8"/>
        <v>2026</v>
      </c>
    </row>
    <row r="76" spans="1:14" hidden="1" x14ac:dyDescent="0.25">
      <c r="A76" s="4">
        <v>46050</v>
      </c>
      <c r="B76" s="3" t="s">
        <v>345</v>
      </c>
      <c r="C76" t="s">
        <v>346</v>
      </c>
      <c r="D76" t="s">
        <v>21</v>
      </c>
      <c r="E76">
        <v>1</v>
      </c>
      <c r="F76">
        <v>5</v>
      </c>
      <c r="G76">
        <f t="shared" si="6"/>
        <v>5</v>
      </c>
      <c r="H76" t="s">
        <v>38</v>
      </c>
      <c r="J76" t="s">
        <v>18</v>
      </c>
      <c r="K76" t="str">
        <f t="shared" si="7"/>
        <v>ENERO</v>
      </c>
      <c r="L76">
        <f t="shared" si="8"/>
        <v>2026</v>
      </c>
    </row>
    <row r="77" spans="1:14" hidden="1" x14ac:dyDescent="0.25">
      <c r="A77" s="72"/>
      <c r="B77" s="3" t="s">
        <v>337</v>
      </c>
      <c r="C77" t="s">
        <v>338</v>
      </c>
      <c r="D77" t="s">
        <v>17</v>
      </c>
      <c r="E77">
        <v>1</v>
      </c>
      <c r="F77">
        <v>40</v>
      </c>
      <c r="G77">
        <f t="shared" si="6"/>
        <v>40</v>
      </c>
      <c r="H77" t="s">
        <v>37</v>
      </c>
      <c r="J77" t="s">
        <v>18</v>
      </c>
      <c r="K77" t="str">
        <f>UPPER(TEXT(A127,"MMMM"))</f>
        <v>ENERO</v>
      </c>
      <c r="L77">
        <f>+YEAR(A127)</f>
        <v>1900</v>
      </c>
    </row>
    <row r="78" spans="1:14" hidden="1" x14ac:dyDescent="0.25">
      <c r="A78" s="4">
        <v>46050</v>
      </c>
      <c r="B78" s="3" t="s">
        <v>244</v>
      </c>
      <c r="C78" t="s">
        <v>333</v>
      </c>
      <c r="D78" t="s">
        <v>17</v>
      </c>
      <c r="E78">
        <v>1</v>
      </c>
      <c r="F78">
        <v>60</v>
      </c>
      <c r="G78">
        <f t="shared" si="6"/>
        <v>60</v>
      </c>
      <c r="H78" t="s">
        <v>38</v>
      </c>
      <c r="J78" t="s">
        <v>18</v>
      </c>
      <c r="K78" t="str">
        <f t="shared" ref="K78:K83" si="9">UPPER(TEXT(A78,"MMMM"))</f>
        <v>ENERO</v>
      </c>
      <c r="L78">
        <f t="shared" ref="L78:L83" si="10">+YEAR(A78)</f>
        <v>2026</v>
      </c>
    </row>
    <row r="79" spans="1:14" hidden="1" x14ac:dyDescent="0.25">
      <c r="A79" s="4">
        <v>46050</v>
      </c>
      <c r="B79" s="3" t="s">
        <v>349</v>
      </c>
      <c r="D79" t="s">
        <v>17</v>
      </c>
      <c r="E79">
        <v>1</v>
      </c>
      <c r="F79">
        <v>10</v>
      </c>
      <c r="G79">
        <f t="shared" si="6"/>
        <v>10</v>
      </c>
      <c r="H79" t="s">
        <v>38</v>
      </c>
      <c r="I79" t="s">
        <v>350</v>
      </c>
      <c r="J79" t="s">
        <v>18</v>
      </c>
      <c r="K79" t="str">
        <f t="shared" si="9"/>
        <v>ENERO</v>
      </c>
      <c r="L79">
        <f t="shared" si="10"/>
        <v>2026</v>
      </c>
    </row>
    <row r="80" spans="1:14" hidden="1" x14ac:dyDescent="0.25">
      <c r="A80" s="4">
        <v>46053</v>
      </c>
      <c r="B80" s="3" t="s">
        <v>406</v>
      </c>
      <c r="C80" t="s">
        <v>407</v>
      </c>
      <c r="D80" t="s">
        <v>70</v>
      </c>
      <c r="E80">
        <v>1</v>
      </c>
      <c r="F80">
        <v>1</v>
      </c>
      <c r="G80">
        <f t="shared" si="6"/>
        <v>1</v>
      </c>
      <c r="H80" t="s">
        <v>405</v>
      </c>
      <c r="J80" t="s">
        <v>18</v>
      </c>
      <c r="K80" t="str">
        <f t="shared" si="9"/>
        <v>ENERO</v>
      </c>
      <c r="L80">
        <f t="shared" si="10"/>
        <v>2026</v>
      </c>
    </row>
    <row r="81" spans="1:15" hidden="1" x14ac:dyDescent="0.25">
      <c r="A81" s="4">
        <v>46053</v>
      </c>
      <c r="B81" s="3" t="s">
        <v>347</v>
      </c>
      <c r="C81" t="s">
        <v>348</v>
      </c>
      <c r="D81" t="s">
        <v>17</v>
      </c>
      <c r="E81">
        <v>1</v>
      </c>
      <c r="F81">
        <v>25</v>
      </c>
      <c r="G81">
        <f t="shared" si="6"/>
        <v>25</v>
      </c>
      <c r="H81" t="s">
        <v>37</v>
      </c>
      <c r="J81" t="s">
        <v>18</v>
      </c>
      <c r="K81" t="str">
        <f t="shared" si="9"/>
        <v>ENERO</v>
      </c>
      <c r="L81">
        <f t="shared" si="10"/>
        <v>2026</v>
      </c>
    </row>
    <row r="82" spans="1:15" hidden="1" x14ac:dyDescent="0.25">
      <c r="A82" s="4">
        <v>46053</v>
      </c>
      <c r="B82" s="3" t="s">
        <v>46</v>
      </c>
      <c r="C82" t="s">
        <v>402</v>
      </c>
      <c r="D82" t="s">
        <v>21</v>
      </c>
      <c r="E82">
        <v>1</v>
      </c>
      <c r="F82">
        <v>5</v>
      </c>
      <c r="G82">
        <f t="shared" si="6"/>
        <v>5</v>
      </c>
      <c r="H82" t="s">
        <v>38</v>
      </c>
      <c r="J82" t="s">
        <v>18</v>
      </c>
      <c r="K82" t="str">
        <f t="shared" si="9"/>
        <v>ENERO</v>
      </c>
      <c r="L82">
        <f t="shared" si="10"/>
        <v>2026</v>
      </c>
    </row>
    <row r="83" spans="1:15" hidden="1" x14ac:dyDescent="0.25">
      <c r="A83" s="4">
        <v>46053</v>
      </c>
      <c r="B83" s="3" t="s">
        <v>400</v>
      </c>
      <c r="C83" t="s">
        <v>401</v>
      </c>
      <c r="D83" t="s">
        <v>17</v>
      </c>
      <c r="E83">
        <v>1</v>
      </c>
      <c r="F83">
        <v>170</v>
      </c>
      <c r="G83">
        <f t="shared" si="6"/>
        <v>170</v>
      </c>
      <c r="H83" t="s">
        <v>38</v>
      </c>
      <c r="J83" t="s">
        <v>18</v>
      </c>
      <c r="K83" t="str">
        <f t="shared" si="9"/>
        <v>ENERO</v>
      </c>
      <c r="L83">
        <f t="shared" si="10"/>
        <v>2026</v>
      </c>
    </row>
    <row r="84" spans="1:15" x14ac:dyDescent="0.25">
      <c r="A84" s="72">
        <v>45346</v>
      </c>
      <c r="B84" s="3" t="s">
        <v>501</v>
      </c>
      <c r="C84" t="s">
        <v>71</v>
      </c>
      <c r="D84" t="s">
        <v>17</v>
      </c>
      <c r="E84">
        <v>1</v>
      </c>
      <c r="F84">
        <v>90</v>
      </c>
      <c r="G84">
        <f t="shared" ref="G84:G115" si="11">E84*F84</f>
        <v>90</v>
      </c>
      <c r="H84" t="s">
        <v>38</v>
      </c>
      <c r="J84" t="s">
        <v>18</v>
      </c>
      <c r="K84" t="str">
        <f t="shared" ref="K84:K147" si="12">UPPER(TEXT(A84,"MMMM"))</f>
        <v>FEBRERO</v>
      </c>
      <c r="L84">
        <f t="shared" ref="L84:L147" si="13">+YEAR(A84)</f>
        <v>2024</v>
      </c>
    </row>
    <row r="85" spans="1:15" x14ac:dyDescent="0.25">
      <c r="A85" s="72">
        <v>45347</v>
      </c>
      <c r="B85" s="3" t="s">
        <v>502</v>
      </c>
      <c r="C85" t="s">
        <v>503</v>
      </c>
      <c r="D85" t="s">
        <v>17</v>
      </c>
      <c r="E85">
        <v>1</v>
      </c>
      <c r="F85">
        <v>35</v>
      </c>
      <c r="G85">
        <f t="shared" si="11"/>
        <v>35</v>
      </c>
      <c r="H85" t="s">
        <v>38</v>
      </c>
      <c r="J85" t="s">
        <v>18</v>
      </c>
      <c r="K85" t="str">
        <f t="shared" si="12"/>
        <v>FEBRERO</v>
      </c>
      <c r="L85">
        <f t="shared" si="13"/>
        <v>2024</v>
      </c>
    </row>
    <row r="86" spans="1:15" x14ac:dyDescent="0.25">
      <c r="A86" s="77">
        <v>45412</v>
      </c>
      <c r="B86" s="3" t="s">
        <v>70</v>
      </c>
      <c r="D86" t="s">
        <v>70</v>
      </c>
      <c r="E86">
        <v>1</v>
      </c>
      <c r="F86">
        <v>2</v>
      </c>
      <c r="G86" s="78">
        <f t="shared" si="11"/>
        <v>2</v>
      </c>
      <c r="H86" t="s">
        <v>606</v>
      </c>
      <c r="I86" t="s">
        <v>703</v>
      </c>
      <c r="J86" t="s">
        <v>18</v>
      </c>
      <c r="K86" s="78" t="str">
        <f t="shared" si="12"/>
        <v>ABRIL</v>
      </c>
      <c r="L86" s="78">
        <f t="shared" si="13"/>
        <v>2024</v>
      </c>
      <c r="O86" s="79"/>
    </row>
    <row r="87" spans="1:15" x14ac:dyDescent="0.25">
      <c r="A87" s="72">
        <v>46055</v>
      </c>
      <c r="B87" s="3" t="s">
        <v>25</v>
      </c>
      <c r="C87" t="s">
        <v>479</v>
      </c>
      <c r="D87" t="s">
        <v>17</v>
      </c>
      <c r="E87">
        <v>1</v>
      </c>
      <c r="F87">
        <v>300</v>
      </c>
      <c r="G87">
        <f t="shared" si="11"/>
        <v>300</v>
      </c>
      <c r="H87" t="s">
        <v>25</v>
      </c>
      <c r="J87" t="s">
        <v>27</v>
      </c>
      <c r="K87" t="str">
        <f t="shared" si="12"/>
        <v>FEBRERO</v>
      </c>
      <c r="L87">
        <f t="shared" si="13"/>
        <v>2026</v>
      </c>
    </row>
    <row r="88" spans="1:15" x14ac:dyDescent="0.25">
      <c r="A88" s="72">
        <v>46055</v>
      </c>
      <c r="B88" s="3" t="s">
        <v>437</v>
      </c>
      <c r="C88" t="s">
        <v>480</v>
      </c>
      <c r="D88" t="s">
        <v>17</v>
      </c>
      <c r="E88">
        <v>1</v>
      </c>
      <c r="F88">
        <v>30</v>
      </c>
      <c r="G88">
        <f t="shared" si="11"/>
        <v>30</v>
      </c>
      <c r="H88" t="s">
        <v>25</v>
      </c>
      <c r="J88" t="s">
        <v>27</v>
      </c>
      <c r="K88" t="str">
        <f t="shared" si="12"/>
        <v>FEBRERO</v>
      </c>
      <c r="L88">
        <f t="shared" si="13"/>
        <v>2026</v>
      </c>
    </row>
    <row r="89" spans="1:15" x14ac:dyDescent="0.25">
      <c r="A89" s="4">
        <v>46056</v>
      </c>
      <c r="B89" s="3" t="s">
        <v>412</v>
      </c>
      <c r="C89" t="s">
        <v>413</v>
      </c>
      <c r="D89" t="s">
        <v>21</v>
      </c>
      <c r="E89">
        <v>1</v>
      </c>
      <c r="F89">
        <v>5</v>
      </c>
      <c r="G89">
        <f t="shared" si="11"/>
        <v>5</v>
      </c>
      <c r="H89" t="s">
        <v>38</v>
      </c>
      <c r="J89" t="s">
        <v>18</v>
      </c>
      <c r="K89" t="str">
        <f t="shared" si="12"/>
        <v>FEBRERO</v>
      </c>
      <c r="L89">
        <f t="shared" si="13"/>
        <v>2026</v>
      </c>
    </row>
    <row r="90" spans="1:15" x14ac:dyDescent="0.25">
      <c r="A90" s="4">
        <v>46056</v>
      </c>
      <c r="B90" s="3" t="s">
        <v>414</v>
      </c>
      <c r="C90" t="s">
        <v>263</v>
      </c>
      <c r="D90" t="s">
        <v>21</v>
      </c>
      <c r="E90">
        <v>1</v>
      </c>
      <c r="F90">
        <v>5</v>
      </c>
      <c r="G90">
        <f t="shared" si="11"/>
        <v>5</v>
      </c>
      <c r="H90" t="s">
        <v>38</v>
      </c>
      <c r="J90" t="s">
        <v>18</v>
      </c>
      <c r="K90" t="str">
        <f t="shared" si="12"/>
        <v>FEBRERO</v>
      </c>
      <c r="L90">
        <f t="shared" si="13"/>
        <v>2026</v>
      </c>
    </row>
    <row r="91" spans="1:15" x14ac:dyDescent="0.25">
      <c r="A91" s="4">
        <v>46056</v>
      </c>
      <c r="B91" s="3" t="s">
        <v>462</v>
      </c>
      <c r="C91" t="s">
        <v>223</v>
      </c>
      <c r="D91" t="s">
        <v>17</v>
      </c>
      <c r="E91">
        <v>1</v>
      </c>
      <c r="F91">
        <v>100</v>
      </c>
      <c r="G91">
        <f t="shared" si="11"/>
        <v>100</v>
      </c>
      <c r="H91" t="s">
        <v>38</v>
      </c>
      <c r="J91" t="s">
        <v>83</v>
      </c>
      <c r="K91" t="str">
        <f t="shared" si="12"/>
        <v>FEBRERO</v>
      </c>
      <c r="L91">
        <f t="shared" si="13"/>
        <v>2026</v>
      </c>
    </row>
    <row r="92" spans="1:15" x14ac:dyDescent="0.25">
      <c r="A92" s="4">
        <v>46057</v>
      </c>
      <c r="B92" s="3" t="s">
        <v>415</v>
      </c>
      <c r="C92" t="s">
        <v>416</v>
      </c>
      <c r="D92" t="s">
        <v>17</v>
      </c>
      <c r="E92">
        <v>1</v>
      </c>
      <c r="F92">
        <v>225</v>
      </c>
      <c r="G92">
        <f t="shared" si="11"/>
        <v>225</v>
      </c>
      <c r="H92" t="s">
        <v>38</v>
      </c>
      <c r="J92" t="s">
        <v>18</v>
      </c>
      <c r="K92" t="str">
        <f t="shared" si="12"/>
        <v>FEBRERO</v>
      </c>
      <c r="L92">
        <f t="shared" si="13"/>
        <v>2026</v>
      </c>
    </row>
    <row r="93" spans="1:15" x14ac:dyDescent="0.25">
      <c r="A93" s="4">
        <v>46057</v>
      </c>
      <c r="B93" s="3" t="s">
        <v>417</v>
      </c>
      <c r="C93" t="s">
        <v>418</v>
      </c>
      <c r="D93" t="s">
        <v>17</v>
      </c>
      <c r="E93">
        <v>1</v>
      </c>
      <c r="F93">
        <v>40</v>
      </c>
      <c r="G93">
        <f t="shared" si="11"/>
        <v>40</v>
      </c>
      <c r="H93" t="s">
        <v>38</v>
      </c>
      <c r="J93" t="s">
        <v>18</v>
      </c>
      <c r="K93" t="str">
        <f t="shared" si="12"/>
        <v>FEBRERO</v>
      </c>
      <c r="L93">
        <f t="shared" si="13"/>
        <v>2026</v>
      </c>
    </row>
    <row r="94" spans="1:15" x14ac:dyDescent="0.25">
      <c r="A94" s="4">
        <v>46057</v>
      </c>
      <c r="B94" s="3" t="s">
        <v>443</v>
      </c>
      <c r="C94" t="s">
        <v>444</v>
      </c>
      <c r="D94" t="s">
        <v>17</v>
      </c>
      <c r="E94">
        <v>1</v>
      </c>
      <c r="F94">
        <v>57.5</v>
      </c>
      <c r="G94">
        <f t="shared" si="11"/>
        <v>57.5</v>
      </c>
      <c r="H94" t="s">
        <v>445</v>
      </c>
      <c r="J94" t="s">
        <v>83</v>
      </c>
      <c r="K94" t="str">
        <f t="shared" si="12"/>
        <v>FEBRERO</v>
      </c>
      <c r="L94">
        <f t="shared" si="13"/>
        <v>2026</v>
      </c>
    </row>
    <row r="95" spans="1:15" x14ac:dyDescent="0.25">
      <c r="A95" s="45">
        <v>46058</v>
      </c>
      <c r="B95" s="52" t="s">
        <v>441</v>
      </c>
      <c r="C95" s="46" t="s">
        <v>442</v>
      </c>
      <c r="D95" s="46" t="s">
        <v>17</v>
      </c>
      <c r="E95" s="46">
        <v>1</v>
      </c>
      <c r="F95" s="46">
        <v>55</v>
      </c>
      <c r="G95">
        <f t="shared" si="11"/>
        <v>55</v>
      </c>
      <c r="H95" s="46" t="s">
        <v>38</v>
      </c>
      <c r="I95" s="46"/>
      <c r="J95" s="46" t="s">
        <v>83</v>
      </c>
      <c r="K95" t="str">
        <f t="shared" si="12"/>
        <v>FEBRERO</v>
      </c>
      <c r="L95">
        <f t="shared" si="13"/>
        <v>2026</v>
      </c>
      <c r="M95" s="46"/>
      <c r="N95" s="46"/>
    </row>
    <row r="96" spans="1:15" x14ac:dyDescent="0.25">
      <c r="A96" s="60">
        <v>46058</v>
      </c>
      <c r="B96" s="61" t="s">
        <v>443</v>
      </c>
      <c r="C96" s="47" t="s">
        <v>444</v>
      </c>
      <c r="D96" s="47" t="s">
        <v>17</v>
      </c>
      <c r="E96" s="47">
        <v>1</v>
      </c>
      <c r="F96" s="47">
        <v>54.26</v>
      </c>
      <c r="G96">
        <f t="shared" si="11"/>
        <v>54.26</v>
      </c>
      <c r="H96" s="47" t="s">
        <v>445</v>
      </c>
      <c r="I96" s="47"/>
      <c r="J96" s="47" t="s">
        <v>83</v>
      </c>
      <c r="K96" t="str">
        <f t="shared" si="12"/>
        <v>FEBRERO</v>
      </c>
      <c r="L96">
        <f t="shared" si="13"/>
        <v>2026</v>
      </c>
      <c r="M96" s="47"/>
      <c r="N96" s="47"/>
    </row>
    <row r="97" spans="1:14" x14ac:dyDescent="0.25">
      <c r="A97" s="72">
        <v>46058</v>
      </c>
      <c r="B97" s="3" t="s">
        <v>457</v>
      </c>
      <c r="C97" t="s">
        <v>458</v>
      </c>
      <c r="D97" t="s">
        <v>17</v>
      </c>
      <c r="E97">
        <v>1</v>
      </c>
      <c r="F97">
        <v>50</v>
      </c>
      <c r="G97">
        <f t="shared" si="11"/>
        <v>50</v>
      </c>
      <c r="H97" t="s">
        <v>38</v>
      </c>
      <c r="J97" t="s">
        <v>456</v>
      </c>
      <c r="K97" t="str">
        <f t="shared" si="12"/>
        <v>FEBRERO</v>
      </c>
      <c r="L97">
        <f t="shared" si="13"/>
        <v>2026</v>
      </c>
    </row>
    <row r="98" spans="1:14" x14ac:dyDescent="0.25">
      <c r="A98" s="45">
        <v>46059</v>
      </c>
      <c r="B98" s="52" t="s">
        <v>439</v>
      </c>
      <c r="C98" s="46" t="s">
        <v>440</v>
      </c>
      <c r="D98" s="46" t="s">
        <v>17</v>
      </c>
      <c r="E98" s="46">
        <v>1</v>
      </c>
      <c r="F98" s="46">
        <v>130</v>
      </c>
      <c r="G98">
        <f t="shared" si="11"/>
        <v>130</v>
      </c>
      <c r="H98" s="46" t="s">
        <v>38</v>
      </c>
      <c r="I98" s="46"/>
      <c r="J98" s="46" t="s">
        <v>83</v>
      </c>
      <c r="K98" t="str">
        <f t="shared" si="12"/>
        <v>FEBRERO</v>
      </c>
      <c r="L98">
        <f t="shared" si="13"/>
        <v>2026</v>
      </c>
      <c r="M98" s="46"/>
      <c r="N98" s="46"/>
    </row>
    <row r="99" spans="1:14" x14ac:dyDescent="0.25">
      <c r="A99" s="72">
        <v>46059</v>
      </c>
      <c r="B99" s="3" t="s">
        <v>437</v>
      </c>
      <c r="C99" t="s">
        <v>480</v>
      </c>
      <c r="D99" t="s">
        <v>17</v>
      </c>
      <c r="E99">
        <v>1</v>
      </c>
      <c r="F99">
        <v>40</v>
      </c>
      <c r="G99">
        <f t="shared" si="11"/>
        <v>40</v>
      </c>
      <c r="H99" t="s">
        <v>25</v>
      </c>
      <c r="J99" t="s">
        <v>27</v>
      </c>
      <c r="K99" t="str">
        <f t="shared" si="12"/>
        <v>FEBRERO</v>
      </c>
      <c r="L99">
        <f t="shared" si="13"/>
        <v>2026</v>
      </c>
    </row>
    <row r="100" spans="1:14" x14ac:dyDescent="0.25">
      <c r="A100" s="72">
        <v>46060</v>
      </c>
      <c r="B100" s="3" t="s">
        <v>463</v>
      </c>
      <c r="C100" t="s">
        <v>464</v>
      </c>
      <c r="D100" t="s">
        <v>17</v>
      </c>
      <c r="E100">
        <v>1</v>
      </c>
      <c r="F100">
        <v>5</v>
      </c>
      <c r="G100">
        <f t="shared" si="11"/>
        <v>5</v>
      </c>
      <c r="H100" t="s">
        <v>38</v>
      </c>
      <c r="J100" t="s">
        <v>18</v>
      </c>
      <c r="K100" t="str">
        <f t="shared" si="12"/>
        <v>FEBRERO</v>
      </c>
      <c r="L100">
        <f t="shared" si="13"/>
        <v>2026</v>
      </c>
    </row>
    <row r="101" spans="1:14" x14ac:dyDescent="0.25">
      <c r="A101" s="72">
        <v>46060</v>
      </c>
      <c r="B101" s="3" t="s">
        <v>347</v>
      </c>
      <c r="C101" t="s">
        <v>348</v>
      </c>
      <c r="D101" t="s">
        <v>17</v>
      </c>
      <c r="E101">
        <v>1</v>
      </c>
      <c r="F101">
        <v>20</v>
      </c>
      <c r="G101">
        <f t="shared" si="11"/>
        <v>20</v>
      </c>
      <c r="H101" t="s">
        <v>38</v>
      </c>
      <c r="J101" t="s">
        <v>18</v>
      </c>
      <c r="K101" t="str">
        <f t="shared" si="12"/>
        <v>FEBRERO</v>
      </c>
      <c r="L101">
        <f t="shared" si="13"/>
        <v>2026</v>
      </c>
    </row>
    <row r="102" spans="1:14" x14ac:dyDescent="0.25">
      <c r="A102" s="72">
        <v>46060</v>
      </c>
      <c r="B102" s="3" t="s">
        <v>328</v>
      </c>
      <c r="C102" t="s">
        <v>329</v>
      </c>
      <c r="D102" t="s">
        <v>17</v>
      </c>
      <c r="E102">
        <v>1</v>
      </c>
      <c r="F102">
        <v>3.5</v>
      </c>
      <c r="G102">
        <f t="shared" si="11"/>
        <v>3.5</v>
      </c>
      <c r="H102" t="s">
        <v>38</v>
      </c>
      <c r="J102" t="s">
        <v>18</v>
      </c>
      <c r="K102" t="str">
        <f t="shared" si="12"/>
        <v>FEBRERO</v>
      </c>
      <c r="L102">
        <f t="shared" si="13"/>
        <v>2026</v>
      </c>
    </row>
    <row r="103" spans="1:14" x14ac:dyDescent="0.25">
      <c r="A103" s="72">
        <v>46060</v>
      </c>
      <c r="B103" s="3" t="s">
        <v>465</v>
      </c>
      <c r="C103" t="s">
        <v>169</v>
      </c>
      <c r="D103" t="s">
        <v>17</v>
      </c>
      <c r="E103">
        <v>1</v>
      </c>
      <c r="F103">
        <v>25</v>
      </c>
      <c r="G103">
        <f t="shared" si="11"/>
        <v>25</v>
      </c>
      <c r="H103" t="s">
        <v>37</v>
      </c>
      <c r="J103" t="s">
        <v>18</v>
      </c>
      <c r="K103" t="str">
        <f t="shared" si="12"/>
        <v>FEBRERO</v>
      </c>
      <c r="L103">
        <f t="shared" si="13"/>
        <v>2026</v>
      </c>
    </row>
    <row r="104" spans="1:14" x14ac:dyDescent="0.25">
      <c r="A104" s="72">
        <v>46060</v>
      </c>
      <c r="B104" s="3" t="s">
        <v>466</v>
      </c>
      <c r="C104" t="s">
        <v>269</v>
      </c>
      <c r="D104" t="s">
        <v>17</v>
      </c>
      <c r="E104">
        <v>1</v>
      </c>
      <c r="F104">
        <v>230</v>
      </c>
      <c r="G104">
        <f t="shared" si="11"/>
        <v>230</v>
      </c>
      <c r="H104" t="s">
        <v>38</v>
      </c>
      <c r="J104" t="s">
        <v>18</v>
      </c>
      <c r="K104" t="str">
        <f t="shared" si="12"/>
        <v>FEBRERO</v>
      </c>
      <c r="L104">
        <f t="shared" si="13"/>
        <v>2026</v>
      </c>
    </row>
    <row r="105" spans="1:14" x14ac:dyDescent="0.25">
      <c r="A105" s="72">
        <v>46060</v>
      </c>
      <c r="B105" s="3" t="s">
        <v>467</v>
      </c>
      <c r="C105" t="s">
        <v>468</v>
      </c>
      <c r="D105" t="s">
        <v>17</v>
      </c>
      <c r="E105">
        <v>1</v>
      </c>
      <c r="F105">
        <v>60</v>
      </c>
      <c r="G105">
        <f t="shared" si="11"/>
        <v>60</v>
      </c>
      <c r="H105" t="s">
        <v>37</v>
      </c>
      <c r="J105" t="s">
        <v>18</v>
      </c>
      <c r="K105" t="str">
        <f t="shared" si="12"/>
        <v>FEBRERO</v>
      </c>
      <c r="L105">
        <f t="shared" si="13"/>
        <v>2026</v>
      </c>
    </row>
    <row r="106" spans="1:14" x14ac:dyDescent="0.25">
      <c r="A106" s="72">
        <v>46061</v>
      </c>
      <c r="B106" s="3" t="s">
        <v>469</v>
      </c>
      <c r="C106" t="s">
        <v>470</v>
      </c>
      <c r="D106" t="s">
        <v>17</v>
      </c>
      <c r="E106">
        <v>1</v>
      </c>
      <c r="F106">
        <v>30</v>
      </c>
      <c r="G106">
        <f t="shared" si="11"/>
        <v>30</v>
      </c>
      <c r="H106" t="s">
        <v>37</v>
      </c>
      <c r="J106" t="s">
        <v>18</v>
      </c>
      <c r="K106" t="str">
        <f t="shared" si="12"/>
        <v>FEBRERO</v>
      </c>
      <c r="L106">
        <f t="shared" si="13"/>
        <v>2026</v>
      </c>
    </row>
    <row r="107" spans="1:14" x14ac:dyDescent="0.25">
      <c r="A107" s="72">
        <v>46062</v>
      </c>
      <c r="B107" s="3" t="s">
        <v>471</v>
      </c>
      <c r="C107" t="s">
        <v>471</v>
      </c>
      <c r="D107" t="s">
        <v>17</v>
      </c>
      <c r="E107">
        <v>1</v>
      </c>
      <c r="F107">
        <v>3</v>
      </c>
      <c r="G107">
        <f t="shared" si="11"/>
        <v>3</v>
      </c>
      <c r="H107" t="s">
        <v>38</v>
      </c>
      <c r="J107" t="s">
        <v>18</v>
      </c>
      <c r="K107" t="str">
        <f t="shared" si="12"/>
        <v>FEBRERO</v>
      </c>
      <c r="L107">
        <f t="shared" si="13"/>
        <v>2026</v>
      </c>
    </row>
    <row r="108" spans="1:14" x14ac:dyDescent="0.25">
      <c r="A108" s="72">
        <v>46063</v>
      </c>
      <c r="B108" s="3" t="s">
        <v>469</v>
      </c>
      <c r="C108" t="s">
        <v>470</v>
      </c>
      <c r="D108" t="s">
        <v>17</v>
      </c>
      <c r="E108">
        <v>1</v>
      </c>
      <c r="F108">
        <v>40</v>
      </c>
      <c r="G108">
        <f t="shared" si="11"/>
        <v>40</v>
      </c>
      <c r="H108" t="s">
        <v>38</v>
      </c>
      <c r="J108" t="s">
        <v>18</v>
      </c>
      <c r="K108" t="str">
        <f t="shared" si="12"/>
        <v>FEBRERO</v>
      </c>
      <c r="L108">
        <f t="shared" si="13"/>
        <v>2026</v>
      </c>
    </row>
    <row r="109" spans="1:14" x14ac:dyDescent="0.25">
      <c r="A109" s="72">
        <v>46063</v>
      </c>
      <c r="B109" s="3" t="s">
        <v>471</v>
      </c>
      <c r="C109" t="s">
        <v>471</v>
      </c>
      <c r="D109" t="s">
        <v>70</v>
      </c>
      <c r="E109">
        <v>1</v>
      </c>
      <c r="F109">
        <v>4</v>
      </c>
      <c r="G109">
        <f t="shared" si="11"/>
        <v>4</v>
      </c>
      <c r="H109" t="s">
        <v>38</v>
      </c>
      <c r="J109" t="s">
        <v>18</v>
      </c>
      <c r="K109" t="str">
        <f t="shared" si="12"/>
        <v>FEBRERO</v>
      </c>
      <c r="L109">
        <f t="shared" si="13"/>
        <v>2026</v>
      </c>
    </row>
    <row r="110" spans="1:14" x14ac:dyDescent="0.25">
      <c r="A110" s="72">
        <v>46063</v>
      </c>
      <c r="B110" s="3" t="s">
        <v>25</v>
      </c>
      <c r="C110" t="s">
        <v>25</v>
      </c>
      <c r="D110" t="s">
        <v>17</v>
      </c>
      <c r="E110">
        <v>1</v>
      </c>
      <c r="F110">
        <v>50</v>
      </c>
      <c r="G110">
        <f t="shared" si="11"/>
        <v>50</v>
      </c>
      <c r="H110" t="s">
        <v>38</v>
      </c>
      <c r="J110" t="s">
        <v>27</v>
      </c>
      <c r="K110" t="str">
        <f t="shared" si="12"/>
        <v>FEBRERO</v>
      </c>
      <c r="L110">
        <f t="shared" si="13"/>
        <v>2026</v>
      </c>
    </row>
    <row r="111" spans="1:14" x14ac:dyDescent="0.25">
      <c r="A111" s="72">
        <v>46064</v>
      </c>
      <c r="B111" s="3" t="s">
        <v>467</v>
      </c>
      <c r="C111" t="s">
        <v>468</v>
      </c>
      <c r="D111" t="s">
        <v>17</v>
      </c>
      <c r="E111">
        <v>1</v>
      </c>
      <c r="F111">
        <v>70</v>
      </c>
      <c r="G111">
        <f t="shared" si="11"/>
        <v>70</v>
      </c>
      <c r="H111" t="s">
        <v>38</v>
      </c>
      <c r="J111" t="s">
        <v>18</v>
      </c>
      <c r="K111" t="str">
        <f t="shared" si="12"/>
        <v>FEBRERO</v>
      </c>
      <c r="L111">
        <f t="shared" si="13"/>
        <v>2026</v>
      </c>
    </row>
    <row r="112" spans="1:14" x14ac:dyDescent="0.25">
      <c r="A112" s="72">
        <v>46064</v>
      </c>
      <c r="B112" s="3" t="s">
        <v>70</v>
      </c>
      <c r="C112" t="s">
        <v>70</v>
      </c>
      <c r="D112" t="s">
        <v>70</v>
      </c>
      <c r="E112">
        <v>1</v>
      </c>
      <c r="F112">
        <v>5</v>
      </c>
      <c r="G112">
        <f t="shared" si="11"/>
        <v>5</v>
      </c>
      <c r="H112" t="s">
        <v>38</v>
      </c>
      <c r="I112" t="s">
        <v>475</v>
      </c>
      <c r="J112" t="s">
        <v>18</v>
      </c>
      <c r="K112" t="str">
        <f t="shared" si="12"/>
        <v>FEBRERO</v>
      </c>
      <c r="L112">
        <f t="shared" si="13"/>
        <v>2026</v>
      </c>
    </row>
    <row r="113" spans="1:15" x14ac:dyDescent="0.25">
      <c r="A113" s="72">
        <v>46064</v>
      </c>
      <c r="B113" s="3" t="s">
        <v>476</v>
      </c>
      <c r="C113" t="s">
        <v>247</v>
      </c>
      <c r="D113" t="s">
        <v>17</v>
      </c>
      <c r="E113">
        <v>1</v>
      </c>
      <c r="F113">
        <v>200</v>
      </c>
      <c r="G113">
        <f t="shared" si="11"/>
        <v>200</v>
      </c>
      <c r="H113" t="s">
        <v>38</v>
      </c>
      <c r="J113" t="s">
        <v>18</v>
      </c>
      <c r="K113" t="str">
        <f t="shared" si="12"/>
        <v>FEBRERO</v>
      </c>
      <c r="L113">
        <f t="shared" si="13"/>
        <v>2026</v>
      </c>
    </row>
    <row r="114" spans="1:15" x14ac:dyDescent="0.25">
      <c r="A114" s="77">
        <v>46064</v>
      </c>
      <c r="B114" s="3" t="s">
        <v>566</v>
      </c>
      <c r="C114" t="s">
        <v>593</v>
      </c>
      <c r="D114" t="s">
        <v>21</v>
      </c>
      <c r="E114">
        <v>1</v>
      </c>
      <c r="F114">
        <v>5</v>
      </c>
      <c r="G114" s="78">
        <f t="shared" si="11"/>
        <v>5</v>
      </c>
      <c r="H114" t="s">
        <v>38</v>
      </c>
      <c r="J114" t="s">
        <v>456</v>
      </c>
      <c r="K114" s="78" t="str">
        <f t="shared" si="12"/>
        <v>FEBRERO</v>
      </c>
      <c r="L114" s="78">
        <f t="shared" si="13"/>
        <v>2026</v>
      </c>
      <c r="O114" s="79"/>
    </row>
    <row r="115" spans="1:15" x14ac:dyDescent="0.25">
      <c r="A115" s="72">
        <v>46065</v>
      </c>
      <c r="B115" s="3" t="s">
        <v>481</v>
      </c>
      <c r="C115" t="s">
        <v>482</v>
      </c>
      <c r="D115" t="s">
        <v>17</v>
      </c>
      <c r="E115">
        <v>1</v>
      </c>
      <c r="F115">
        <v>14.43</v>
      </c>
      <c r="G115">
        <f t="shared" si="11"/>
        <v>14.43</v>
      </c>
      <c r="H115" t="s">
        <v>38</v>
      </c>
      <c r="J115" t="s">
        <v>27</v>
      </c>
      <c r="K115" t="str">
        <f t="shared" si="12"/>
        <v>FEBRERO</v>
      </c>
      <c r="L115">
        <f t="shared" si="13"/>
        <v>2026</v>
      </c>
    </row>
    <row r="116" spans="1:15" x14ac:dyDescent="0.25">
      <c r="A116" s="72">
        <v>46066</v>
      </c>
      <c r="B116" s="3" t="s">
        <v>486</v>
      </c>
      <c r="C116" t="s">
        <v>487</v>
      </c>
      <c r="D116" t="s">
        <v>17</v>
      </c>
      <c r="E116">
        <v>1</v>
      </c>
      <c r="F116">
        <v>200</v>
      </c>
      <c r="G116">
        <f t="shared" ref="G116:G144" si="14">E116*F116</f>
        <v>200</v>
      </c>
      <c r="H116" t="s">
        <v>37</v>
      </c>
      <c r="J116" t="s">
        <v>456</v>
      </c>
      <c r="K116" t="str">
        <f t="shared" si="12"/>
        <v>FEBRERO</v>
      </c>
      <c r="L116">
        <f t="shared" si="13"/>
        <v>2026</v>
      </c>
    </row>
    <row r="117" spans="1:15" x14ac:dyDescent="0.25">
      <c r="A117" s="72">
        <v>46067</v>
      </c>
      <c r="B117" s="3" t="s">
        <v>490</v>
      </c>
      <c r="C117" t="s">
        <v>333</v>
      </c>
      <c r="D117" t="s">
        <v>17</v>
      </c>
      <c r="E117">
        <v>1</v>
      </c>
      <c r="F117">
        <v>145</v>
      </c>
      <c r="G117">
        <f t="shared" si="14"/>
        <v>145</v>
      </c>
      <c r="H117" t="s">
        <v>37</v>
      </c>
      <c r="J117" t="s">
        <v>18</v>
      </c>
      <c r="K117" t="str">
        <f t="shared" si="12"/>
        <v>FEBRERO</v>
      </c>
      <c r="L117">
        <f t="shared" si="13"/>
        <v>2026</v>
      </c>
    </row>
    <row r="118" spans="1:15" x14ac:dyDescent="0.25">
      <c r="A118" s="72">
        <v>46067</v>
      </c>
      <c r="B118" s="3" t="s">
        <v>412</v>
      </c>
      <c r="C118" t="s">
        <v>491</v>
      </c>
      <c r="D118" t="s">
        <v>17</v>
      </c>
      <c r="E118">
        <v>1</v>
      </c>
      <c r="F118">
        <v>55</v>
      </c>
      <c r="G118">
        <f t="shared" si="14"/>
        <v>55</v>
      </c>
      <c r="H118" t="s">
        <v>38</v>
      </c>
      <c r="J118" t="s">
        <v>18</v>
      </c>
      <c r="K118" t="str">
        <f t="shared" si="12"/>
        <v>FEBRERO</v>
      </c>
      <c r="L118">
        <f t="shared" si="13"/>
        <v>2026</v>
      </c>
    </row>
    <row r="119" spans="1:15" hidden="1" x14ac:dyDescent="0.25">
      <c r="A119" s="72"/>
      <c r="B119" s="3"/>
      <c r="G119">
        <f t="shared" si="14"/>
        <v>0</v>
      </c>
      <c r="H119" t="s">
        <v>38</v>
      </c>
      <c r="K119" t="str">
        <f t="shared" si="12"/>
        <v>ENERO</v>
      </c>
      <c r="L119">
        <f t="shared" si="13"/>
        <v>1900</v>
      </c>
    </row>
    <row r="120" spans="1:15" hidden="1" x14ac:dyDescent="0.25">
      <c r="A120" s="72"/>
      <c r="B120" s="3"/>
      <c r="G120">
        <f t="shared" si="14"/>
        <v>0</v>
      </c>
      <c r="H120" t="s">
        <v>38</v>
      </c>
      <c r="K120" t="str">
        <f t="shared" si="12"/>
        <v>ENERO</v>
      </c>
      <c r="L120">
        <f t="shared" si="13"/>
        <v>1900</v>
      </c>
    </row>
    <row r="121" spans="1:15" hidden="1" x14ac:dyDescent="0.25">
      <c r="A121" s="72"/>
      <c r="B121" s="3"/>
      <c r="G121">
        <f t="shared" si="14"/>
        <v>0</v>
      </c>
      <c r="H121" t="s">
        <v>38</v>
      </c>
      <c r="K121" t="str">
        <f t="shared" si="12"/>
        <v>ENERO</v>
      </c>
      <c r="L121">
        <f t="shared" si="13"/>
        <v>1900</v>
      </c>
    </row>
    <row r="122" spans="1:15" hidden="1" x14ac:dyDescent="0.25">
      <c r="A122" s="72"/>
      <c r="B122" s="3"/>
      <c r="G122">
        <f t="shared" si="14"/>
        <v>0</v>
      </c>
      <c r="H122" t="s">
        <v>38</v>
      </c>
      <c r="K122" t="str">
        <f t="shared" si="12"/>
        <v>ENERO</v>
      </c>
      <c r="L122">
        <f t="shared" si="13"/>
        <v>1900</v>
      </c>
    </row>
    <row r="123" spans="1:15" hidden="1" x14ac:dyDescent="0.25">
      <c r="A123" s="72"/>
      <c r="B123" s="3"/>
      <c r="G123">
        <f t="shared" si="14"/>
        <v>0</v>
      </c>
      <c r="H123" t="s">
        <v>38</v>
      </c>
      <c r="K123" t="str">
        <f t="shared" si="12"/>
        <v>ENERO</v>
      </c>
      <c r="L123">
        <f t="shared" si="13"/>
        <v>1900</v>
      </c>
    </row>
    <row r="124" spans="1:15" hidden="1" x14ac:dyDescent="0.25">
      <c r="A124" s="72"/>
      <c r="B124" s="3"/>
      <c r="G124">
        <f t="shared" si="14"/>
        <v>0</v>
      </c>
      <c r="H124" t="s">
        <v>38</v>
      </c>
      <c r="K124" t="str">
        <f t="shared" si="12"/>
        <v>ENERO</v>
      </c>
      <c r="L124">
        <f t="shared" si="13"/>
        <v>1900</v>
      </c>
    </row>
    <row r="125" spans="1:15" hidden="1" x14ac:dyDescent="0.25">
      <c r="A125" s="72"/>
      <c r="B125" s="3"/>
      <c r="G125">
        <f t="shared" si="14"/>
        <v>0</v>
      </c>
      <c r="H125" t="s">
        <v>38</v>
      </c>
      <c r="K125" t="str">
        <f t="shared" si="12"/>
        <v>ENERO</v>
      </c>
      <c r="L125">
        <f t="shared" si="13"/>
        <v>1900</v>
      </c>
    </row>
    <row r="126" spans="1:15" hidden="1" x14ac:dyDescent="0.25">
      <c r="A126" s="72"/>
      <c r="B126" s="3"/>
      <c r="G126">
        <f t="shared" si="14"/>
        <v>0</v>
      </c>
      <c r="H126" t="s">
        <v>38</v>
      </c>
      <c r="K126" t="str">
        <f t="shared" si="12"/>
        <v>ENERO</v>
      </c>
      <c r="L126">
        <f t="shared" si="13"/>
        <v>1900</v>
      </c>
    </row>
    <row r="127" spans="1:15" hidden="1" x14ac:dyDescent="0.25">
      <c r="A127" s="72"/>
      <c r="B127" s="3"/>
      <c r="G127">
        <f t="shared" si="14"/>
        <v>0</v>
      </c>
      <c r="K127" t="str">
        <f t="shared" si="12"/>
        <v>ENERO</v>
      </c>
      <c r="L127">
        <f t="shared" si="13"/>
        <v>1900</v>
      </c>
    </row>
    <row r="128" spans="1:15" x14ac:dyDescent="0.25">
      <c r="A128" s="72">
        <v>46067</v>
      </c>
      <c r="B128" s="3" t="s">
        <v>229</v>
      </c>
      <c r="C128" t="s">
        <v>247</v>
      </c>
      <c r="D128" t="s">
        <v>17</v>
      </c>
      <c r="E128">
        <v>1</v>
      </c>
      <c r="F128">
        <v>70</v>
      </c>
      <c r="G128">
        <f t="shared" si="14"/>
        <v>70</v>
      </c>
      <c r="H128" t="s">
        <v>38</v>
      </c>
      <c r="J128" t="s">
        <v>18</v>
      </c>
      <c r="K128" t="str">
        <f t="shared" si="12"/>
        <v>FEBRERO</v>
      </c>
      <c r="L128">
        <f t="shared" si="13"/>
        <v>2026</v>
      </c>
    </row>
    <row r="129" spans="1:15" x14ac:dyDescent="0.25">
      <c r="A129" s="72">
        <v>46067</v>
      </c>
      <c r="B129" s="3" t="s">
        <v>492</v>
      </c>
      <c r="C129" t="s">
        <v>493</v>
      </c>
      <c r="D129" t="s">
        <v>17</v>
      </c>
      <c r="E129">
        <v>1</v>
      </c>
      <c r="F129">
        <v>95</v>
      </c>
      <c r="G129">
        <f t="shared" si="14"/>
        <v>95</v>
      </c>
      <c r="H129" t="s">
        <v>38</v>
      </c>
      <c r="I129" t="s">
        <v>494</v>
      </c>
      <c r="J129" t="s">
        <v>18</v>
      </c>
      <c r="K129" t="str">
        <f t="shared" si="12"/>
        <v>FEBRERO</v>
      </c>
      <c r="L129">
        <f t="shared" si="13"/>
        <v>2026</v>
      </c>
    </row>
    <row r="130" spans="1:15" x14ac:dyDescent="0.25">
      <c r="A130" s="72">
        <v>46071</v>
      </c>
      <c r="B130" s="3" t="s">
        <v>495</v>
      </c>
      <c r="C130" t="s">
        <v>496</v>
      </c>
      <c r="D130" t="s">
        <v>17</v>
      </c>
      <c r="E130">
        <v>1</v>
      </c>
      <c r="F130">
        <v>40</v>
      </c>
      <c r="G130">
        <f t="shared" si="14"/>
        <v>40</v>
      </c>
      <c r="H130" t="s">
        <v>37</v>
      </c>
      <c r="J130" t="s">
        <v>18</v>
      </c>
      <c r="K130" t="str">
        <f t="shared" si="12"/>
        <v>FEBRERO</v>
      </c>
      <c r="L130">
        <f t="shared" si="13"/>
        <v>2026</v>
      </c>
    </row>
    <row r="131" spans="1:15" x14ac:dyDescent="0.25">
      <c r="A131" s="72">
        <v>46071</v>
      </c>
      <c r="B131" s="3" t="s">
        <v>497</v>
      </c>
      <c r="C131" t="s">
        <v>498</v>
      </c>
      <c r="D131" t="s">
        <v>17</v>
      </c>
      <c r="E131">
        <v>1</v>
      </c>
      <c r="F131">
        <v>120</v>
      </c>
      <c r="G131">
        <f t="shared" si="14"/>
        <v>120</v>
      </c>
      <c r="H131" t="s">
        <v>37</v>
      </c>
      <c r="J131" t="s">
        <v>18</v>
      </c>
      <c r="K131" t="str">
        <f t="shared" si="12"/>
        <v>FEBRERO</v>
      </c>
      <c r="L131">
        <f t="shared" si="13"/>
        <v>2026</v>
      </c>
    </row>
    <row r="132" spans="1:15" x14ac:dyDescent="0.25">
      <c r="A132" s="72">
        <v>46071</v>
      </c>
      <c r="B132" s="3" t="s">
        <v>330</v>
      </c>
      <c r="C132" t="s">
        <v>500</v>
      </c>
      <c r="D132" t="s">
        <v>17</v>
      </c>
      <c r="E132">
        <v>1</v>
      </c>
      <c r="F132">
        <v>60</v>
      </c>
      <c r="G132">
        <f t="shared" si="14"/>
        <v>60</v>
      </c>
      <c r="H132" t="s">
        <v>37</v>
      </c>
      <c r="J132" t="s">
        <v>18</v>
      </c>
      <c r="K132" t="str">
        <f t="shared" si="12"/>
        <v>FEBRERO</v>
      </c>
      <c r="L132">
        <f t="shared" si="13"/>
        <v>2026</v>
      </c>
    </row>
    <row r="133" spans="1:15" x14ac:dyDescent="0.25">
      <c r="A133" s="72">
        <v>46071</v>
      </c>
      <c r="B133" s="3" t="s">
        <v>467</v>
      </c>
      <c r="C133" t="s">
        <v>71</v>
      </c>
      <c r="D133" t="s">
        <v>17</v>
      </c>
      <c r="E133">
        <v>1</v>
      </c>
      <c r="F133">
        <v>200</v>
      </c>
      <c r="G133">
        <f t="shared" si="14"/>
        <v>200</v>
      </c>
      <c r="H133" t="s">
        <v>38</v>
      </c>
      <c r="J133" t="s">
        <v>456</v>
      </c>
      <c r="K133" t="str">
        <f t="shared" si="12"/>
        <v>FEBRERO</v>
      </c>
      <c r="L133">
        <f t="shared" si="13"/>
        <v>2026</v>
      </c>
    </row>
    <row r="134" spans="1:15" x14ac:dyDescent="0.25">
      <c r="A134" s="72">
        <v>46072</v>
      </c>
      <c r="B134" s="3" t="s">
        <v>330</v>
      </c>
      <c r="C134" t="s">
        <v>500</v>
      </c>
      <c r="D134" t="s">
        <v>17</v>
      </c>
      <c r="E134">
        <v>1</v>
      </c>
      <c r="F134">
        <v>125</v>
      </c>
      <c r="G134">
        <f t="shared" si="14"/>
        <v>125</v>
      </c>
      <c r="H134" t="s">
        <v>38</v>
      </c>
      <c r="J134" t="s">
        <v>456</v>
      </c>
      <c r="K134" t="str">
        <f t="shared" si="12"/>
        <v>FEBRERO</v>
      </c>
      <c r="L134">
        <f t="shared" si="13"/>
        <v>2026</v>
      </c>
    </row>
    <row r="135" spans="1:15" x14ac:dyDescent="0.25">
      <c r="A135" s="72">
        <v>46073</v>
      </c>
      <c r="B135" s="3" t="s">
        <v>497</v>
      </c>
      <c r="C135" t="s">
        <v>498</v>
      </c>
      <c r="D135" t="s">
        <v>17</v>
      </c>
      <c r="E135">
        <v>1</v>
      </c>
      <c r="F135">
        <v>100</v>
      </c>
      <c r="G135">
        <f t="shared" si="14"/>
        <v>100</v>
      </c>
      <c r="H135" t="s">
        <v>38</v>
      </c>
      <c r="J135" t="s">
        <v>18</v>
      </c>
      <c r="K135" t="str">
        <f t="shared" si="12"/>
        <v>FEBRERO</v>
      </c>
      <c r="L135">
        <f t="shared" si="13"/>
        <v>2026</v>
      </c>
    </row>
    <row r="136" spans="1:15" x14ac:dyDescent="0.25">
      <c r="A136" s="72">
        <v>46076</v>
      </c>
      <c r="B136" s="3" t="s">
        <v>501</v>
      </c>
      <c r="C136" t="s">
        <v>71</v>
      </c>
      <c r="D136" t="s">
        <v>17</v>
      </c>
      <c r="E136">
        <v>1</v>
      </c>
      <c r="F136">
        <v>100</v>
      </c>
      <c r="G136">
        <f t="shared" si="14"/>
        <v>100</v>
      </c>
      <c r="H136" t="s">
        <v>37</v>
      </c>
      <c r="J136" t="s">
        <v>18</v>
      </c>
      <c r="K136" t="str">
        <f t="shared" si="12"/>
        <v>FEBRERO</v>
      </c>
      <c r="L136">
        <f t="shared" si="13"/>
        <v>2026</v>
      </c>
    </row>
    <row r="137" spans="1:15" x14ac:dyDescent="0.25">
      <c r="A137" s="72">
        <v>46076</v>
      </c>
      <c r="B137" s="3" t="s">
        <v>70</v>
      </c>
      <c r="C137" t="s">
        <v>70</v>
      </c>
      <c r="D137" t="s">
        <v>70</v>
      </c>
      <c r="E137">
        <v>1</v>
      </c>
      <c r="F137">
        <v>4</v>
      </c>
      <c r="G137">
        <f t="shared" si="14"/>
        <v>4</v>
      </c>
      <c r="H137" t="s">
        <v>38</v>
      </c>
      <c r="J137" t="s">
        <v>18</v>
      </c>
      <c r="K137" t="str">
        <f t="shared" si="12"/>
        <v>FEBRERO</v>
      </c>
      <c r="L137">
        <f t="shared" si="13"/>
        <v>2026</v>
      </c>
    </row>
    <row r="138" spans="1:15" x14ac:dyDescent="0.25">
      <c r="A138" s="72">
        <v>46076</v>
      </c>
      <c r="B138" s="3" t="s">
        <v>502</v>
      </c>
      <c r="C138" t="s">
        <v>503</v>
      </c>
      <c r="D138" t="s">
        <v>17</v>
      </c>
      <c r="E138">
        <v>1</v>
      </c>
      <c r="F138">
        <v>60</v>
      </c>
      <c r="G138">
        <f t="shared" si="14"/>
        <v>60</v>
      </c>
      <c r="H138" t="s">
        <v>37</v>
      </c>
      <c r="J138" t="s">
        <v>18</v>
      </c>
      <c r="K138" t="str">
        <f t="shared" si="12"/>
        <v>FEBRERO</v>
      </c>
      <c r="L138">
        <f t="shared" si="13"/>
        <v>2026</v>
      </c>
    </row>
    <row r="139" spans="1:15" x14ac:dyDescent="0.25">
      <c r="A139" s="72">
        <v>46076</v>
      </c>
      <c r="B139" s="3" t="s">
        <v>66</v>
      </c>
      <c r="D139" t="s">
        <v>17</v>
      </c>
      <c r="E139">
        <v>1</v>
      </c>
      <c r="F139">
        <v>10</v>
      </c>
      <c r="G139">
        <f t="shared" si="14"/>
        <v>10</v>
      </c>
      <c r="H139" t="s">
        <v>459</v>
      </c>
      <c r="I139" t="s">
        <v>437</v>
      </c>
      <c r="J139" t="s">
        <v>27</v>
      </c>
      <c r="K139" t="str">
        <f t="shared" si="12"/>
        <v>FEBRERO</v>
      </c>
      <c r="L139">
        <f t="shared" si="13"/>
        <v>2026</v>
      </c>
    </row>
    <row r="140" spans="1:15" x14ac:dyDescent="0.25">
      <c r="A140" s="77">
        <v>46076</v>
      </c>
      <c r="B140" s="3" t="s">
        <v>594</v>
      </c>
      <c r="D140" t="s">
        <v>17</v>
      </c>
      <c r="E140">
        <v>1</v>
      </c>
      <c r="F140">
        <v>100</v>
      </c>
      <c r="G140" s="78">
        <f t="shared" si="14"/>
        <v>100</v>
      </c>
      <c r="H140" t="s">
        <v>37</v>
      </c>
      <c r="J140" t="s">
        <v>30</v>
      </c>
      <c r="K140" s="78" t="str">
        <f t="shared" si="12"/>
        <v>FEBRERO</v>
      </c>
      <c r="L140" s="78">
        <f t="shared" si="13"/>
        <v>2026</v>
      </c>
      <c r="O140" s="79"/>
    </row>
    <row r="141" spans="1:15" x14ac:dyDescent="0.25">
      <c r="A141" s="72">
        <v>46077</v>
      </c>
      <c r="B141" s="3" t="s">
        <v>105</v>
      </c>
      <c r="C141" t="s">
        <v>207</v>
      </c>
      <c r="D141" t="s">
        <v>17</v>
      </c>
      <c r="E141">
        <v>1</v>
      </c>
      <c r="F141">
        <v>150</v>
      </c>
      <c r="G141">
        <f t="shared" si="14"/>
        <v>150</v>
      </c>
      <c r="H141" t="s">
        <v>584</v>
      </c>
      <c r="J141" t="s">
        <v>27</v>
      </c>
      <c r="K141" t="str">
        <f t="shared" si="12"/>
        <v>FEBRERO</v>
      </c>
      <c r="L141">
        <f t="shared" si="13"/>
        <v>2026</v>
      </c>
    </row>
    <row r="142" spans="1:15" x14ac:dyDescent="0.25">
      <c r="A142" s="72">
        <v>46077</v>
      </c>
      <c r="B142" s="3" t="s">
        <v>592</v>
      </c>
      <c r="C142" t="s">
        <v>487</v>
      </c>
      <c r="D142" t="s">
        <v>17</v>
      </c>
      <c r="E142">
        <v>1</v>
      </c>
      <c r="F142">
        <v>170</v>
      </c>
      <c r="G142">
        <f t="shared" si="14"/>
        <v>170</v>
      </c>
      <c r="H142" t="s">
        <v>38</v>
      </c>
      <c r="J142" t="s">
        <v>456</v>
      </c>
      <c r="K142" t="str">
        <f t="shared" si="12"/>
        <v>FEBRERO</v>
      </c>
      <c r="L142">
        <f t="shared" si="13"/>
        <v>2026</v>
      </c>
    </row>
    <row r="143" spans="1:15" x14ac:dyDescent="0.25">
      <c r="A143" s="77">
        <v>46077</v>
      </c>
      <c r="B143" s="3" t="s">
        <v>594</v>
      </c>
      <c r="D143" t="s">
        <v>17</v>
      </c>
      <c r="E143">
        <v>1</v>
      </c>
      <c r="F143">
        <v>100</v>
      </c>
      <c r="G143" s="78">
        <f t="shared" si="14"/>
        <v>100</v>
      </c>
      <c r="H143" t="s">
        <v>37</v>
      </c>
      <c r="J143" t="s">
        <v>30</v>
      </c>
      <c r="K143" s="78" t="str">
        <f t="shared" si="12"/>
        <v>FEBRERO</v>
      </c>
      <c r="L143" s="78">
        <f t="shared" si="13"/>
        <v>2026</v>
      </c>
      <c r="O143" s="79"/>
    </row>
    <row r="144" spans="1:15" x14ac:dyDescent="0.25">
      <c r="A144" s="72">
        <v>46078</v>
      </c>
      <c r="B144" s="3" t="s">
        <v>522</v>
      </c>
      <c r="C144" t="s">
        <v>71</v>
      </c>
      <c r="D144" t="s">
        <v>17</v>
      </c>
      <c r="E144">
        <v>1</v>
      </c>
      <c r="F144">
        <v>210</v>
      </c>
      <c r="G144">
        <f t="shared" si="14"/>
        <v>210</v>
      </c>
      <c r="H144" t="s">
        <v>38</v>
      </c>
      <c r="J144" t="s">
        <v>18</v>
      </c>
      <c r="K144" t="str">
        <f t="shared" si="12"/>
        <v>FEBRERO</v>
      </c>
      <c r="L144">
        <f t="shared" si="13"/>
        <v>2026</v>
      </c>
    </row>
    <row r="145" spans="1:15" x14ac:dyDescent="0.25">
      <c r="A145" s="72">
        <v>46078</v>
      </c>
      <c r="B145" s="3" t="s">
        <v>523</v>
      </c>
      <c r="C145" t="s">
        <v>71</v>
      </c>
      <c r="D145" t="s">
        <v>17</v>
      </c>
      <c r="E145">
        <v>1</v>
      </c>
      <c r="F145" t="s">
        <v>505</v>
      </c>
      <c r="G145" t="s">
        <v>505</v>
      </c>
      <c r="H145" t="s">
        <v>38</v>
      </c>
      <c r="J145" t="s">
        <v>18</v>
      </c>
      <c r="K145" t="str">
        <f t="shared" si="12"/>
        <v>FEBRERO</v>
      </c>
      <c r="L145">
        <f t="shared" si="13"/>
        <v>2026</v>
      </c>
    </row>
    <row r="146" spans="1:15" x14ac:dyDescent="0.25">
      <c r="A146" s="72">
        <v>46078</v>
      </c>
      <c r="B146" s="3" t="s">
        <v>524</v>
      </c>
      <c r="C146" t="s">
        <v>71</v>
      </c>
      <c r="D146" t="s">
        <v>17</v>
      </c>
      <c r="E146">
        <v>1</v>
      </c>
      <c r="F146" t="s">
        <v>505</v>
      </c>
      <c r="G146" t="s">
        <v>505</v>
      </c>
      <c r="H146" t="s">
        <v>38</v>
      </c>
      <c r="J146" t="s">
        <v>18</v>
      </c>
      <c r="K146" t="str">
        <f t="shared" si="12"/>
        <v>FEBRERO</v>
      </c>
      <c r="L146">
        <f t="shared" si="13"/>
        <v>2026</v>
      </c>
    </row>
    <row r="147" spans="1:15" x14ac:dyDescent="0.25">
      <c r="A147" s="72">
        <v>46078</v>
      </c>
      <c r="B147" s="3" t="s">
        <v>591</v>
      </c>
      <c r="C147" t="s">
        <v>71</v>
      </c>
      <c r="D147" t="s">
        <v>17</v>
      </c>
      <c r="E147">
        <v>1</v>
      </c>
      <c r="F147">
        <v>115</v>
      </c>
      <c r="G147">
        <f t="shared" ref="G147:G178" si="15">E147*F147</f>
        <v>115</v>
      </c>
      <c r="H147" t="s">
        <v>38</v>
      </c>
      <c r="J147" t="s">
        <v>456</v>
      </c>
      <c r="K147" t="str">
        <f t="shared" si="12"/>
        <v>FEBRERO</v>
      </c>
      <c r="L147">
        <f t="shared" si="13"/>
        <v>2026</v>
      </c>
    </row>
    <row r="148" spans="1:15" x14ac:dyDescent="0.25">
      <c r="A148" s="77">
        <v>46078</v>
      </c>
      <c r="B148" s="3" t="s">
        <v>529</v>
      </c>
      <c r="C148" t="s">
        <v>530</v>
      </c>
      <c r="D148" t="s">
        <v>17</v>
      </c>
      <c r="E148">
        <v>1</v>
      </c>
      <c r="F148">
        <v>25</v>
      </c>
      <c r="G148" s="78">
        <f t="shared" si="15"/>
        <v>25</v>
      </c>
      <c r="H148" t="s">
        <v>38</v>
      </c>
      <c r="J148" t="s">
        <v>456</v>
      </c>
      <c r="K148" s="78" t="str">
        <f t="shared" ref="K148:K211" si="16">UPPER(TEXT(A148,"MMMM"))</f>
        <v>FEBRERO</v>
      </c>
      <c r="L148" s="78">
        <f t="shared" ref="L148:L211" si="17">+YEAR(A148)</f>
        <v>2026</v>
      </c>
      <c r="O148" s="79"/>
    </row>
    <row r="149" spans="1:15" x14ac:dyDescent="0.25">
      <c r="A149" s="77">
        <v>46078</v>
      </c>
      <c r="B149" s="3" t="s">
        <v>594</v>
      </c>
      <c r="D149" t="s">
        <v>17</v>
      </c>
      <c r="E149">
        <v>1</v>
      </c>
      <c r="F149">
        <v>50</v>
      </c>
      <c r="G149" s="78">
        <f t="shared" si="15"/>
        <v>50</v>
      </c>
      <c r="H149" t="s">
        <v>38</v>
      </c>
      <c r="J149" t="s">
        <v>30</v>
      </c>
      <c r="K149" s="78" t="str">
        <f t="shared" si="16"/>
        <v>FEBRERO</v>
      </c>
      <c r="L149" s="78">
        <f t="shared" si="17"/>
        <v>2026</v>
      </c>
      <c r="O149" s="79"/>
    </row>
    <row r="150" spans="1:15" x14ac:dyDescent="0.25">
      <c r="A150" s="72">
        <v>46079</v>
      </c>
      <c r="B150" s="3" t="s">
        <v>525</v>
      </c>
      <c r="C150" t="s">
        <v>526</v>
      </c>
      <c r="D150" t="s">
        <v>21</v>
      </c>
      <c r="E150">
        <v>1</v>
      </c>
      <c r="F150">
        <v>5</v>
      </c>
      <c r="G150">
        <f t="shared" si="15"/>
        <v>5</v>
      </c>
      <c r="H150" t="s">
        <v>38</v>
      </c>
      <c r="J150" t="s">
        <v>18</v>
      </c>
      <c r="K150" t="str">
        <f t="shared" si="16"/>
        <v>FEBRERO</v>
      </c>
      <c r="L150">
        <f t="shared" si="17"/>
        <v>2026</v>
      </c>
    </row>
    <row r="151" spans="1:15" x14ac:dyDescent="0.25">
      <c r="A151" s="72">
        <v>46079</v>
      </c>
      <c r="B151" s="3" t="s">
        <v>527</v>
      </c>
      <c r="C151" t="s">
        <v>528</v>
      </c>
      <c r="D151" t="s">
        <v>17</v>
      </c>
      <c r="E151">
        <v>1</v>
      </c>
      <c r="F151">
        <v>100</v>
      </c>
      <c r="G151">
        <f t="shared" si="15"/>
        <v>100</v>
      </c>
      <c r="H151" t="s">
        <v>38</v>
      </c>
      <c r="J151" t="s">
        <v>18</v>
      </c>
      <c r="K151" t="str">
        <f t="shared" si="16"/>
        <v>FEBRERO</v>
      </c>
      <c r="L151">
        <f t="shared" si="17"/>
        <v>2026</v>
      </c>
    </row>
    <row r="152" spans="1:15" x14ac:dyDescent="0.25">
      <c r="A152" s="72">
        <v>46079</v>
      </c>
      <c r="B152" s="3" t="s">
        <v>529</v>
      </c>
      <c r="C152" t="s">
        <v>530</v>
      </c>
      <c r="D152" t="s">
        <v>17</v>
      </c>
      <c r="E152">
        <v>1</v>
      </c>
      <c r="F152">
        <v>30</v>
      </c>
      <c r="G152">
        <f t="shared" si="15"/>
        <v>30</v>
      </c>
      <c r="H152" t="s">
        <v>38</v>
      </c>
      <c r="J152" t="s">
        <v>18</v>
      </c>
      <c r="K152" t="str">
        <f t="shared" si="16"/>
        <v>FEBRERO</v>
      </c>
      <c r="L152">
        <f t="shared" si="17"/>
        <v>2026</v>
      </c>
    </row>
    <row r="153" spans="1:15" x14ac:dyDescent="0.25">
      <c r="A153" s="72">
        <v>46079</v>
      </c>
      <c r="B153" s="3" t="s">
        <v>66</v>
      </c>
      <c r="D153" t="s">
        <v>17</v>
      </c>
      <c r="E153">
        <v>1</v>
      </c>
      <c r="F153">
        <v>200</v>
      </c>
      <c r="G153">
        <f t="shared" si="15"/>
        <v>200</v>
      </c>
      <c r="H153" t="s">
        <v>459</v>
      </c>
      <c r="I153" t="s">
        <v>437</v>
      </c>
      <c r="J153" t="s">
        <v>27</v>
      </c>
      <c r="K153" t="str">
        <f t="shared" si="16"/>
        <v>FEBRERO</v>
      </c>
      <c r="L153">
        <f t="shared" si="17"/>
        <v>2026</v>
      </c>
    </row>
    <row r="154" spans="1:15" x14ac:dyDescent="0.25">
      <c r="A154" s="72">
        <v>46079</v>
      </c>
      <c r="B154" s="3" t="s">
        <v>531</v>
      </c>
      <c r="C154" t="s">
        <v>407</v>
      </c>
      <c r="D154" t="s">
        <v>17</v>
      </c>
      <c r="E154">
        <v>1</v>
      </c>
      <c r="F154">
        <v>10</v>
      </c>
      <c r="G154">
        <f t="shared" si="15"/>
        <v>10</v>
      </c>
      <c r="H154" t="s">
        <v>459</v>
      </c>
      <c r="J154" t="s">
        <v>27</v>
      </c>
      <c r="K154" t="str">
        <f t="shared" si="16"/>
        <v>FEBRERO</v>
      </c>
      <c r="L154">
        <f t="shared" si="17"/>
        <v>2026</v>
      </c>
    </row>
    <row r="155" spans="1:15" x14ac:dyDescent="0.25">
      <c r="A155" s="72">
        <v>46080</v>
      </c>
      <c r="B155" s="3" t="s">
        <v>531</v>
      </c>
      <c r="C155" t="s">
        <v>407</v>
      </c>
      <c r="D155" t="s">
        <v>70</v>
      </c>
      <c r="E155">
        <v>1</v>
      </c>
      <c r="F155">
        <v>10.5</v>
      </c>
      <c r="G155">
        <f t="shared" si="15"/>
        <v>10.5</v>
      </c>
      <c r="H155" t="s">
        <v>38</v>
      </c>
      <c r="J155" t="s">
        <v>18</v>
      </c>
      <c r="K155" t="str">
        <f t="shared" si="16"/>
        <v>FEBRERO</v>
      </c>
      <c r="L155">
        <f t="shared" si="17"/>
        <v>2026</v>
      </c>
    </row>
    <row r="156" spans="1:15" x14ac:dyDescent="0.25">
      <c r="A156" s="72">
        <v>46080</v>
      </c>
      <c r="B156" s="3" t="s">
        <v>585</v>
      </c>
      <c r="D156" t="s">
        <v>17</v>
      </c>
      <c r="E156">
        <v>1</v>
      </c>
      <c r="F156">
        <v>130.77000000000001</v>
      </c>
      <c r="G156">
        <f t="shared" si="15"/>
        <v>130.77000000000001</v>
      </c>
      <c r="H156" t="s">
        <v>585</v>
      </c>
      <c r="J156" t="s">
        <v>27</v>
      </c>
      <c r="K156" t="str">
        <f t="shared" si="16"/>
        <v>FEBRERO</v>
      </c>
      <c r="L156">
        <f t="shared" si="17"/>
        <v>2026</v>
      </c>
    </row>
    <row r="157" spans="1:15" x14ac:dyDescent="0.25">
      <c r="A157" s="72">
        <v>46080</v>
      </c>
      <c r="B157" s="3" t="s">
        <v>66</v>
      </c>
      <c r="D157" t="s">
        <v>17</v>
      </c>
      <c r="E157">
        <v>1</v>
      </c>
      <c r="F157">
        <v>100</v>
      </c>
      <c r="G157">
        <f t="shared" si="15"/>
        <v>100</v>
      </c>
      <c r="H157" t="s">
        <v>459</v>
      </c>
      <c r="I157" t="s">
        <v>437</v>
      </c>
      <c r="J157" t="s">
        <v>27</v>
      </c>
      <c r="K157" t="str">
        <f t="shared" si="16"/>
        <v>FEBRERO</v>
      </c>
      <c r="L157">
        <f t="shared" si="17"/>
        <v>2026</v>
      </c>
    </row>
    <row r="158" spans="1:15" x14ac:dyDescent="0.25">
      <c r="A158" s="72">
        <v>46081</v>
      </c>
      <c r="B158" s="3" t="s">
        <v>536</v>
      </c>
      <c r="C158" t="s">
        <v>402</v>
      </c>
      <c r="D158" t="s">
        <v>17</v>
      </c>
      <c r="E158">
        <v>1</v>
      </c>
      <c r="F158">
        <v>40</v>
      </c>
      <c r="G158">
        <f t="shared" si="15"/>
        <v>40</v>
      </c>
      <c r="H158" t="s">
        <v>38</v>
      </c>
      <c r="J158" t="s">
        <v>18</v>
      </c>
      <c r="K158" t="str">
        <f t="shared" si="16"/>
        <v>FEBRERO</v>
      </c>
      <c r="L158">
        <f t="shared" si="17"/>
        <v>2026</v>
      </c>
    </row>
    <row r="159" spans="1:15" x14ac:dyDescent="0.25">
      <c r="A159" s="72">
        <v>46081</v>
      </c>
      <c r="B159" s="3" t="s">
        <v>21</v>
      </c>
      <c r="C159" t="s">
        <v>21</v>
      </c>
      <c r="D159" t="s">
        <v>21</v>
      </c>
      <c r="E159">
        <v>1</v>
      </c>
      <c r="F159">
        <v>5</v>
      </c>
      <c r="G159">
        <f t="shared" si="15"/>
        <v>5</v>
      </c>
      <c r="H159" t="s">
        <v>38</v>
      </c>
      <c r="J159" t="s">
        <v>18</v>
      </c>
      <c r="K159" t="str">
        <f t="shared" si="16"/>
        <v>FEBRERO</v>
      </c>
      <c r="L159">
        <f t="shared" si="17"/>
        <v>2026</v>
      </c>
    </row>
    <row r="160" spans="1:15" x14ac:dyDescent="0.25">
      <c r="A160" s="72">
        <v>46083</v>
      </c>
      <c r="B160" s="3" t="s">
        <v>334</v>
      </c>
      <c r="C160" t="s">
        <v>263</v>
      </c>
      <c r="D160" t="s">
        <v>17</v>
      </c>
      <c r="E160">
        <v>1</v>
      </c>
      <c r="F160">
        <v>30</v>
      </c>
      <c r="G160">
        <f t="shared" si="15"/>
        <v>30</v>
      </c>
      <c r="H160" t="s">
        <v>37</v>
      </c>
      <c r="J160" t="s">
        <v>18</v>
      </c>
      <c r="K160" t="str">
        <f t="shared" si="16"/>
        <v>MARZO</v>
      </c>
      <c r="L160">
        <f t="shared" si="17"/>
        <v>2026</v>
      </c>
    </row>
    <row r="161" spans="1:12" x14ac:dyDescent="0.25">
      <c r="A161" s="72">
        <v>46083</v>
      </c>
      <c r="B161" s="3" t="s">
        <v>586</v>
      </c>
      <c r="D161" t="s">
        <v>17</v>
      </c>
      <c r="E161">
        <v>1</v>
      </c>
      <c r="F161">
        <v>57.5</v>
      </c>
      <c r="G161">
        <f t="shared" si="15"/>
        <v>57.5</v>
      </c>
      <c r="H161" t="s">
        <v>37</v>
      </c>
      <c r="I161" t="s">
        <v>587</v>
      </c>
      <c r="J161" t="s">
        <v>83</v>
      </c>
      <c r="K161" t="str">
        <f t="shared" si="16"/>
        <v>MARZO</v>
      </c>
      <c r="L161">
        <f t="shared" si="17"/>
        <v>2026</v>
      </c>
    </row>
    <row r="162" spans="1:12" x14ac:dyDescent="0.25">
      <c r="A162" s="72">
        <v>46083</v>
      </c>
      <c r="B162" s="3" t="s">
        <v>588</v>
      </c>
      <c r="C162" t="s">
        <v>207</v>
      </c>
      <c r="D162" t="s">
        <v>17</v>
      </c>
      <c r="E162">
        <v>1</v>
      </c>
      <c r="F162">
        <v>135</v>
      </c>
      <c r="G162">
        <f t="shared" si="15"/>
        <v>135</v>
      </c>
      <c r="H162" t="s">
        <v>38</v>
      </c>
      <c r="J162" t="s">
        <v>83</v>
      </c>
      <c r="K162" t="str">
        <f t="shared" si="16"/>
        <v>MARZO</v>
      </c>
      <c r="L162">
        <f t="shared" si="17"/>
        <v>2026</v>
      </c>
    </row>
    <row r="163" spans="1:12" x14ac:dyDescent="0.25">
      <c r="A163" s="72">
        <v>46084</v>
      </c>
      <c r="B163" s="3" t="s">
        <v>158</v>
      </c>
      <c r="C163" t="s">
        <v>158</v>
      </c>
      <c r="D163" t="s">
        <v>70</v>
      </c>
      <c r="E163">
        <v>1</v>
      </c>
      <c r="F163">
        <v>12</v>
      </c>
      <c r="G163">
        <f t="shared" si="15"/>
        <v>12</v>
      </c>
      <c r="H163" t="s">
        <v>38</v>
      </c>
      <c r="J163" t="s">
        <v>18</v>
      </c>
      <c r="K163" t="str">
        <f t="shared" si="16"/>
        <v>MARZO</v>
      </c>
      <c r="L163">
        <f t="shared" si="17"/>
        <v>2026</v>
      </c>
    </row>
    <row r="164" spans="1:12" x14ac:dyDescent="0.25">
      <c r="A164" s="72">
        <v>46084</v>
      </c>
      <c r="B164" s="3" t="s">
        <v>537</v>
      </c>
      <c r="C164" t="s">
        <v>402</v>
      </c>
      <c r="D164" t="s">
        <v>17</v>
      </c>
      <c r="E164">
        <v>1</v>
      </c>
      <c r="F164">
        <v>350</v>
      </c>
      <c r="G164">
        <f t="shared" si="15"/>
        <v>350</v>
      </c>
      <c r="H164" t="s">
        <v>38</v>
      </c>
      <c r="J164" t="s">
        <v>18</v>
      </c>
      <c r="K164" t="str">
        <f t="shared" si="16"/>
        <v>MARZO</v>
      </c>
      <c r="L164">
        <f t="shared" si="17"/>
        <v>2026</v>
      </c>
    </row>
    <row r="165" spans="1:12" x14ac:dyDescent="0.25">
      <c r="A165" s="72">
        <v>46084</v>
      </c>
      <c r="B165" s="3" t="s">
        <v>538</v>
      </c>
      <c r="C165" t="s">
        <v>539</v>
      </c>
      <c r="D165" t="s">
        <v>17</v>
      </c>
      <c r="E165">
        <v>1</v>
      </c>
      <c r="F165">
        <v>60</v>
      </c>
      <c r="G165">
        <f t="shared" si="15"/>
        <v>60</v>
      </c>
      <c r="H165" t="s">
        <v>37</v>
      </c>
      <c r="J165" t="s">
        <v>18</v>
      </c>
      <c r="K165" t="str">
        <f t="shared" si="16"/>
        <v>MARZO</v>
      </c>
      <c r="L165">
        <f t="shared" si="17"/>
        <v>2026</v>
      </c>
    </row>
    <row r="166" spans="1:12" x14ac:dyDescent="0.25">
      <c r="A166" s="72">
        <v>46085</v>
      </c>
      <c r="B166" s="3" t="s">
        <v>540</v>
      </c>
      <c r="C166" t="s">
        <v>541</v>
      </c>
      <c r="D166" t="s">
        <v>21</v>
      </c>
      <c r="E166">
        <v>2</v>
      </c>
      <c r="F166">
        <v>10</v>
      </c>
      <c r="G166">
        <f t="shared" si="15"/>
        <v>20</v>
      </c>
      <c r="H166" t="s">
        <v>38</v>
      </c>
      <c r="J166" t="s">
        <v>18</v>
      </c>
      <c r="K166" t="str">
        <f t="shared" si="16"/>
        <v>MARZO</v>
      </c>
      <c r="L166">
        <f t="shared" si="17"/>
        <v>2026</v>
      </c>
    </row>
    <row r="167" spans="1:12" x14ac:dyDescent="0.25">
      <c r="A167" s="72">
        <v>46085</v>
      </c>
      <c r="B167" s="3" t="s">
        <v>542</v>
      </c>
      <c r="C167" t="s">
        <v>543</v>
      </c>
      <c r="D167" t="s">
        <v>17</v>
      </c>
      <c r="E167">
        <v>1</v>
      </c>
      <c r="F167">
        <v>5</v>
      </c>
      <c r="G167">
        <f t="shared" si="15"/>
        <v>5</v>
      </c>
      <c r="H167" t="s">
        <v>37</v>
      </c>
      <c r="J167" t="s">
        <v>18</v>
      </c>
      <c r="K167" t="str">
        <f t="shared" si="16"/>
        <v>MARZO</v>
      </c>
      <c r="L167">
        <f t="shared" si="17"/>
        <v>2026</v>
      </c>
    </row>
    <row r="168" spans="1:12" x14ac:dyDescent="0.25">
      <c r="A168" s="72">
        <v>46085</v>
      </c>
      <c r="B168" s="3" t="s">
        <v>412</v>
      </c>
      <c r="C168" t="s">
        <v>544</v>
      </c>
      <c r="D168" t="s">
        <v>23</v>
      </c>
      <c r="E168">
        <v>1</v>
      </c>
      <c r="F168">
        <v>100</v>
      </c>
      <c r="G168">
        <f t="shared" si="15"/>
        <v>100</v>
      </c>
      <c r="H168" t="s">
        <v>38</v>
      </c>
      <c r="I168" t="s">
        <v>545</v>
      </c>
      <c r="J168" t="s">
        <v>18</v>
      </c>
      <c r="K168" t="str">
        <f t="shared" si="16"/>
        <v>MARZO</v>
      </c>
      <c r="L168">
        <f t="shared" si="17"/>
        <v>2026</v>
      </c>
    </row>
    <row r="169" spans="1:12" x14ac:dyDescent="0.25">
      <c r="A169" s="72">
        <v>46085</v>
      </c>
      <c r="B169" s="3" t="s">
        <v>546</v>
      </c>
      <c r="C169" t="s">
        <v>547</v>
      </c>
      <c r="D169" t="s">
        <v>17</v>
      </c>
      <c r="E169">
        <v>1</v>
      </c>
      <c r="F169">
        <v>215</v>
      </c>
      <c r="G169">
        <f t="shared" si="15"/>
        <v>215</v>
      </c>
      <c r="H169" t="s">
        <v>38</v>
      </c>
      <c r="J169" t="s">
        <v>18</v>
      </c>
      <c r="K169" t="str">
        <f t="shared" si="16"/>
        <v>MARZO</v>
      </c>
      <c r="L169">
        <f t="shared" si="17"/>
        <v>2026</v>
      </c>
    </row>
    <row r="170" spans="1:12" x14ac:dyDescent="0.25">
      <c r="A170" s="72">
        <v>46086</v>
      </c>
      <c r="B170" s="3" t="s">
        <v>537</v>
      </c>
      <c r="C170" t="s">
        <v>402</v>
      </c>
      <c r="D170" t="s">
        <v>17</v>
      </c>
      <c r="E170">
        <v>1</v>
      </c>
      <c r="F170">
        <v>350</v>
      </c>
      <c r="G170">
        <f t="shared" si="15"/>
        <v>350</v>
      </c>
      <c r="H170" t="s">
        <v>38</v>
      </c>
      <c r="J170" t="s">
        <v>18</v>
      </c>
      <c r="K170" t="str">
        <f t="shared" si="16"/>
        <v>MARZO</v>
      </c>
      <c r="L170">
        <f t="shared" si="17"/>
        <v>2026</v>
      </c>
    </row>
    <row r="171" spans="1:12" x14ac:dyDescent="0.25">
      <c r="A171" s="72">
        <v>46086</v>
      </c>
      <c r="B171" s="3" t="s">
        <v>562</v>
      </c>
      <c r="C171" t="s">
        <v>247</v>
      </c>
      <c r="D171" t="s">
        <v>21</v>
      </c>
      <c r="E171">
        <v>1</v>
      </c>
      <c r="F171">
        <v>5</v>
      </c>
      <c r="G171">
        <f t="shared" si="15"/>
        <v>5</v>
      </c>
      <c r="H171" t="s">
        <v>38</v>
      </c>
      <c r="J171" t="s">
        <v>18</v>
      </c>
      <c r="K171" t="str">
        <f t="shared" si="16"/>
        <v>MARZO</v>
      </c>
      <c r="L171">
        <f t="shared" si="17"/>
        <v>2026</v>
      </c>
    </row>
    <row r="172" spans="1:12" x14ac:dyDescent="0.25">
      <c r="A172" s="72">
        <v>46086</v>
      </c>
      <c r="B172" s="3" t="s">
        <v>66</v>
      </c>
      <c r="D172" t="s">
        <v>17</v>
      </c>
      <c r="E172">
        <v>1</v>
      </c>
      <c r="F172">
        <v>100</v>
      </c>
      <c r="G172">
        <f t="shared" si="15"/>
        <v>100</v>
      </c>
      <c r="H172" t="s">
        <v>459</v>
      </c>
      <c r="I172" t="s">
        <v>437</v>
      </c>
      <c r="J172" t="s">
        <v>27</v>
      </c>
      <c r="K172" t="str">
        <f t="shared" si="16"/>
        <v>MARZO</v>
      </c>
      <c r="L172">
        <f t="shared" si="17"/>
        <v>2026</v>
      </c>
    </row>
    <row r="173" spans="1:12" x14ac:dyDescent="0.25">
      <c r="A173" s="72">
        <v>46086</v>
      </c>
      <c r="B173" s="3" t="s">
        <v>540</v>
      </c>
      <c r="C173" t="s">
        <v>541</v>
      </c>
      <c r="D173" t="s">
        <v>17</v>
      </c>
      <c r="E173">
        <v>1</v>
      </c>
      <c r="F173">
        <v>115</v>
      </c>
      <c r="G173">
        <f t="shared" si="15"/>
        <v>115</v>
      </c>
      <c r="H173" t="s">
        <v>38</v>
      </c>
      <c r="J173" t="s">
        <v>27</v>
      </c>
      <c r="K173" t="str">
        <f t="shared" si="16"/>
        <v>MARZO</v>
      </c>
      <c r="L173">
        <f t="shared" si="17"/>
        <v>2026</v>
      </c>
    </row>
    <row r="174" spans="1:12" x14ac:dyDescent="0.25">
      <c r="A174" s="72">
        <v>46090</v>
      </c>
      <c r="B174" s="3" t="s">
        <v>589</v>
      </c>
      <c r="C174" t="s">
        <v>590</v>
      </c>
      <c r="D174" t="s">
        <v>17</v>
      </c>
      <c r="E174">
        <v>1</v>
      </c>
      <c r="F174">
        <v>20</v>
      </c>
      <c r="G174">
        <f t="shared" si="15"/>
        <v>20</v>
      </c>
      <c r="H174" t="s">
        <v>37</v>
      </c>
      <c r="J174" t="s">
        <v>83</v>
      </c>
      <c r="K174" t="str">
        <f t="shared" si="16"/>
        <v>MARZO</v>
      </c>
      <c r="L174">
        <f t="shared" si="17"/>
        <v>2026</v>
      </c>
    </row>
    <row r="175" spans="1:12" x14ac:dyDescent="0.25">
      <c r="A175" s="72">
        <v>46091</v>
      </c>
      <c r="B175" s="3" t="s">
        <v>466</v>
      </c>
      <c r="C175" t="s">
        <v>116</v>
      </c>
      <c r="D175" t="s">
        <v>17</v>
      </c>
      <c r="E175">
        <v>1</v>
      </c>
      <c r="F175">
        <v>100</v>
      </c>
      <c r="G175">
        <f t="shared" si="15"/>
        <v>100</v>
      </c>
      <c r="H175" t="s">
        <v>38</v>
      </c>
      <c r="J175" t="s">
        <v>18</v>
      </c>
      <c r="K175" t="str">
        <f t="shared" si="16"/>
        <v>MARZO</v>
      </c>
      <c r="L175">
        <f t="shared" si="17"/>
        <v>2026</v>
      </c>
    </row>
    <row r="176" spans="1:12" x14ac:dyDescent="0.25">
      <c r="A176" s="72">
        <v>46091</v>
      </c>
      <c r="B176" s="3" t="s">
        <v>296</v>
      </c>
      <c r="C176" t="s">
        <v>563</v>
      </c>
      <c r="D176" t="s">
        <v>17</v>
      </c>
      <c r="E176">
        <v>1</v>
      </c>
      <c r="F176">
        <v>140</v>
      </c>
      <c r="G176">
        <f t="shared" si="15"/>
        <v>140</v>
      </c>
      <c r="H176" t="s">
        <v>37</v>
      </c>
      <c r="J176" t="s">
        <v>18</v>
      </c>
      <c r="K176" t="str">
        <f t="shared" si="16"/>
        <v>MARZO</v>
      </c>
      <c r="L176">
        <f t="shared" si="17"/>
        <v>2026</v>
      </c>
    </row>
    <row r="177" spans="1:15" x14ac:dyDescent="0.25">
      <c r="A177" s="72">
        <v>46091</v>
      </c>
      <c r="B177" s="3" t="s">
        <v>538</v>
      </c>
      <c r="C177" t="s">
        <v>564</v>
      </c>
      <c r="D177" t="s">
        <v>17</v>
      </c>
      <c r="E177">
        <v>1</v>
      </c>
      <c r="F177">
        <v>125</v>
      </c>
      <c r="G177">
        <f t="shared" si="15"/>
        <v>125</v>
      </c>
      <c r="H177" t="s">
        <v>37</v>
      </c>
      <c r="J177" t="s">
        <v>18</v>
      </c>
      <c r="K177" t="str">
        <f t="shared" si="16"/>
        <v>MARZO</v>
      </c>
      <c r="L177">
        <f t="shared" si="17"/>
        <v>2026</v>
      </c>
    </row>
    <row r="178" spans="1:15" x14ac:dyDescent="0.25">
      <c r="A178" s="72">
        <v>46091</v>
      </c>
      <c r="B178" s="3" t="s">
        <v>66</v>
      </c>
      <c r="D178" t="s">
        <v>17</v>
      </c>
      <c r="E178">
        <v>1</v>
      </c>
      <c r="F178">
        <v>420</v>
      </c>
      <c r="G178">
        <f t="shared" si="15"/>
        <v>420</v>
      </c>
      <c r="H178" t="s">
        <v>459</v>
      </c>
      <c r="I178" t="s">
        <v>437</v>
      </c>
      <c r="J178" t="s">
        <v>27</v>
      </c>
      <c r="K178" t="str">
        <f t="shared" si="16"/>
        <v>MARZO</v>
      </c>
      <c r="L178">
        <f t="shared" si="17"/>
        <v>2026</v>
      </c>
    </row>
    <row r="179" spans="1:15" x14ac:dyDescent="0.25">
      <c r="A179" s="72">
        <v>46091</v>
      </c>
      <c r="B179" s="3" t="s">
        <v>589</v>
      </c>
      <c r="C179" t="s">
        <v>590</v>
      </c>
      <c r="D179" t="s">
        <v>17</v>
      </c>
      <c r="E179">
        <v>1</v>
      </c>
      <c r="F179">
        <v>15</v>
      </c>
      <c r="G179">
        <f t="shared" ref="G179:G210" si="18">E179*F179</f>
        <v>15</v>
      </c>
      <c r="H179" t="s">
        <v>38</v>
      </c>
      <c r="J179" t="s">
        <v>644</v>
      </c>
      <c r="K179" t="str">
        <f t="shared" si="16"/>
        <v>MARZO</v>
      </c>
      <c r="L179">
        <f t="shared" si="17"/>
        <v>2026</v>
      </c>
    </row>
    <row r="180" spans="1:15" x14ac:dyDescent="0.25">
      <c r="A180" s="77">
        <v>46091</v>
      </c>
      <c r="B180" s="3" t="s">
        <v>645</v>
      </c>
      <c r="C180" t="s">
        <v>646</v>
      </c>
      <c r="D180" t="s">
        <v>17</v>
      </c>
      <c r="E180">
        <v>1</v>
      </c>
      <c r="F180">
        <v>15</v>
      </c>
      <c r="G180" s="78">
        <f t="shared" si="18"/>
        <v>15</v>
      </c>
      <c r="H180" t="s">
        <v>606</v>
      </c>
      <c r="J180" t="s">
        <v>83</v>
      </c>
      <c r="K180" s="78" t="str">
        <f t="shared" si="16"/>
        <v>MARZO</v>
      </c>
      <c r="L180" s="78">
        <f t="shared" si="17"/>
        <v>2026</v>
      </c>
      <c r="O180" s="79"/>
    </row>
    <row r="181" spans="1:15" x14ac:dyDescent="0.25">
      <c r="A181" s="72">
        <v>46092</v>
      </c>
      <c r="B181" s="3" t="s">
        <v>565</v>
      </c>
      <c r="D181" t="s">
        <v>17</v>
      </c>
      <c r="E181">
        <v>1</v>
      </c>
      <c r="F181">
        <v>65</v>
      </c>
      <c r="G181">
        <f t="shared" si="18"/>
        <v>65</v>
      </c>
      <c r="H181" t="s">
        <v>38</v>
      </c>
      <c r="I181" t="s">
        <v>111</v>
      </c>
      <c r="J181" t="s">
        <v>18</v>
      </c>
      <c r="K181" t="str">
        <f t="shared" si="16"/>
        <v>MARZO</v>
      </c>
      <c r="L181">
        <f t="shared" si="17"/>
        <v>2026</v>
      </c>
    </row>
    <row r="182" spans="1:15" x14ac:dyDescent="0.25">
      <c r="A182" s="72">
        <v>46092</v>
      </c>
      <c r="B182" s="3" t="s">
        <v>296</v>
      </c>
      <c r="C182" t="s">
        <v>402</v>
      </c>
      <c r="D182" t="s">
        <v>17</v>
      </c>
      <c r="E182">
        <v>1</v>
      </c>
      <c r="F182">
        <v>100</v>
      </c>
      <c r="G182">
        <f t="shared" si="18"/>
        <v>100</v>
      </c>
      <c r="H182" t="s">
        <v>38</v>
      </c>
      <c r="J182" t="s">
        <v>18</v>
      </c>
      <c r="K182" t="str">
        <f t="shared" si="16"/>
        <v>MARZO</v>
      </c>
      <c r="L182">
        <f t="shared" si="17"/>
        <v>2026</v>
      </c>
    </row>
    <row r="183" spans="1:15" x14ac:dyDescent="0.25">
      <c r="A183" s="77">
        <v>46092</v>
      </c>
      <c r="B183" s="3" t="s">
        <v>85</v>
      </c>
      <c r="C183" t="s">
        <v>650</v>
      </c>
      <c r="D183" t="s">
        <v>21</v>
      </c>
      <c r="E183">
        <v>1</v>
      </c>
      <c r="F183">
        <v>5</v>
      </c>
      <c r="G183" s="78">
        <f t="shared" si="18"/>
        <v>5</v>
      </c>
      <c r="H183" t="s">
        <v>606</v>
      </c>
      <c r="J183" t="s">
        <v>456</v>
      </c>
      <c r="K183" s="78" t="str">
        <f t="shared" si="16"/>
        <v>MARZO</v>
      </c>
      <c r="L183" s="78">
        <f t="shared" si="17"/>
        <v>2026</v>
      </c>
      <c r="O183" s="79"/>
    </row>
    <row r="184" spans="1:15" x14ac:dyDescent="0.25">
      <c r="A184" s="72">
        <v>46093</v>
      </c>
      <c r="B184" s="3" t="s">
        <v>566</v>
      </c>
      <c r="C184" t="s">
        <v>567</v>
      </c>
      <c r="D184" t="s">
        <v>21</v>
      </c>
      <c r="E184">
        <v>1</v>
      </c>
      <c r="F184">
        <v>5</v>
      </c>
      <c r="G184">
        <f t="shared" si="18"/>
        <v>5</v>
      </c>
      <c r="H184" t="s">
        <v>38</v>
      </c>
      <c r="J184" t="s">
        <v>18</v>
      </c>
      <c r="K184" t="str">
        <f t="shared" si="16"/>
        <v>MARZO</v>
      </c>
      <c r="L184">
        <f t="shared" si="17"/>
        <v>2026</v>
      </c>
    </row>
    <row r="185" spans="1:15" x14ac:dyDescent="0.25">
      <c r="A185" s="72">
        <v>46097</v>
      </c>
      <c r="B185" s="3" t="s">
        <v>70</v>
      </c>
      <c r="D185" t="s">
        <v>70</v>
      </c>
      <c r="E185">
        <v>1</v>
      </c>
      <c r="F185">
        <v>6.5</v>
      </c>
      <c r="G185">
        <f t="shared" si="18"/>
        <v>6.5</v>
      </c>
      <c r="H185" t="s">
        <v>38</v>
      </c>
      <c r="I185" t="s">
        <v>328</v>
      </c>
      <c r="J185" t="s">
        <v>18</v>
      </c>
      <c r="K185" t="str">
        <f t="shared" si="16"/>
        <v>MARZO</v>
      </c>
      <c r="L185">
        <f t="shared" si="17"/>
        <v>2026</v>
      </c>
    </row>
    <row r="186" spans="1:15" x14ac:dyDescent="0.25">
      <c r="A186" s="77">
        <v>46097</v>
      </c>
      <c r="B186" s="3" t="s">
        <v>434</v>
      </c>
      <c r="C186" t="s">
        <v>435</v>
      </c>
      <c r="D186" t="s">
        <v>70</v>
      </c>
      <c r="E186">
        <v>1</v>
      </c>
      <c r="F186">
        <v>13.76</v>
      </c>
      <c r="G186" s="78">
        <f t="shared" si="18"/>
        <v>13.76</v>
      </c>
      <c r="H186" t="s">
        <v>606</v>
      </c>
      <c r="I186" t="s">
        <v>436</v>
      </c>
      <c r="J186" t="s">
        <v>27</v>
      </c>
      <c r="K186" s="78" t="str">
        <f t="shared" si="16"/>
        <v>MARZO</v>
      </c>
      <c r="L186" s="78">
        <f t="shared" si="17"/>
        <v>2026</v>
      </c>
      <c r="O186" s="79"/>
    </row>
    <row r="187" spans="1:15" x14ac:dyDescent="0.25">
      <c r="A187" s="77">
        <v>46097</v>
      </c>
      <c r="B187" s="3" t="s">
        <v>595</v>
      </c>
      <c r="C187" t="s">
        <v>596</v>
      </c>
      <c r="D187" t="s">
        <v>21</v>
      </c>
      <c r="E187">
        <v>1</v>
      </c>
      <c r="F187">
        <v>5</v>
      </c>
      <c r="G187" s="78">
        <f t="shared" si="18"/>
        <v>5</v>
      </c>
      <c r="H187" t="s">
        <v>606</v>
      </c>
      <c r="J187" t="s">
        <v>456</v>
      </c>
      <c r="K187" s="78" t="str">
        <f t="shared" si="16"/>
        <v>MARZO</v>
      </c>
      <c r="L187" s="78">
        <f t="shared" si="17"/>
        <v>2026</v>
      </c>
      <c r="O187" s="79"/>
    </row>
    <row r="188" spans="1:15" x14ac:dyDescent="0.25">
      <c r="A188" s="77">
        <v>46098</v>
      </c>
      <c r="B188" s="3" t="s">
        <v>595</v>
      </c>
      <c r="C188" t="s">
        <v>596</v>
      </c>
      <c r="D188" t="s">
        <v>21</v>
      </c>
      <c r="E188">
        <v>1</v>
      </c>
      <c r="F188">
        <v>5</v>
      </c>
      <c r="G188" s="78">
        <f t="shared" si="18"/>
        <v>5</v>
      </c>
      <c r="H188" t="s">
        <v>38</v>
      </c>
      <c r="I188" t="s">
        <v>211</v>
      </c>
      <c r="J188" t="s">
        <v>18</v>
      </c>
      <c r="K188" s="78" t="str">
        <f t="shared" si="16"/>
        <v>MARZO</v>
      </c>
      <c r="L188" s="78">
        <f t="shared" si="17"/>
        <v>2026</v>
      </c>
      <c r="O188" s="79"/>
    </row>
    <row r="189" spans="1:15" x14ac:dyDescent="0.25">
      <c r="A189" s="77">
        <v>46098</v>
      </c>
      <c r="B189" s="3" t="s">
        <v>597</v>
      </c>
      <c r="C189" t="s">
        <v>598</v>
      </c>
      <c r="D189" t="s">
        <v>21</v>
      </c>
      <c r="E189">
        <v>1</v>
      </c>
      <c r="F189">
        <v>5</v>
      </c>
      <c r="G189" s="78">
        <f t="shared" si="18"/>
        <v>5</v>
      </c>
      <c r="H189" t="s">
        <v>38</v>
      </c>
      <c r="I189" t="s">
        <v>211</v>
      </c>
      <c r="J189" t="s">
        <v>18</v>
      </c>
      <c r="K189" s="78" t="str">
        <f t="shared" si="16"/>
        <v>MARZO</v>
      </c>
      <c r="L189" s="78">
        <f t="shared" si="17"/>
        <v>2026</v>
      </c>
      <c r="O189" s="79"/>
    </row>
    <row r="190" spans="1:15" x14ac:dyDescent="0.25">
      <c r="A190" s="77">
        <v>46098</v>
      </c>
      <c r="B190" s="3" t="s">
        <v>70</v>
      </c>
      <c r="D190" t="s">
        <v>70</v>
      </c>
      <c r="E190">
        <v>1</v>
      </c>
      <c r="F190">
        <v>3</v>
      </c>
      <c r="G190" s="78">
        <f t="shared" si="18"/>
        <v>3</v>
      </c>
      <c r="H190" t="s">
        <v>38</v>
      </c>
      <c r="I190" t="s">
        <v>475</v>
      </c>
      <c r="J190" t="s">
        <v>18</v>
      </c>
      <c r="K190" s="78" t="str">
        <f t="shared" si="16"/>
        <v>MARZO</v>
      </c>
      <c r="L190" s="78">
        <f t="shared" si="17"/>
        <v>2026</v>
      </c>
      <c r="O190" s="79"/>
    </row>
    <row r="191" spans="1:15" x14ac:dyDescent="0.25">
      <c r="A191" s="77">
        <v>46099</v>
      </c>
      <c r="B191" s="3" t="s">
        <v>600</v>
      </c>
      <c r="C191" t="s">
        <v>601</v>
      </c>
      <c r="D191" t="s">
        <v>17</v>
      </c>
      <c r="E191">
        <v>1</v>
      </c>
      <c r="F191">
        <v>40</v>
      </c>
      <c r="G191" s="78">
        <f t="shared" si="18"/>
        <v>40</v>
      </c>
      <c r="H191" t="s">
        <v>37</v>
      </c>
      <c r="J191" t="s">
        <v>18</v>
      </c>
      <c r="K191" s="78" t="str">
        <f t="shared" si="16"/>
        <v>MARZO</v>
      </c>
      <c r="L191" s="78">
        <f t="shared" si="17"/>
        <v>2026</v>
      </c>
      <c r="O191" s="79"/>
    </row>
    <row r="192" spans="1:15" x14ac:dyDescent="0.25">
      <c r="A192" s="77">
        <v>46099</v>
      </c>
      <c r="B192" s="3" t="s">
        <v>471</v>
      </c>
      <c r="D192" t="s">
        <v>70</v>
      </c>
      <c r="E192">
        <v>1</v>
      </c>
      <c r="F192">
        <v>5</v>
      </c>
      <c r="G192" s="78">
        <f t="shared" si="18"/>
        <v>5</v>
      </c>
      <c r="H192" t="s">
        <v>602</v>
      </c>
      <c r="J192" t="s">
        <v>18</v>
      </c>
      <c r="K192" s="78" t="str">
        <f t="shared" si="16"/>
        <v>MARZO</v>
      </c>
      <c r="L192" s="78">
        <f t="shared" si="17"/>
        <v>2026</v>
      </c>
      <c r="O192" s="79"/>
    </row>
    <row r="193" spans="1:15" x14ac:dyDescent="0.25">
      <c r="A193" s="77">
        <v>46099</v>
      </c>
      <c r="B193" s="3" t="s">
        <v>437</v>
      </c>
      <c r="C193" t="s">
        <v>480</v>
      </c>
      <c r="D193" t="s">
        <v>70</v>
      </c>
      <c r="E193">
        <v>1</v>
      </c>
      <c r="F193">
        <v>240</v>
      </c>
      <c r="G193" s="78">
        <f t="shared" si="18"/>
        <v>240</v>
      </c>
      <c r="H193" t="s">
        <v>606</v>
      </c>
      <c r="I193" t="s">
        <v>437</v>
      </c>
      <c r="J193" t="s">
        <v>27</v>
      </c>
      <c r="K193" s="78" t="str">
        <f t="shared" si="16"/>
        <v>MARZO</v>
      </c>
      <c r="L193" s="78">
        <f t="shared" si="17"/>
        <v>2026</v>
      </c>
      <c r="O193" s="79"/>
    </row>
    <row r="194" spans="1:15" x14ac:dyDescent="0.25">
      <c r="A194" s="77">
        <v>46099</v>
      </c>
      <c r="B194" s="3" t="s">
        <v>437</v>
      </c>
      <c r="C194" t="s">
        <v>480</v>
      </c>
      <c r="D194" t="s">
        <v>70</v>
      </c>
      <c r="E194">
        <v>1</v>
      </c>
      <c r="F194">
        <v>130</v>
      </c>
      <c r="G194" s="78">
        <f t="shared" si="18"/>
        <v>130</v>
      </c>
      <c r="H194" t="s">
        <v>606</v>
      </c>
      <c r="I194" t="s">
        <v>437</v>
      </c>
      <c r="J194" t="s">
        <v>27</v>
      </c>
      <c r="K194" s="78" t="str">
        <f t="shared" si="16"/>
        <v>MARZO</v>
      </c>
      <c r="L194" s="78">
        <f t="shared" si="17"/>
        <v>2026</v>
      </c>
      <c r="O194" s="79"/>
    </row>
    <row r="195" spans="1:15" x14ac:dyDescent="0.25">
      <c r="A195" s="77">
        <v>46099</v>
      </c>
      <c r="B195" s="3" t="s">
        <v>437</v>
      </c>
      <c r="C195" t="s">
        <v>480</v>
      </c>
      <c r="D195" t="s">
        <v>70</v>
      </c>
      <c r="E195">
        <v>1</v>
      </c>
      <c r="F195">
        <v>800</v>
      </c>
      <c r="G195" s="78">
        <f t="shared" si="18"/>
        <v>800</v>
      </c>
      <c r="H195" t="s">
        <v>606</v>
      </c>
      <c r="I195" t="s">
        <v>437</v>
      </c>
      <c r="J195" t="s">
        <v>27</v>
      </c>
      <c r="K195" s="78" t="str">
        <f t="shared" si="16"/>
        <v>MARZO</v>
      </c>
      <c r="L195" s="78">
        <f t="shared" si="17"/>
        <v>2026</v>
      </c>
      <c r="O195" s="79"/>
    </row>
    <row r="196" spans="1:15" x14ac:dyDescent="0.25">
      <c r="A196" s="77">
        <v>46099</v>
      </c>
      <c r="B196" s="3" t="s">
        <v>25</v>
      </c>
      <c r="C196" t="s">
        <v>25</v>
      </c>
      <c r="D196" t="s">
        <v>70</v>
      </c>
      <c r="E196">
        <v>1</v>
      </c>
      <c r="F196">
        <v>800</v>
      </c>
      <c r="G196" s="78">
        <f t="shared" si="18"/>
        <v>800</v>
      </c>
      <c r="H196" t="s">
        <v>606</v>
      </c>
      <c r="I196" t="s">
        <v>25</v>
      </c>
      <c r="J196" t="s">
        <v>30</v>
      </c>
      <c r="K196" s="78" t="str">
        <f t="shared" si="16"/>
        <v>MARZO</v>
      </c>
      <c r="L196" s="78">
        <f t="shared" si="17"/>
        <v>2026</v>
      </c>
      <c r="O196" s="79"/>
    </row>
    <row r="197" spans="1:15" x14ac:dyDescent="0.25">
      <c r="A197" s="77">
        <v>46100</v>
      </c>
      <c r="B197" s="3" t="s">
        <v>603</v>
      </c>
      <c r="C197" t="s">
        <v>401</v>
      </c>
      <c r="D197" t="s">
        <v>17</v>
      </c>
      <c r="E197">
        <v>1</v>
      </c>
      <c r="F197">
        <v>35</v>
      </c>
      <c r="G197" s="78">
        <f t="shared" si="18"/>
        <v>35</v>
      </c>
      <c r="H197" t="s">
        <v>604</v>
      </c>
      <c r="J197" t="s">
        <v>18</v>
      </c>
      <c r="K197" s="78" t="str">
        <f t="shared" si="16"/>
        <v>MARZO</v>
      </c>
      <c r="L197" s="78">
        <f t="shared" si="17"/>
        <v>2026</v>
      </c>
      <c r="O197" s="79"/>
    </row>
    <row r="198" spans="1:15" x14ac:dyDescent="0.25">
      <c r="A198" s="77">
        <v>46101</v>
      </c>
      <c r="B198" s="3" t="s">
        <v>605</v>
      </c>
      <c r="C198" t="s">
        <v>125</v>
      </c>
      <c r="D198" t="s">
        <v>17</v>
      </c>
      <c r="E198">
        <v>1</v>
      </c>
      <c r="F198">
        <v>55</v>
      </c>
      <c r="G198" s="78">
        <f t="shared" si="18"/>
        <v>55</v>
      </c>
      <c r="H198" t="s">
        <v>606</v>
      </c>
      <c r="J198" t="s">
        <v>18</v>
      </c>
      <c r="K198" s="78" t="str">
        <f t="shared" si="16"/>
        <v>MARZO</v>
      </c>
      <c r="L198" s="78">
        <f t="shared" si="17"/>
        <v>2026</v>
      </c>
      <c r="O198" s="79"/>
    </row>
    <row r="199" spans="1:15" x14ac:dyDescent="0.25">
      <c r="A199" s="77">
        <v>46101</v>
      </c>
      <c r="B199" s="3" t="s">
        <v>607</v>
      </c>
      <c r="C199" t="s">
        <v>269</v>
      </c>
      <c r="D199" t="s">
        <v>17</v>
      </c>
      <c r="E199">
        <v>1</v>
      </c>
      <c r="F199">
        <v>50</v>
      </c>
      <c r="G199" s="78">
        <f t="shared" si="18"/>
        <v>50</v>
      </c>
      <c r="H199" t="s">
        <v>37</v>
      </c>
      <c r="J199" t="s">
        <v>18</v>
      </c>
      <c r="K199" s="78" t="str">
        <f t="shared" si="16"/>
        <v>MARZO</v>
      </c>
      <c r="L199" s="78">
        <f t="shared" si="17"/>
        <v>2026</v>
      </c>
      <c r="O199" s="79"/>
    </row>
    <row r="200" spans="1:15" x14ac:dyDescent="0.25">
      <c r="A200" s="77">
        <v>46101</v>
      </c>
      <c r="B200" s="3" t="s">
        <v>608</v>
      </c>
      <c r="C200" t="s">
        <v>609</v>
      </c>
      <c r="D200" t="s">
        <v>17</v>
      </c>
      <c r="E200">
        <v>1</v>
      </c>
      <c r="F200">
        <v>100</v>
      </c>
      <c r="G200" s="78">
        <f t="shared" si="18"/>
        <v>100</v>
      </c>
      <c r="H200" t="s">
        <v>37</v>
      </c>
      <c r="J200" t="s">
        <v>18</v>
      </c>
      <c r="K200" s="78" t="str">
        <f t="shared" si="16"/>
        <v>MARZO</v>
      </c>
      <c r="L200" s="78">
        <f t="shared" si="17"/>
        <v>2026</v>
      </c>
      <c r="O200" s="79"/>
    </row>
    <row r="201" spans="1:15" x14ac:dyDescent="0.25">
      <c r="A201" s="77">
        <v>46101</v>
      </c>
      <c r="B201" s="3" t="s">
        <v>457</v>
      </c>
      <c r="C201" t="s">
        <v>223</v>
      </c>
      <c r="D201" t="s">
        <v>17</v>
      </c>
      <c r="E201">
        <v>1</v>
      </c>
      <c r="F201">
        <v>100</v>
      </c>
      <c r="G201" s="78">
        <f t="shared" si="18"/>
        <v>100</v>
      </c>
      <c r="H201" t="s">
        <v>37</v>
      </c>
      <c r="J201" t="s">
        <v>18</v>
      </c>
      <c r="K201" s="78" t="str">
        <f t="shared" si="16"/>
        <v>MARZO</v>
      </c>
      <c r="L201" s="78">
        <f t="shared" si="17"/>
        <v>2026</v>
      </c>
      <c r="O201" s="79"/>
    </row>
    <row r="202" spans="1:15" x14ac:dyDescent="0.25">
      <c r="A202" s="77">
        <v>46102</v>
      </c>
      <c r="B202" s="3" t="s">
        <v>610</v>
      </c>
      <c r="C202" t="s">
        <v>611</v>
      </c>
      <c r="D202" t="s">
        <v>17</v>
      </c>
      <c r="E202">
        <v>1</v>
      </c>
      <c r="F202">
        <v>100</v>
      </c>
      <c r="G202" s="78">
        <f t="shared" si="18"/>
        <v>100</v>
      </c>
      <c r="H202" t="s">
        <v>37</v>
      </c>
      <c r="J202" t="s">
        <v>18</v>
      </c>
      <c r="K202" s="78" t="str">
        <f t="shared" si="16"/>
        <v>MARZO</v>
      </c>
      <c r="L202" s="78">
        <f t="shared" si="17"/>
        <v>2026</v>
      </c>
      <c r="O202" s="79"/>
    </row>
    <row r="203" spans="1:15" x14ac:dyDescent="0.25">
      <c r="A203" s="77">
        <v>46104</v>
      </c>
      <c r="B203" s="3" t="s">
        <v>612</v>
      </c>
      <c r="D203" t="s">
        <v>70</v>
      </c>
      <c r="E203">
        <v>1</v>
      </c>
      <c r="F203">
        <v>6</v>
      </c>
      <c r="G203" s="78">
        <f t="shared" si="18"/>
        <v>6</v>
      </c>
      <c r="H203" t="s">
        <v>606</v>
      </c>
      <c r="J203" t="s">
        <v>18</v>
      </c>
      <c r="K203" s="78" t="str">
        <f t="shared" si="16"/>
        <v>MARZO</v>
      </c>
      <c r="L203" s="78">
        <f t="shared" si="17"/>
        <v>2026</v>
      </c>
      <c r="O203" s="79"/>
    </row>
    <row r="204" spans="1:15" x14ac:dyDescent="0.25">
      <c r="A204" s="77">
        <v>46104</v>
      </c>
      <c r="B204" s="3" t="s">
        <v>613</v>
      </c>
      <c r="C204" t="s">
        <v>199</v>
      </c>
      <c r="D204" t="s">
        <v>17</v>
      </c>
      <c r="E204">
        <v>1</v>
      </c>
      <c r="F204">
        <v>30</v>
      </c>
      <c r="G204" s="78">
        <f t="shared" si="18"/>
        <v>30</v>
      </c>
      <c r="H204" t="s">
        <v>37</v>
      </c>
      <c r="J204" t="s">
        <v>18</v>
      </c>
      <c r="K204" s="78" t="str">
        <f t="shared" si="16"/>
        <v>MARZO</v>
      </c>
      <c r="L204" s="78">
        <f t="shared" si="17"/>
        <v>2026</v>
      </c>
      <c r="O204" s="79"/>
    </row>
    <row r="205" spans="1:15" x14ac:dyDescent="0.25">
      <c r="A205" s="77">
        <v>46104</v>
      </c>
      <c r="B205" s="3" t="s">
        <v>614</v>
      </c>
      <c r="C205" t="s">
        <v>223</v>
      </c>
      <c r="D205" t="s">
        <v>17</v>
      </c>
      <c r="E205">
        <v>1</v>
      </c>
      <c r="F205">
        <v>55</v>
      </c>
      <c r="G205" s="78">
        <f t="shared" si="18"/>
        <v>55</v>
      </c>
      <c r="H205" t="s">
        <v>606</v>
      </c>
      <c r="J205" t="s">
        <v>18</v>
      </c>
      <c r="K205" s="78" t="str">
        <f t="shared" si="16"/>
        <v>MARZO</v>
      </c>
      <c r="L205" s="78">
        <f t="shared" si="17"/>
        <v>2026</v>
      </c>
      <c r="O205" s="79"/>
    </row>
    <row r="206" spans="1:15" x14ac:dyDescent="0.25">
      <c r="A206" s="77">
        <v>46104</v>
      </c>
      <c r="B206" s="3" t="s">
        <v>97</v>
      </c>
      <c r="C206" t="s">
        <v>615</v>
      </c>
      <c r="D206" t="s">
        <v>17</v>
      </c>
      <c r="E206">
        <v>2</v>
      </c>
      <c r="F206">
        <v>187.5</v>
      </c>
      <c r="G206" s="78">
        <f t="shared" si="18"/>
        <v>375</v>
      </c>
      <c r="H206" t="s">
        <v>606</v>
      </c>
      <c r="J206" t="s">
        <v>18</v>
      </c>
      <c r="K206" s="78" t="str">
        <f t="shared" si="16"/>
        <v>MARZO</v>
      </c>
      <c r="L206" s="78">
        <f t="shared" si="17"/>
        <v>2026</v>
      </c>
      <c r="O206" s="79"/>
    </row>
    <row r="207" spans="1:15" x14ac:dyDescent="0.25">
      <c r="A207" s="77">
        <v>46104</v>
      </c>
      <c r="B207" s="3" t="s">
        <v>616</v>
      </c>
      <c r="C207" t="s">
        <v>617</v>
      </c>
      <c r="D207" t="s">
        <v>70</v>
      </c>
      <c r="E207">
        <v>1</v>
      </c>
      <c r="F207">
        <v>5</v>
      </c>
      <c r="G207" s="78">
        <f t="shared" si="18"/>
        <v>5</v>
      </c>
      <c r="H207" t="s">
        <v>606</v>
      </c>
      <c r="J207" t="s">
        <v>18</v>
      </c>
      <c r="K207" s="78" t="str">
        <f t="shared" si="16"/>
        <v>MARZO</v>
      </c>
      <c r="L207" s="78">
        <f t="shared" si="17"/>
        <v>2026</v>
      </c>
      <c r="O207" s="79"/>
    </row>
    <row r="208" spans="1:15" x14ac:dyDescent="0.25">
      <c r="A208" s="77">
        <v>46104</v>
      </c>
      <c r="B208" s="3" t="s">
        <v>651</v>
      </c>
      <c r="C208" t="s">
        <v>652</v>
      </c>
      <c r="D208" t="s">
        <v>17</v>
      </c>
      <c r="E208">
        <v>1</v>
      </c>
      <c r="F208">
        <v>25</v>
      </c>
      <c r="G208" s="78">
        <f t="shared" si="18"/>
        <v>25</v>
      </c>
      <c r="H208" t="s">
        <v>37</v>
      </c>
      <c r="J208" t="s">
        <v>456</v>
      </c>
      <c r="K208" s="78" t="str">
        <f t="shared" si="16"/>
        <v>MARZO</v>
      </c>
      <c r="L208" s="78">
        <f t="shared" si="17"/>
        <v>2026</v>
      </c>
      <c r="O208" s="79"/>
    </row>
    <row r="209" spans="1:15" x14ac:dyDescent="0.25">
      <c r="A209" s="77">
        <v>46104</v>
      </c>
      <c r="B209" s="3" t="s">
        <v>651</v>
      </c>
      <c r="C209" t="s">
        <v>652</v>
      </c>
      <c r="D209" t="s">
        <v>17</v>
      </c>
      <c r="E209">
        <v>1</v>
      </c>
      <c r="F209">
        <v>25</v>
      </c>
      <c r="G209" s="78">
        <f t="shared" si="18"/>
        <v>25</v>
      </c>
      <c r="H209" t="s">
        <v>606</v>
      </c>
      <c r="J209" t="s">
        <v>456</v>
      </c>
      <c r="K209" s="78" t="str">
        <f t="shared" si="16"/>
        <v>MARZO</v>
      </c>
      <c r="L209" s="78">
        <f t="shared" si="17"/>
        <v>2026</v>
      </c>
      <c r="O209" s="79"/>
    </row>
    <row r="210" spans="1:15" x14ac:dyDescent="0.25">
      <c r="A210" s="77">
        <v>46106</v>
      </c>
      <c r="B210" s="3" t="s">
        <v>608</v>
      </c>
      <c r="C210" t="s">
        <v>609</v>
      </c>
      <c r="D210" t="s">
        <v>17</v>
      </c>
      <c r="E210">
        <v>1</v>
      </c>
      <c r="F210">
        <v>80</v>
      </c>
      <c r="G210" s="78">
        <f t="shared" si="18"/>
        <v>80</v>
      </c>
      <c r="H210" t="s">
        <v>606</v>
      </c>
      <c r="J210" t="s">
        <v>18</v>
      </c>
      <c r="K210" s="78" t="str">
        <f t="shared" si="16"/>
        <v>MARZO</v>
      </c>
      <c r="L210" s="78">
        <f t="shared" si="17"/>
        <v>2026</v>
      </c>
      <c r="O210" s="79"/>
    </row>
    <row r="211" spans="1:15" x14ac:dyDescent="0.25">
      <c r="A211" s="77">
        <v>46106</v>
      </c>
      <c r="B211" s="3" t="s">
        <v>648</v>
      </c>
      <c r="C211" t="s">
        <v>649</v>
      </c>
      <c r="D211" t="s">
        <v>17</v>
      </c>
      <c r="E211">
        <v>1</v>
      </c>
      <c r="F211">
        <v>210</v>
      </c>
      <c r="G211" s="78">
        <f t="shared" ref="G211:G242" si="19">E211*F211</f>
        <v>210</v>
      </c>
      <c r="H211" t="s">
        <v>606</v>
      </c>
      <c r="J211" t="s">
        <v>27</v>
      </c>
      <c r="K211" s="78" t="str">
        <f t="shared" si="16"/>
        <v>MARZO</v>
      </c>
      <c r="L211" s="78">
        <f t="shared" si="17"/>
        <v>2026</v>
      </c>
      <c r="O211" s="79"/>
    </row>
    <row r="212" spans="1:15" x14ac:dyDescent="0.25">
      <c r="A212" s="77">
        <v>46108</v>
      </c>
      <c r="B212" s="3" t="s">
        <v>653</v>
      </c>
      <c r="C212" t="s">
        <v>598</v>
      </c>
      <c r="D212" t="s">
        <v>70</v>
      </c>
      <c r="E212">
        <v>1</v>
      </c>
      <c r="F212">
        <v>3</v>
      </c>
      <c r="G212" s="78">
        <f t="shared" si="19"/>
        <v>3</v>
      </c>
      <c r="H212" t="s">
        <v>606</v>
      </c>
      <c r="I212" t="s">
        <v>654</v>
      </c>
      <c r="J212" t="s">
        <v>456</v>
      </c>
      <c r="K212" s="78" t="str">
        <f t="shared" ref="K212:K275" si="20">UPPER(TEXT(A212,"MMMM"))</f>
        <v>MARZO</v>
      </c>
      <c r="L212" s="78">
        <f t="shared" ref="L212:L275" si="21">+YEAR(A212)</f>
        <v>2026</v>
      </c>
      <c r="O212" s="79"/>
    </row>
    <row r="213" spans="1:15" x14ac:dyDescent="0.25">
      <c r="A213" s="77">
        <v>46109</v>
      </c>
      <c r="B213" s="3" t="s">
        <v>486</v>
      </c>
      <c r="C213" t="s">
        <v>487</v>
      </c>
      <c r="D213" t="s">
        <v>17</v>
      </c>
      <c r="E213">
        <v>1</v>
      </c>
      <c r="F213">
        <v>55</v>
      </c>
      <c r="G213" s="78">
        <f t="shared" si="19"/>
        <v>55</v>
      </c>
      <c r="H213" t="s">
        <v>606</v>
      </c>
      <c r="J213" t="s">
        <v>456</v>
      </c>
      <c r="K213" s="78" t="str">
        <f t="shared" si="20"/>
        <v>MARZO</v>
      </c>
      <c r="L213" s="78">
        <f t="shared" si="21"/>
        <v>2026</v>
      </c>
      <c r="O213" s="79"/>
    </row>
    <row r="214" spans="1:15" x14ac:dyDescent="0.25">
      <c r="A214" s="77">
        <v>46111</v>
      </c>
      <c r="B214" s="3" t="s">
        <v>616</v>
      </c>
      <c r="C214" t="s">
        <v>617</v>
      </c>
      <c r="D214" t="s">
        <v>70</v>
      </c>
      <c r="E214">
        <v>1</v>
      </c>
      <c r="F214">
        <v>2.5</v>
      </c>
      <c r="G214" s="78">
        <f t="shared" si="19"/>
        <v>2.5</v>
      </c>
      <c r="H214" t="s">
        <v>606</v>
      </c>
      <c r="J214" t="s">
        <v>18</v>
      </c>
      <c r="K214" s="78" t="str">
        <f t="shared" si="20"/>
        <v>MARZO</v>
      </c>
      <c r="L214" s="78">
        <f t="shared" si="21"/>
        <v>2026</v>
      </c>
      <c r="O214" s="79"/>
    </row>
    <row r="215" spans="1:15" x14ac:dyDescent="0.25">
      <c r="A215" s="77">
        <v>46111</v>
      </c>
      <c r="B215" s="3" t="s">
        <v>25</v>
      </c>
      <c r="C215" t="s">
        <v>25</v>
      </c>
      <c r="D215" t="s">
        <v>70</v>
      </c>
      <c r="E215">
        <v>1</v>
      </c>
      <c r="F215">
        <v>100</v>
      </c>
      <c r="G215" s="78">
        <f t="shared" si="19"/>
        <v>100</v>
      </c>
      <c r="H215" t="s">
        <v>606</v>
      </c>
      <c r="I215" t="s">
        <v>25</v>
      </c>
      <c r="J215" t="s">
        <v>27</v>
      </c>
      <c r="K215" s="78" t="str">
        <f t="shared" si="20"/>
        <v>MARZO</v>
      </c>
      <c r="L215" s="78">
        <f t="shared" si="21"/>
        <v>2026</v>
      </c>
      <c r="O215" s="79"/>
    </row>
    <row r="216" spans="1:15" x14ac:dyDescent="0.25">
      <c r="A216" s="77">
        <v>46112</v>
      </c>
      <c r="B216" s="3" t="s">
        <v>531</v>
      </c>
      <c r="C216" t="s">
        <v>407</v>
      </c>
      <c r="D216" t="s">
        <v>70</v>
      </c>
      <c r="E216">
        <v>1</v>
      </c>
      <c r="F216">
        <v>10.5</v>
      </c>
      <c r="G216" s="78">
        <f t="shared" si="19"/>
        <v>10.5</v>
      </c>
      <c r="H216" t="s">
        <v>606</v>
      </c>
      <c r="I216" t="s">
        <v>626</v>
      </c>
      <c r="J216" t="s">
        <v>18</v>
      </c>
      <c r="K216" s="78" t="str">
        <f t="shared" si="20"/>
        <v>MARZO</v>
      </c>
      <c r="L216" s="78">
        <f t="shared" si="21"/>
        <v>2026</v>
      </c>
      <c r="O216" s="79"/>
    </row>
    <row r="217" spans="1:15" x14ac:dyDescent="0.25">
      <c r="A217" s="77">
        <v>46112</v>
      </c>
      <c r="B217" s="3" t="s">
        <v>627</v>
      </c>
      <c r="C217" t="s">
        <v>628</v>
      </c>
      <c r="D217" t="s">
        <v>17</v>
      </c>
      <c r="E217">
        <v>1</v>
      </c>
      <c r="F217">
        <v>35</v>
      </c>
      <c r="G217" s="78">
        <f t="shared" si="19"/>
        <v>35</v>
      </c>
      <c r="H217" t="s">
        <v>606</v>
      </c>
      <c r="J217" t="s">
        <v>18</v>
      </c>
      <c r="K217" s="78" t="str">
        <f t="shared" si="20"/>
        <v>MARZO</v>
      </c>
      <c r="L217" s="78">
        <f t="shared" si="21"/>
        <v>2026</v>
      </c>
      <c r="O217" s="79"/>
    </row>
    <row r="218" spans="1:15" x14ac:dyDescent="0.25">
      <c r="A218" s="77">
        <v>46112</v>
      </c>
      <c r="B218" s="3" t="s">
        <v>647</v>
      </c>
      <c r="D218" t="s">
        <v>17</v>
      </c>
      <c r="E218">
        <v>1</v>
      </c>
      <c r="F218">
        <v>0.12</v>
      </c>
      <c r="G218" s="78">
        <f t="shared" si="19"/>
        <v>0.12</v>
      </c>
      <c r="H218" t="s">
        <v>606</v>
      </c>
      <c r="I218" t="s">
        <v>647</v>
      </c>
      <c r="J218" t="s">
        <v>83</v>
      </c>
      <c r="K218" s="78" t="str">
        <f t="shared" si="20"/>
        <v>MARZO</v>
      </c>
      <c r="L218" s="78">
        <f t="shared" si="21"/>
        <v>2026</v>
      </c>
      <c r="O218" s="79"/>
    </row>
    <row r="219" spans="1:15" x14ac:dyDescent="0.25">
      <c r="A219" s="77">
        <v>46112</v>
      </c>
      <c r="B219" s="3" t="s">
        <v>437</v>
      </c>
      <c r="C219" t="s">
        <v>480</v>
      </c>
      <c r="D219" t="s">
        <v>70</v>
      </c>
      <c r="E219">
        <v>1</v>
      </c>
      <c r="F219">
        <v>70</v>
      </c>
      <c r="G219" s="78">
        <f t="shared" si="19"/>
        <v>70</v>
      </c>
      <c r="H219" t="s">
        <v>606</v>
      </c>
      <c r="I219" t="s">
        <v>437</v>
      </c>
      <c r="J219" t="s">
        <v>27</v>
      </c>
      <c r="K219" s="78" t="str">
        <f t="shared" si="20"/>
        <v>MARZO</v>
      </c>
      <c r="L219" s="78">
        <f t="shared" si="21"/>
        <v>2026</v>
      </c>
      <c r="O219" s="79"/>
    </row>
    <row r="220" spans="1:15" x14ac:dyDescent="0.25">
      <c r="A220" s="77">
        <v>46112</v>
      </c>
      <c r="B220" s="3" t="s">
        <v>437</v>
      </c>
      <c r="C220" t="s">
        <v>480</v>
      </c>
      <c r="D220" t="s">
        <v>70</v>
      </c>
      <c r="E220">
        <v>1</v>
      </c>
      <c r="F220">
        <v>35</v>
      </c>
      <c r="G220" s="78">
        <f t="shared" si="19"/>
        <v>35</v>
      </c>
      <c r="H220" t="s">
        <v>606</v>
      </c>
      <c r="I220" t="s">
        <v>437</v>
      </c>
      <c r="J220" t="s">
        <v>27</v>
      </c>
      <c r="K220" s="78" t="str">
        <f t="shared" si="20"/>
        <v>MARZO</v>
      </c>
      <c r="L220" s="78">
        <f t="shared" si="21"/>
        <v>2026</v>
      </c>
      <c r="O220" s="79"/>
    </row>
    <row r="221" spans="1:15" x14ac:dyDescent="0.25">
      <c r="A221" s="77">
        <v>46113</v>
      </c>
      <c r="B221" s="3" t="s">
        <v>342</v>
      </c>
      <c r="C221" t="s">
        <v>629</v>
      </c>
      <c r="D221" t="s">
        <v>21</v>
      </c>
      <c r="E221">
        <v>1</v>
      </c>
      <c r="F221">
        <v>5</v>
      </c>
      <c r="G221" s="78">
        <f t="shared" si="19"/>
        <v>5</v>
      </c>
      <c r="H221" t="s">
        <v>606</v>
      </c>
      <c r="J221" t="s">
        <v>18</v>
      </c>
      <c r="K221" s="78" t="str">
        <f t="shared" si="20"/>
        <v>ABRIL</v>
      </c>
      <c r="L221" s="78">
        <f t="shared" si="21"/>
        <v>2026</v>
      </c>
      <c r="O221" s="79"/>
    </row>
    <row r="222" spans="1:15" x14ac:dyDescent="0.25">
      <c r="A222" s="77">
        <v>46113</v>
      </c>
      <c r="B222" s="3" t="s">
        <v>630</v>
      </c>
      <c r="C222" t="s">
        <v>631</v>
      </c>
      <c r="D222" t="s">
        <v>17</v>
      </c>
      <c r="E222">
        <v>1</v>
      </c>
      <c r="F222">
        <v>160</v>
      </c>
      <c r="G222" s="78">
        <f t="shared" si="19"/>
        <v>160</v>
      </c>
      <c r="H222" t="s">
        <v>606</v>
      </c>
      <c r="J222" t="s">
        <v>18</v>
      </c>
      <c r="K222" s="78" t="str">
        <f t="shared" si="20"/>
        <v>ABRIL</v>
      </c>
      <c r="L222" s="78">
        <f t="shared" si="21"/>
        <v>2026</v>
      </c>
      <c r="O222" s="79"/>
    </row>
    <row r="223" spans="1:15" x14ac:dyDescent="0.25">
      <c r="A223" s="77">
        <v>46113</v>
      </c>
      <c r="B223" s="3" t="s">
        <v>229</v>
      </c>
      <c r="C223" t="s">
        <v>632</v>
      </c>
      <c r="D223" t="s">
        <v>21</v>
      </c>
      <c r="E223">
        <v>1</v>
      </c>
      <c r="F223">
        <v>5</v>
      </c>
      <c r="G223" s="78">
        <f t="shared" si="19"/>
        <v>5</v>
      </c>
      <c r="H223" t="s">
        <v>606</v>
      </c>
      <c r="J223" t="s">
        <v>18</v>
      </c>
      <c r="K223" s="78" t="str">
        <f t="shared" si="20"/>
        <v>ABRIL</v>
      </c>
      <c r="L223" s="78">
        <f t="shared" si="21"/>
        <v>2026</v>
      </c>
      <c r="O223" s="79"/>
    </row>
    <row r="224" spans="1:15" x14ac:dyDescent="0.25">
      <c r="A224" s="77">
        <v>46113</v>
      </c>
      <c r="B224" s="3" t="s">
        <v>692</v>
      </c>
      <c r="C224" t="s">
        <v>693</v>
      </c>
      <c r="D224" t="s">
        <v>21</v>
      </c>
      <c r="E224">
        <v>1</v>
      </c>
      <c r="F224">
        <v>5</v>
      </c>
      <c r="G224" s="78">
        <f t="shared" si="19"/>
        <v>5</v>
      </c>
      <c r="H224" t="s">
        <v>606</v>
      </c>
      <c r="J224" t="s">
        <v>456</v>
      </c>
      <c r="K224" s="78" t="str">
        <f t="shared" si="20"/>
        <v>ABRIL</v>
      </c>
      <c r="L224" s="78">
        <f t="shared" si="21"/>
        <v>2026</v>
      </c>
      <c r="O224" s="79"/>
    </row>
    <row r="225" spans="1:15" x14ac:dyDescent="0.25">
      <c r="A225" s="77">
        <v>46114</v>
      </c>
      <c r="B225" s="3" t="s">
        <v>617</v>
      </c>
      <c r="C225" t="s">
        <v>633</v>
      </c>
      <c r="D225" t="s">
        <v>70</v>
      </c>
      <c r="E225">
        <v>1</v>
      </c>
      <c r="F225">
        <v>30</v>
      </c>
      <c r="G225" s="78">
        <f t="shared" si="19"/>
        <v>30</v>
      </c>
      <c r="H225" t="s">
        <v>606</v>
      </c>
      <c r="J225" t="s">
        <v>18</v>
      </c>
      <c r="K225" s="78" t="str">
        <f t="shared" si="20"/>
        <v>ABRIL</v>
      </c>
      <c r="L225" s="78">
        <f t="shared" si="21"/>
        <v>2026</v>
      </c>
      <c r="O225" s="79"/>
    </row>
    <row r="226" spans="1:15" x14ac:dyDescent="0.25">
      <c r="A226" s="77">
        <v>46118</v>
      </c>
      <c r="B226" s="3" t="s">
        <v>634</v>
      </c>
      <c r="C226" t="s">
        <v>635</v>
      </c>
      <c r="D226" t="s">
        <v>17</v>
      </c>
      <c r="E226">
        <v>1</v>
      </c>
      <c r="F226">
        <v>100</v>
      </c>
      <c r="G226" s="78">
        <f t="shared" si="19"/>
        <v>100</v>
      </c>
      <c r="H226" t="s">
        <v>37</v>
      </c>
      <c r="J226" t="s">
        <v>18</v>
      </c>
      <c r="K226" s="78" t="str">
        <f t="shared" si="20"/>
        <v>ABRIL</v>
      </c>
      <c r="L226" s="78">
        <f t="shared" si="21"/>
        <v>2026</v>
      </c>
      <c r="O226" s="79"/>
    </row>
    <row r="227" spans="1:15" x14ac:dyDescent="0.25">
      <c r="A227" s="77">
        <v>46118</v>
      </c>
      <c r="B227" s="3" t="s">
        <v>636</v>
      </c>
      <c r="C227" t="s">
        <v>637</v>
      </c>
      <c r="D227" t="s">
        <v>70</v>
      </c>
      <c r="E227">
        <v>1</v>
      </c>
      <c r="F227">
        <v>27</v>
      </c>
      <c r="G227" s="78">
        <f t="shared" si="19"/>
        <v>27</v>
      </c>
      <c r="H227" t="s">
        <v>606</v>
      </c>
      <c r="I227" t="s">
        <v>638</v>
      </c>
      <c r="J227" t="s">
        <v>18</v>
      </c>
      <c r="K227" s="78" t="str">
        <f t="shared" si="20"/>
        <v>ABRIL</v>
      </c>
      <c r="L227" s="78">
        <f t="shared" si="21"/>
        <v>2026</v>
      </c>
      <c r="O227" s="79"/>
    </row>
    <row r="228" spans="1:15" x14ac:dyDescent="0.25">
      <c r="A228" s="77">
        <v>46118</v>
      </c>
      <c r="B228" s="3" t="s">
        <v>437</v>
      </c>
      <c r="D228" t="s">
        <v>17</v>
      </c>
      <c r="E228">
        <v>1</v>
      </c>
      <c r="F228">
        <v>500</v>
      </c>
      <c r="G228" s="78">
        <f t="shared" si="19"/>
        <v>500</v>
      </c>
      <c r="H228" t="s">
        <v>459</v>
      </c>
      <c r="J228" t="s">
        <v>27</v>
      </c>
      <c r="K228" s="78" t="str">
        <f t="shared" si="20"/>
        <v>ABRIL</v>
      </c>
      <c r="L228" s="78">
        <f t="shared" si="21"/>
        <v>2026</v>
      </c>
      <c r="O228" s="79"/>
    </row>
    <row r="229" spans="1:15" x14ac:dyDescent="0.25">
      <c r="A229" s="77">
        <v>46118</v>
      </c>
      <c r="B229" s="3" t="s">
        <v>25</v>
      </c>
      <c r="D229" t="s">
        <v>70</v>
      </c>
      <c r="E229">
        <v>1</v>
      </c>
      <c r="F229">
        <v>500</v>
      </c>
      <c r="G229" s="78">
        <f t="shared" si="19"/>
        <v>500</v>
      </c>
      <c r="H229" t="s">
        <v>606</v>
      </c>
      <c r="I229" t="s">
        <v>690</v>
      </c>
      <c r="J229" t="s">
        <v>30</v>
      </c>
      <c r="K229" s="78" t="str">
        <f t="shared" si="20"/>
        <v>ABRIL</v>
      </c>
      <c r="L229" s="78">
        <f t="shared" si="21"/>
        <v>2026</v>
      </c>
      <c r="O229" s="79"/>
    </row>
    <row r="230" spans="1:15" x14ac:dyDescent="0.25">
      <c r="A230" s="77">
        <v>46119</v>
      </c>
      <c r="B230" s="3" t="s">
        <v>694</v>
      </c>
      <c r="C230" t="s">
        <v>129</v>
      </c>
      <c r="D230" t="s">
        <v>17</v>
      </c>
      <c r="E230">
        <v>1</v>
      </c>
      <c r="F230">
        <v>70</v>
      </c>
      <c r="G230" s="78">
        <f t="shared" si="19"/>
        <v>70</v>
      </c>
      <c r="H230" t="s">
        <v>37</v>
      </c>
      <c r="J230" t="s">
        <v>456</v>
      </c>
      <c r="K230" s="78" t="str">
        <f t="shared" si="20"/>
        <v>ABRIL</v>
      </c>
      <c r="L230" s="78">
        <f t="shared" si="21"/>
        <v>2026</v>
      </c>
      <c r="O230" s="79"/>
    </row>
    <row r="231" spans="1:15" x14ac:dyDescent="0.25">
      <c r="A231" s="77">
        <v>46121</v>
      </c>
      <c r="B231" s="3" t="s">
        <v>272</v>
      </c>
      <c r="C231" t="s">
        <v>273</v>
      </c>
      <c r="D231" t="s">
        <v>21</v>
      </c>
      <c r="E231">
        <v>1</v>
      </c>
      <c r="F231">
        <v>5</v>
      </c>
      <c r="G231" s="78">
        <f t="shared" si="19"/>
        <v>5</v>
      </c>
      <c r="H231" t="s">
        <v>606</v>
      </c>
      <c r="J231" t="s">
        <v>18</v>
      </c>
      <c r="K231" s="78" t="str">
        <f t="shared" si="20"/>
        <v>ABRIL</v>
      </c>
      <c r="L231" s="78">
        <f t="shared" si="21"/>
        <v>2026</v>
      </c>
      <c r="O231" s="79"/>
    </row>
    <row r="232" spans="1:15" x14ac:dyDescent="0.25">
      <c r="A232" s="77">
        <v>46121</v>
      </c>
      <c r="B232" s="3" t="s">
        <v>158</v>
      </c>
      <c r="C232" t="s">
        <v>158</v>
      </c>
      <c r="D232" t="s">
        <v>70</v>
      </c>
      <c r="E232">
        <v>1</v>
      </c>
      <c r="F232">
        <v>10</v>
      </c>
      <c r="G232" s="78">
        <f t="shared" si="19"/>
        <v>10</v>
      </c>
      <c r="H232" t="s">
        <v>606</v>
      </c>
      <c r="J232" t="s">
        <v>18</v>
      </c>
      <c r="K232" s="78" t="str">
        <f t="shared" si="20"/>
        <v>ABRIL</v>
      </c>
      <c r="L232" s="78">
        <f t="shared" si="21"/>
        <v>2026</v>
      </c>
      <c r="O232" s="79"/>
    </row>
    <row r="233" spans="1:15" x14ac:dyDescent="0.25">
      <c r="A233" s="77">
        <v>46121</v>
      </c>
      <c r="B233" s="3" t="s">
        <v>328</v>
      </c>
      <c r="D233" t="s">
        <v>70</v>
      </c>
      <c r="E233">
        <v>1</v>
      </c>
      <c r="F233">
        <v>5</v>
      </c>
      <c r="G233" s="78">
        <f t="shared" si="19"/>
        <v>5</v>
      </c>
      <c r="H233" t="s">
        <v>606</v>
      </c>
      <c r="J233" t="s">
        <v>18</v>
      </c>
      <c r="K233" s="78" t="str">
        <f t="shared" si="20"/>
        <v>ABRIL</v>
      </c>
      <c r="L233" s="78">
        <f t="shared" si="21"/>
        <v>2026</v>
      </c>
      <c r="O233" s="79"/>
    </row>
    <row r="234" spans="1:15" x14ac:dyDescent="0.25">
      <c r="A234" s="77">
        <v>46121</v>
      </c>
      <c r="B234" s="3" t="s">
        <v>655</v>
      </c>
      <c r="C234" t="s">
        <v>656</v>
      </c>
      <c r="D234" t="s">
        <v>17</v>
      </c>
      <c r="E234">
        <v>1</v>
      </c>
      <c r="F234">
        <v>60</v>
      </c>
      <c r="G234" s="78">
        <f t="shared" si="19"/>
        <v>60</v>
      </c>
      <c r="H234" t="s">
        <v>37</v>
      </c>
      <c r="J234" t="s">
        <v>18</v>
      </c>
      <c r="K234" s="78" t="str">
        <f t="shared" si="20"/>
        <v>ABRIL</v>
      </c>
      <c r="L234" s="78">
        <f t="shared" si="21"/>
        <v>2026</v>
      </c>
      <c r="O234" s="79"/>
    </row>
    <row r="235" spans="1:15" x14ac:dyDescent="0.25">
      <c r="A235" s="77">
        <v>46121</v>
      </c>
      <c r="B235" s="3" t="s">
        <v>657</v>
      </c>
      <c r="C235" t="s">
        <v>658</v>
      </c>
      <c r="D235" t="s">
        <v>17</v>
      </c>
      <c r="E235">
        <v>1</v>
      </c>
      <c r="F235">
        <v>115</v>
      </c>
      <c r="G235" s="78">
        <f t="shared" si="19"/>
        <v>115</v>
      </c>
      <c r="H235" t="s">
        <v>606</v>
      </c>
      <c r="J235" t="s">
        <v>18</v>
      </c>
      <c r="K235" s="78" t="str">
        <f t="shared" si="20"/>
        <v>ABRIL</v>
      </c>
      <c r="L235" s="78">
        <f t="shared" si="21"/>
        <v>2026</v>
      </c>
      <c r="O235" s="79"/>
    </row>
    <row r="236" spans="1:15" x14ac:dyDescent="0.25">
      <c r="A236" s="77">
        <v>46121</v>
      </c>
      <c r="B236" s="3" t="s">
        <v>675</v>
      </c>
      <c r="D236" t="s">
        <v>70</v>
      </c>
      <c r="E236">
        <v>1</v>
      </c>
      <c r="F236">
        <v>13.76</v>
      </c>
      <c r="G236" s="78">
        <f t="shared" si="19"/>
        <v>13.76</v>
      </c>
      <c r="H236" t="s">
        <v>676</v>
      </c>
      <c r="J236" t="s">
        <v>27</v>
      </c>
      <c r="K236" s="78" t="str">
        <f t="shared" si="20"/>
        <v>ABRIL</v>
      </c>
      <c r="L236" s="78">
        <f t="shared" si="21"/>
        <v>2026</v>
      </c>
      <c r="O236" s="79"/>
    </row>
    <row r="237" spans="1:15" x14ac:dyDescent="0.25">
      <c r="A237" s="77">
        <v>46121</v>
      </c>
      <c r="B237" s="3" t="s">
        <v>694</v>
      </c>
      <c r="C237" t="s">
        <v>129</v>
      </c>
      <c r="D237" t="s">
        <v>17</v>
      </c>
      <c r="E237">
        <v>1</v>
      </c>
      <c r="F237">
        <v>100</v>
      </c>
      <c r="G237" s="78">
        <f t="shared" si="19"/>
        <v>100</v>
      </c>
      <c r="H237" t="s">
        <v>606</v>
      </c>
      <c r="J237" t="s">
        <v>456</v>
      </c>
      <c r="K237" s="78" t="str">
        <f t="shared" si="20"/>
        <v>ABRIL</v>
      </c>
      <c r="L237" s="78">
        <f t="shared" si="21"/>
        <v>2026</v>
      </c>
      <c r="O237" s="79"/>
    </row>
    <row r="238" spans="1:15" x14ac:dyDescent="0.25">
      <c r="A238" s="77">
        <v>46123</v>
      </c>
      <c r="B238" s="3" t="s">
        <v>659</v>
      </c>
      <c r="C238" t="s">
        <v>660</v>
      </c>
      <c r="D238" t="s">
        <v>17</v>
      </c>
      <c r="E238">
        <v>1</v>
      </c>
      <c r="F238">
        <v>80</v>
      </c>
      <c r="G238" s="78">
        <f t="shared" si="19"/>
        <v>80</v>
      </c>
      <c r="H238" t="s">
        <v>37</v>
      </c>
      <c r="J238" t="s">
        <v>18</v>
      </c>
      <c r="K238" s="78" t="str">
        <f t="shared" si="20"/>
        <v>ABRIL</v>
      </c>
      <c r="L238" s="78">
        <f t="shared" si="21"/>
        <v>2026</v>
      </c>
      <c r="O238" s="79"/>
    </row>
    <row r="239" spans="1:15" x14ac:dyDescent="0.25">
      <c r="A239" s="77">
        <v>46126</v>
      </c>
      <c r="B239" s="3" t="s">
        <v>614</v>
      </c>
      <c r="C239" t="s">
        <v>493</v>
      </c>
      <c r="D239" t="s">
        <v>17</v>
      </c>
      <c r="E239">
        <v>1</v>
      </c>
      <c r="F239">
        <v>100</v>
      </c>
      <c r="G239" s="78">
        <f t="shared" si="19"/>
        <v>100</v>
      </c>
      <c r="H239" t="s">
        <v>37</v>
      </c>
      <c r="J239" t="s">
        <v>18</v>
      </c>
      <c r="K239" s="78" t="str">
        <f t="shared" si="20"/>
        <v>ABRIL</v>
      </c>
      <c r="L239" s="78">
        <f t="shared" si="21"/>
        <v>2026</v>
      </c>
      <c r="O239" s="79"/>
    </row>
    <row r="240" spans="1:15" x14ac:dyDescent="0.25">
      <c r="A240" s="77">
        <v>46126</v>
      </c>
      <c r="B240" s="3" t="s">
        <v>607</v>
      </c>
      <c r="C240" t="s">
        <v>269</v>
      </c>
      <c r="D240" t="s">
        <v>17</v>
      </c>
      <c r="E240">
        <v>1</v>
      </c>
      <c r="F240">
        <v>50</v>
      </c>
      <c r="G240" s="78">
        <f t="shared" si="19"/>
        <v>50</v>
      </c>
      <c r="H240" t="s">
        <v>37</v>
      </c>
      <c r="J240" t="s">
        <v>18</v>
      </c>
      <c r="K240" s="78" t="str">
        <f t="shared" si="20"/>
        <v>ABRIL</v>
      </c>
      <c r="L240" s="78">
        <f t="shared" si="21"/>
        <v>2026</v>
      </c>
      <c r="O240" s="79"/>
    </row>
    <row r="241" spans="1:15" x14ac:dyDescent="0.25">
      <c r="A241" s="77">
        <v>46126</v>
      </c>
      <c r="B241" s="3" t="s">
        <v>687</v>
      </c>
      <c r="C241" t="s">
        <v>615</v>
      </c>
      <c r="D241" t="s">
        <v>17</v>
      </c>
      <c r="E241">
        <v>1</v>
      </c>
      <c r="F241">
        <v>95</v>
      </c>
      <c r="G241" s="78">
        <f t="shared" si="19"/>
        <v>95</v>
      </c>
      <c r="H241" t="s">
        <v>606</v>
      </c>
      <c r="J241" t="s">
        <v>83</v>
      </c>
      <c r="K241" s="78" t="str">
        <f t="shared" si="20"/>
        <v>ABRIL</v>
      </c>
      <c r="L241" s="78">
        <f t="shared" si="21"/>
        <v>2026</v>
      </c>
      <c r="O241" s="79"/>
    </row>
    <row r="242" spans="1:15" x14ac:dyDescent="0.25">
      <c r="A242" s="77">
        <v>46126</v>
      </c>
      <c r="B242" s="3" t="s">
        <v>662</v>
      </c>
      <c r="C242" t="s">
        <v>661</v>
      </c>
      <c r="D242" t="s">
        <v>17</v>
      </c>
      <c r="E242">
        <v>1</v>
      </c>
      <c r="F242">
        <v>90</v>
      </c>
      <c r="G242" s="78">
        <f t="shared" si="19"/>
        <v>90</v>
      </c>
      <c r="H242" t="s">
        <v>606</v>
      </c>
      <c r="J242" t="s">
        <v>18</v>
      </c>
      <c r="K242" s="78" t="str">
        <f t="shared" si="20"/>
        <v>ABRIL</v>
      </c>
      <c r="L242" s="78">
        <f t="shared" si="21"/>
        <v>2026</v>
      </c>
      <c r="O242" s="79"/>
    </row>
    <row r="243" spans="1:15" x14ac:dyDescent="0.25">
      <c r="A243" s="77">
        <v>46128</v>
      </c>
      <c r="B243" s="3" t="s">
        <v>687</v>
      </c>
      <c r="C243" t="s">
        <v>615</v>
      </c>
      <c r="D243" t="s">
        <v>17</v>
      </c>
      <c r="E243">
        <v>1</v>
      </c>
      <c r="F243">
        <v>100</v>
      </c>
      <c r="G243" s="78">
        <f t="shared" ref="G243:G274" si="22">E243*F243</f>
        <v>100</v>
      </c>
      <c r="H243" t="s">
        <v>606</v>
      </c>
      <c r="J243" t="s">
        <v>83</v>
      </c>
      <c r="K243" s="78" t="str">
        <f t="shared" si="20"/>
        <v>ABRIL</v>
      </c>
      <c r="L243" s="78">
        <f t="shared" si="21"/>
        <v>2026</v>
      </c>
      <c r="O243" s="79"/>
    </row>
    <row r="244" spans="1:15" x14ac:dyDescent="0.25">
      <c r="A244" s="77">
        <v>46129</v>
      </c>
      <c r="B244" s="3" t="s">
        <v>70</v>
      </c>
      <c r="D244" t="s">
        <v>70</v>
      </c>
      <c r="E244">
        <v>1</v>
      </c>
      <c r="F244">
        <v>2.5</v>
      </c>
      <c r="G244" s="78">
        <f t="shared" si="22"/>
        <v>2.5</v>
      </c>
      <c r="H244" t="s">
        <v>606</v>
      </c>
      <c r="J244" t="s">
        <v>18</v>
      </c>
      <c r="K244" s="78" t="str">
        <f t="shared" si="20"/>
        <v>ABRIL</v>
      </c>
      <c r="L244" s="78">
        <f t="shared" si="21"/>
        <v>2026</v>
      </c>
      <c r="O244" s="79"/>
    </row>
    <row r="245" spans="1:15" x14ac:dyDescent="0.25">
      <c r="A245" s="77">
        <v>46129</v>
      </c>
      <c r="B245" s="3" t="s">
        <v>663</v>
      </c>
      <c r="C245" t="s">
        <v>664</v>
      </c>
      <c r="D245" t="s">
        <v>17</v>
      </c>
      <c r="E245">
        <v>1</v>
      </c>
      <c r="F245">
        <v>30</v>
      </c>
      <c r="G245" s="78">
        <f t="shared" si="22"/>
        <v>30</v>
      </c>
      <c r="H245" t="s">
        <v>37</v>
      </c>
      <c r="J245" t="s">
        <v>18</v>
      </c>
      <c r="K245" s="78" t="str">
        <f t="shared" si="20"/>
        <v>ABRIL</v>
      </c>
      <c r="L245" s="78">
        <f t="shared" si="21"/>
        <v>2026</v>
      </c>
      <c r="O245" s="79"/>
    </row>
    <row r="246" spans="1:15" x14ac:dyDescent="0.25">
      <c r="A246" s="77">
        <v>46129</v>
      </c>
      <c r="B246" s="3" t="s">
        <v>105</v>
      </c>
      <c r="C246" t="s">
        <v>526</v>
      </c>
      <c r="D246" t="s">
        <v>17</v>
      </c>
      <c r="E246">
        <v>1</v>
      </c>
      <c r="F246">
        <v>20</v>
      </c>
      <c r="G246" s="78">
        <f t="shared" si="22"/>
        <v>20</v>
      </c>
      <c r="H246" t="s">
        <v>37</v>
      </c>
      <c r="J246" t="s">
        <v>18</v>
      </c>
      <c r="K246" s="78" t="str">
        <f t="shared" si="20"/>
        <v>ABRIL</v>
      </c>
      <c r="L246" s="78">
        <f t="shared" si="21"/>
        <v>2026</v>
      </c>
      <c r="O246" s="79"/>
    </row>
    <row r="247" spans="1:15" x14ac:dyDescent="0.25">
      <c r="A247" s="77">
        <v>46129</v>
      </c>
      <c r="B247" s="3" t="s">
        <v>614</v>
      </c>
      <c r="C247" t="s">
        <v>598</v>
      </c>
      <c r="D247" t="s">
        <v>17</v>
      </c>
      <c r="E247">
        <v>1</v>
      </c>
      <c r="F247">
        <v>240</v>
      </c>
      <c r="G247" s="78">
        <f t="shared" si="22"/>
        <v>240</v>
      </c>
      <c r="H247" t="s">
        <v>606</v>
      </c>
      <c r="J247" t="s">
        <v>18</v>
      </c>
      <c r="K247" s="78" t="str">
        <f t="shared" si="20"/>
        <v>ABRIL</v>
      </c>
      <c r="L247" s="78">
        <f t="shared" si="21"/>
        <v>2026</v>
      </c>
      <c r="O247" s="79"/>
    </row>
    <row r="248" spans="1:15" x14ac:dyDescent="0.25">
      <c r="A248" s="77">
        <v>46129</v>
      </c>
      <c r="B248" s="3" t="s">
        <v>634</v>
      </c>
      <c r="C248" t="s">
        <v>635</v>
      </c>
      <c r="D248" t="s">
        <v>17</v>
      </c>
      <c r="E248">
        <v>1</v>
      </c>
      <c r="F248">
        <v>135</v>
      </c>
      <c r="G248" s="78">
        <f t="shared" si="22"/>
        <v>135</v>
      </c>
      <c r="H248" t="s">
        <v>606</v>
      </c>
      <c r="J248" t="s">
        <v>18</v>
      </c>
      <c r="K248" s="78" t="str">
        <f t="shared" si="20"/>
        <v>ABRIL</v>
      </c>
      <c r="L248" s="78">
        <f t="shared" si="21"/>
        <v>2026</v>
      </c>
      <c r="O248" s="79"/>
    </row>
    <row r="249" spans="1:15" x14ac:dyDescent="0.25">
      <c r="A249" s="77">
        <v>46129</v>
      </c>
      <c r="B249" s="3" t="s">
        <v>324</v>
      </c>
      <c r="C249" t="s">
        <v>660</v>
      </c>
      <c r="D249" t="s">
        <v>17</v>
      </c>
      <c r="E249">
        <v>1</v>
      </c>
      <c r="F249">
        <v>55</v>
      </c>
      <c r="G249" s="78">
        <f t="shared" si="22"/>
        <v>55</v>
      </c>
      <c r="H249" t="s">
        <v>606</v>
      </c>
      <c r="J249" t="s">
        <v>18</v>
      </c>
      <c r="K249" s="78" t="str">
        <f t="shared" si="20"/>
        <v>ABRIL</v>
      </c>
      <c r="L249" s="78">
        <f t="shared" si="21"/>
        <v>2026</v>
      </c>
      <c r="O249" s="79"/>
    </row>
    <row r="250" spans="1:15" x14ac:dyDescent="0.25">
      <c r="A250" s="77">
        <v>46129</v>
      </c>
      <c r="B250" s="3" t="s">
        <v>665</v>
      </c>
      <c r="C250" t="s">
        <v>666</v>
      </c>
      <c r="D250" t="s">
        <v>17</v>
      </c>
      <c r="E250">
        <v>1</v>
      </c>
      <c r="F250">
        <v>60</v>
      </c>
      <c r="G250" s="78">
        <f t="shared" si="22"/>
        <v>60</v>
      </c>
      <c r="H250" t="s">
        <v>606</v>
      </c>
      <c r="J250" t="s">
        <v>18</v>
      </c>
      <c r="K250" s="78" t="str">
        <f t="shared" si="20"/>
        <v>ABRIL</v>
      </c>
      <c r="L250" s="78">
        <f t="shared" si="21"/>
        <v>2026</v>
      </c>
      <c r="O250" s="79"/>
    </row>
    <row r="251" spans="1:15" x14ac:dyDescent="0.25">
      <c r="A251" s="77">
        <v>46129</v>
      </c>
      <c r="B251" s="3" t="s">
        <v>688</v>
      </c>
      <c r="C251" t="s">
        <v>563</v>
      </c>
      <c r="D251" t="s">
        <v>17</v>
      </c>
      <c r="E251">
        <v>1</v>
      </c>
      <c r="F251">
        <v>95</v>
      </c>
      <c r="G251" s="78">
        <f t="shared" si="22"/>
        <v>95</v>
      </c>
      <c r="H251" t="s">
        <v>606</v>
      </c>
      <c r="J251" t="s">
        <v>83</v>
      </c>
      <c r="K251" s="78" t="str">
        <f t="shared" si="20"/>
        <v>ABRIL</v>
      </c>
      <c r="L251" s="78">
        <f t="shared" si="21"/>
        <v>2026</v>
      </c>
      <c r="O251" s="79"/>
    </row>
    <row r="252" spans="1:15" x14ac:dyDescent="0.25">
      <c r="A252" s="77">
        <v>46130</v>
      </c>
      <c r="B252" s="3" t="s">
        <v>296</v>
      </c>
      <c r="C252" t="s">
        <v>667</v>
      </c>
      <c r="D252" t="s">
        <v>17</v>
      </c>
      <c r="E252">
        <v>1</v>
      </c>
      <c r="F252">
        <v>25</v>
      </c>
      <c r="G252" s="78">
        <f t="shared" si="22"/>
        <v>25</v>
      </c>
      <c r="H252" t="s">
        <v>37</v>
      </c>
      <c r="J252" t="s">
        <v>18</v>
      </c>
      <c r="K252" s="78" t="str">
        <f t="shared" si="20"/>
        <v>ABRIL</v>
      </c>
      <c r="L252" s="78">
        <f t="shared" si="21"/>
        <v>2026</v>
      </c>
      <c r="O252" s="79"/>
    </row>
    <row r="253" spans="1:15" x14ac:dyDescent="0.25">
      <c r="A253" s="77">
        <v>46130</v>
      </c>
      <c r="B253" s="3" t="s">
        <v>663</v>
      </c>
      <c r="C253" t="s">
        <v>664</v>
      </c>
      <c r="D253" t="s">
        <v>17</v>
      </c>
      <c r="E253">
        <v>1</v>
      </c>
      <c r="F253">
        <v>140</v>
      </c>
      <c r="G253" s="78">
        <f t="shared" si="22"/>
        <v>140</v>
      </c>
      <c r="H253" t="s">
        <v>606</v>
      </c>
      <c r="J253" t="s">
        <v>18</v>
      </c>
      <c r="K253" s="78" t="str">
        <f t="shared" si="20"/>
        <v>ABRIL</v>
      </c>
      <c r="L253" s="78">
        <f t="shared" si="21"/>
        <v>2026</v>
      </c>
      <c r="O253" s="79"/>
    </row>
    <row r="254" spans="1:15" x14ac:dyDescent="0.25">
      <c r="A254" s="77">
        <v>46132</v>
      </c>
      <c r="B254" s="3" t="s">
        <v>677</v>
      </c>
      <c r="C254" t="s">
        <v>678</v>
      </c>
      <c r="D254" t="s">
        <v>17</v>
      </c>
      <c r="E254">
        <v>1</v>
      </c>
      <c r="F254">
        <v>130</v>
      </c>
      <c r="G254" s="78">
        <f t="shared" si="22"/>
        <v>130</v>
      </c>
      <c r="H254" t="s">
        <v>679</v>
      </c>
      <c r="J254" t="s">
        <v>27</v>
      </c>
      <c r="K254" s="78" t="str">
        <f t="shared" si="20"/>
        <v>ABRIL</v>
      </c>
      <c r="L254" s="78">
        <f t="shared" si="21"/>
        <v>2026</v>
      </c>
      <c r="O254" s="79"/>
    </row>
    <row r="255" spans="1:15" x14ac:dyDescent="0.25">
      <c r="A255" s="77">
        <v>46132</v>
      </c>
      <c r="B255" s="3" t="s">
        <v>591</v>
      </c>
      <c r="C255" t="s">
        <v>563</v>
      </c>
      <c r="D255" t="s">
        <v>17</v>
      </c>
      <c r="E255">
        <v>1</v>
      </c>
      <c r="F255">
        <v>60</v>
      </c>
      <c r="G255" s="78">
        <f t="shared" si="22"/>
        <v>60</v>
      </c>
      <c r="H255" t="s">
        <v>606</v>
      </c>
      <c r="J255" t="s">
        <v>27</v>
      </c>
      <c r="K255" s="78" t="str">
        <f t="shared" si="20"/>
        <v>ABRIL</v>
      </c>
      <c r="L255" s="78">
        <f t="shared" si="21"/>
        <v>2026</v>
      </c>
      <c r="O255" s="79"/>
    </row>
    <row r="256" spans="1:15" x14ac:dyDescent="0.25">
      <c r="A256" s="77">
        <v>46132</v>
      </c>
      <c r="B256" s="3" t="s">
        <v>689</v>
      </c>
      <c r="C256" t="s">
        <v>563</v>
      </c>
      <c r="D256" t="s">
        <v>17</v>
      </c>
      <c r="E256">
        <v>1</v>
      </c>
      <c r="F256">
        <v>100</v>
      </c>
      <c r="G256" s="78">
        <f t="shared" si="22"/>
        <v>100</v>
      </c>
      <c r="H256" t="s">
        <v>606</v>
      </c>
      <c r="J256" t="s">
        <v>83</v>
      </c>
      <c r="K256" s="78" t="str">
        <f t="shared" si="20"/>
        <v>ABRIL</v>
      </c>
      <c r="L256" s="78">
        <f t="shared" si="21"/>
        <v>2026</v>
      </c>
      <c r="O256" s="79"/>
    </row>
    <row r="257" spans="1:15" x14ac:dyDescent="0.25">
      <c r="A257" s="77">
        <v>46133</v>
      </c>
      <c r="B257" s="3" t="s">
        <v>69</v>
      </c>
      <c r="D257" t="s">
        <v>26</v>
      </c>
      <c r="E257">
        <v>1</v>
      </c>
      <c r="F257">
        <v>20</v>
      </c>
      <c r="G257" s="78">
        <f t="shared" si="22"/>
        <v>20</v>
      </c>
      <c r="H257" t="s">
        <v>606</v>
      </c>
      <c r="I257" t="s">
        <v>69</v>
      </c>
      <c r="J257" t="s">
        <v>27</v>
      </c>
      <c r="K257" s="78" t="str">
        <f t="shared" si="20"/>
        <v>ABRIL</v>
      </c>
      <c r="L257" s="78">
        <f t="shared" si="21"/>
        <v>2026</v>
      </c>
      <c r="O257" s="79"/>
    </row>
    <row r="258" spans="1:15" x14ac:dyDescent="0.25">
      <c r="A258" s="77">
        <v>46133</v>
      </c>
      <c r="B258" s="3" t="s">
        <v>725</v>
      </c>
      <c r="C258" t="s">
        <v>615</v>
      </c>
      <c r="D258" t="s">
        <v>17</v>
      </c>
      <c r="E258">
        <v>1</v>
      </c>
      <c r="F258">
        <v>95</v>
      </c>
      <c r="G258" s="78">
        <f t="shared" si="22"/>
        <v>95</v>
      </c>
      <c r="H258" t="s">
        <v>37</v>
      </c>
      <c r="J258" t="s">
        <v>83</v>
      </c>
      <c r="K258" s="78" t="str">
        <f t="shared" si="20"/>
        <v>ABRIL</v>
      </c>
      <c r="L258" s="78">
        <f t="shared" si="21"/>
        <v>2026</v>
      </c>
      <c r="O258" s="79"/>
    </row>
    <row r="259" spans="1:15" x14ac:dyDescent="0.25">
      <c r="A259" s="77">
        <v>46134</v>
      </c>
      <c r="B259" s="3" t="s">
        <v>673</v>
      </c>
      <c r="C259" t="s">
        <v>470</v>
      </c>
      <c r="D259" t="s">
        <v>17</v>
      </c>
      <c r="E259">
        <v>1</v>
      </c>
      <c r="F259">
        <v>40</v>
      </c>
      <c r="G259" s="78">
        <f t="shared" si="22"/>
        <v>40</v>
      </c>
      <c r="H259" t="s">
        <v>606</v>
      </c>
      <c r="J259" t="s">
        <v>18</v>
      </c>
      <c r="K259" s="78" t="str">
        <f t="shared" si="20"/>
        <v>ABRIL</v>
      </c>
      <c r="L259" s="78">
        <f t="shared" si="21"/>
        <v>2026</v>
      </c>
      <c r="O259" s="79"/>
    </row>
    <row r="260" spans="1:15" x14ac:dyDescent="0.25">
      <c r="A260" s="77">
        <v>46134</v>
      </c>
      <c r="B260" s="3" t="s">
        <v>674</v>
      </c>
      <c r="D260" t="s">
        <v>17</v>
      </c>
      <c r="E260">
        <v>1</v>
      </c>
      <c r="F260">
        <v>2.5</v>
      </c>
      <c r="G260" s="78">
        <f t="shared" si="22"/>
        <v>2.5</v>
      </c>
      <c r="H260" t="s">
        <v>606</v>
      </c>
      <c r="J260" t="s">
        <v>18</v>
      </c>
      <c r="K260" s="78" t="str">
        <f t="shared" si="20"/>
        <v>ABRIL</v>
      </c>
      <c r="L260" s="78">
        <f t="shared" si="21"/>
        <v>2026</v>
      </c>
      <c r="O260" s="79"/>
    </row>
    <row r="261" spans="1:15" x14ac:dyDescent="0.25">
      <c r="A261" s="77">
        <v>46134</v>
      </c>
      <c r="B261" s="3" t="s">
        <v>105</v>
      </c>
      <c r="C261" t="s">
        <v>526</v>
      </c>
      <c r="D261" t="s">
        <v>17</v>
      </c>
      <c r="E261">
        <v>1</v>
      </c>
      <c r="F261">
        <v>25</v>
      </c>
      <c r="G261" s="78">
        <f t="shared" si="22"/>
        <v>25</v>
      </c>
      <c r="H261" t="s">
        <v>606</v>
      </c>
      <c r="J261" t="s">
        <v>18</v>
      </c>
      <c r="K261" s="78" t="str">
        <f t="shared" si="20"/>
        <v>ABRIL</v>
      </c>
      <c r="L261" s="78">
        <f t="shared" si="21"/>
        <v>2026</v>
      </c>
      <c r="O261" s="79"/>
    </row>
    <row r="262" spans="1:15" x14ac:dyDescent="0.25">
      <c r="A262" s="77">
        <v>46135</v>
      </c>
      <c r="B262" s="3" t="s">
        <v>538</v>
      </c>
      <c r="C262" t="s">
        <v>695</v>
      </c>
      <c r="D262" t="s">
        <v>17</v>
      </c>
      <c r="E262">
        <v>1</v>
      </c>
      <c r="F262">
        <v>135</v>
      </c>
      <c r="G262" s="78">
        <f t="shared" si="22"/>
        <v>135</v>
      </c>
      <c r="H262" t="s">
        <v>606</v>
      </c>
      <c r="J262" t="s">
        <v>18</v>
      </c>
      <c r="K262" s="78" t="str">
        <f t="shared" si="20"/>
        <v>ABRIL</v>
      </c>
      <c r="L262" s="78">
        <f t="shared" si="21"/>
        <v>2026</v>
      </c>
      <c r="O262" s="79"/>
    </row>
    <row r="263" spans="1:15" x14ac:dyDescent="0.25">
      <c r="A263" s="77">
        <v>46135</v>
      </c>
      <c r="B263" s="3" t="s">
        <v>25</v>
      </c>
      <c r="C263" t="s">
        <v>25</v>
      </c>
      <c r="D263" t="s">
        <v>70</v>
      </c>
      <c r="E263">
        <v>1</v>
      </c>
      <c r="F263">
        <v>200</v>
      </c>
      <c r="G263" s="78">
        <f t="shared" si="22"/>
        <v>200</v>
      </c>
      <c r="H263" t="s">
        <v>606</v>
      </c>
      <c r="I263" t="s">
        <v>25</v>
      </c>
      <c r="J263" t="s">
        <v>27</v>
      </c>
      <c r="K263" s="78" t="str">
        <f t="shared" si="20"/>
        <v>ABRIL</v>
      </c>
      <c r="L263" s="78">
        <f t="shared" si="21"/>
        <v>2026</v>
      </c>
      <c r="O263" s="79"/>
    </row>
    <row r="264" spans="1:15" x14ac:dyDescent="0.25">
      <c r="A264" s="77">
        <v>46136</v>
      </c>
      <c r="B264" s="3" t="s">
        <v>718</v>
      </c>
      <c r="C264" t="s">
        <v>719</v>
      </c>
      <c r="D264" t="s">
        <v>21</v>
      </c>
      <c r="E264">
        <v>1</v>
      </c>
      <c r="F264">
        <v>5</v>
      </c>
      <c r="G264" s="78">
        <f t="shared" si="22"/>
        <v>5</v>
      </c>
      <c r="H264" t="s">
        <v>606</v>
      </c>
      <c r="J264" t="s">
        <v>27</v>
      </c>
      <c r="K264" s="78" t="str">
        <f t="shared" si="20"/>
        <v>ABRIL</v>
      </c>
      <c r="L264" s="78">
        <f t="shared" si="21"/>
        <v>2026</v>
      </c>
      <c r="O264" s="79"/>
    </row>
    <row r="265" spans="1:15" x14ac:dyDescent="0.25">
      <c r="A265" s="77">
        <v>46138</v>
      </c>
      <c r="B265" s="3" t="s">
        <v>697</v>
      </c>
      <c r="C265" t="s">
        <v>696</v>
      </c>
      <c r="D265" t="s">
        <v>23</v>
      </c>
      <c r="E265">
        <v>1</v>
      </c>
      <c r="F265">
        <v>1300</v>
      </c>
      <c r="G265" s="78">
        <f t="shared" si="22"/>
        <v>1300</v>
      </c>
      <c r="H265" t="s">
        <v>606</v>
      </c>
      <c r="I265" t="s">
        <v>698</v>
      </c>
      <c r="J265" t="s">
        <v>18</v>
      </c>
      <c r="K265" s="78" t="str">
        <f t="shared" si="20"/>
        <v>ABRIL</v>
      </c>
      <c r="L265" s="78">
        <f t="shared" si="21"/>
        <v>2026</v>
      </c>
      <c r="O265" s="79"/>
    </row>
    <row r="266" spans="1:15" x14ac:dyDescent="0.25">
      <c r="A266" s="77">
        <v>46138</v>
      </c>
      <c r="B266" s="3" t="s">
        <v>699</v>
      </c>
      <c r="C266" t="s">
        <v>700</v>
      </c>
      <c r="D266" t="s">
        <v>17</v>
      </c>
      <c r="E266">
        <v>1</v>
      </c>
      <c r="F266">
        <v>40</v>
      </c>
      <c r="G266" s="78">
        <f t="shared" si="22"/>
        <v>40</v>
      </c>
      <c r="H266" t="s">
        <v>606</v>
      </c>
      <c r="J266" t="s">
        <v>18</v>
      </c>
      <c r="K266" s="78" t="str">
        <f t="shared" si="20"/>
        <v>ABRIL</v>
      </c>
      <c r="L266" s="78">
        <f t="shared" si="21"/>
        <v>2026</v>
      </c>
      <c r="O266" s="79"/>
    </row>
    <row r="267" spans="1:15" x14ac:dyDescent="0.25">
      <c r="A267" s="77">
        <v>46139</v>
      </c>
      <c r="B267" s="3" t="s">
        <v>527</v>
      </c>
      <c r="C267" t="s">
        <v>701</v>
      </c>
      <c r="D267" t="s">
        <v>21</v>
      </c>
      <c r="E267">
        <v>1</v>
      </c>
      <c r="F267">
        <v>5</v>
      </c>
      <c r="G267" s="78">
        <f t="shared" si="22"/>
        <v>5</v>
      </c>
      <c r="H267" t="s">
        <v>606</v>
      </c>
      <c r="J267" t="s">
        <v>18</v>
      </c>
      <c r="K267" s="78" t="str">
        <f t="shared" si="20"/>
        <v>ABRIL</v>
      </c>
      <c r="L267" s="78">
        <f t="shared" si="21"/>
        <v>2026</v>
      </c>
      <c r="O267" s="79"/>
    </row>
    <row r="268" spans="1:15" x14ac:dyDescent="0.25">
      <c r="A268" s="77">
        <v>46139</v>
      </c>
      <c r="B268" s="3" t="s">
        <v>158</v>
      </c>
      <c r="D268" t="s">
        <v>70</v>
      </c>
      <c r="E268">
        <v>1</v>
      </c>
      <c r="F268">
        <v>10</v>
      </c>
      <c r="G268" s="78">
        <f t="shared" si="22"/>
        <v>10</v>
      </c>
      <c r="H268" t="s">
        <v>606</v>
      </c>
      <c r="J268" t="s">
        <v>18</v>
      </c>
      <c r="K268" s="78" t="str">
        <f t="shared" si="20"/>
        <v>ABRIL</v>
      </c>
      <c r="L268" s="78">
        <f t="shared" si="21"/>
        <v>2026</v>
      </c>
      <c r="O268" s="79"/>
    </row>
    <row r="269" spans="1:15" x14ac:dyDescent="0.25">
      <c r="A269" s="77">
        <v>46139</v>
      </c>
      <c r="B269" s="3" t="s">
        <v>17</v>
      </c>
      <c r="C269" t="s">
        <v>702</v>
      </c>
      <c r="D269" t="s">
        <v>17</v>
      </c>
      <c r="E269">
        <v>1</v>
      </c>
      <c r="F269">
        <v>75</v>
      </c>
      <c r="G269" s="78">
        <f t="shared" si="22"/>
        <v>75</v>
      </c>
      <c r="H269" t="s">
        <v>606</v>
      </c>
      <c r="J269" t="s">
        <v>18</v>
      </c>
      <c r="K269" s="78" t="str">
        <f t="shared" si="20"/>
        <v>ABRIL</v>
      </c>
      <c r="L269" s="78">
        <f t="shared" si="21"/>
        <v>2026</v>
      </c>
      <c r="O269" s="79"/>
    </row>
    <row r="270" spans="1:15" x14ac:dyDescent="0.25">
      <c r="A270" s="77">
        <v>46139</v>
      </c>
      <c r="B270" s="3" t="s">
        <v>720</v>
      </c>
      <c r="C270" t="s">
        <v>721</v>
      </c>
      <c r="D270" t="s">
        <v>17</v>
      </c>
      <c r="E270">
        <v>1</v>
      </c>
      <c r="F270">
        <v>150</v>
      </c>
      <c r="G270" s="78">
        <f t="shared" si="22"/>
        <v>150</v>
      </c>
      <c r="H270" t="s">
        <v>38</v>
      </c>
      <c r="J270" t="s">
        <v>27</v>
      </c>
      <c r="K270" s="78" t="str">
        <f t="shared" si="20"/>
        <v>ABRIL</v>
      </c>
      <c r="L270" s="78">
        <f t="shared" si="21"/>
        <v>2026</v>
      </c>
      <c r="O270" s="79"/>
    </row>
    <row r="271" spans="1:15" x14ac:dyDescent="0.25">
      <c r="A271" s="77">
        <v>46139</v>
      </c>
      <c r="B271" s="3" t="s">
        <v>25</v>
      </c>
      <c r="C271" t="s">
        <v>25</v>
      </c>
      <c r="D271" t="s">
        <v>70</v>
      </c>
      <c r="E271">
        <v>1</v>
      </c>
      <c r="F271">
        <v>160</v>
      </c>
      <c r="G271" s="78">
        <f t="shared" si="22"/>
        <v>160</v>
      </c>
      <c r="H271" t="s">
        <v>606</v>
      </c>
      <c r="I271" t="s">
        <v>25</v>
      </c>
      <c r="J271" t="s">
        <v>27</v>
      </c>
      <c r="K271" s="78" t="str">
        <f t="shared" si="20"/>
        <v>ABRIL</v>
      </c>
      <c r="L271" s="78">
        <f t="shared" si="21"/>
        <v>2026</v>
      </c>
      <c r="O271" s="79"/>
    </row>
    <row r="272" spans="1:15" x14ac:dyDescent="0.25">
      <c r="A272" s="77">
        <v>46139</v>
      </c>
      <c r="B272" s="3" t="s">
        <v>25</v>
      </c>
      <c r="C272" t="s">
        <v>25</v>
      </c>
      <c r="D272" t="s">
        <v>70</v>
      </c>
      <c r="E272">
        <v>1</v>
      </c>
      <c r="F272">
        <v>140</v>
      </c>
      <c r="G272" s="78">
        <f t="shared" si="22"/>
        <v>140</v>
      </c>
      <c r="H272" t="s">
        <v>606</v>
      </c>
      <c r="I272" t="s">
        <v>25</v>
      </c>
      <c r="J272" t="s">
        <v>27</v>
      </c>
      <c r="K272" s="78" t="str">
        <f t="shared" si="20"/>
        <v>ABRIL</v>
      </c>
      <c r="L272" s="78">
        <f t="shared" si="21"/>
        <v>2026</v>
      </c>
      <c r="O272" s="79"/>
    </row>
    <row r="273" spans="1:15" x14ac:dyDescent="0.25">
      <c r="A273" s="77">
        <v>46139</v>
      </c>
      <c r="B273" s="3" t="s">
        <v>25</v>
      </c>
      <c r="D273" t="s">
        <v>70</v>
      </c>
      <c r="E273">
        <v>1</v>
      </c>
      <c r="F273">
        <v>250</v>
      </c>
      <c r="G273" s="78">
        <f t="shared" si="22"/>
        <v>250</v>
      </c>
      <c r="H273" t="s">
        <v>38</v>
      </c>
      <c r="I273" t="s">
        <v>437</v>
      </c>
      <c r="J273" t="s">
        <v>27</v>
      </c>
      <c r="K273" s="78" t="str">
        <f t="shared" si="20"/>
        <v>ABRIL</v>
      </c>
      <c r="L273" s="78">
        <f t="shared" si="21"/>
        <v>2026</v>
      </c>
      <c r="O273" s="79"/>
    </row>
    <row r="274" spans="1:15" x14ac:dyDescent="0.25">
      <c r="A274" s="77">
        <v>46140</v>
      </c>
      <c r="B274" s="3" t="s">
        <v>722</v>
      </c>
      <c r="C274" t="s">
        <v>407</v>
      </c>
      <c r="D274" t="s">
        <v>21</v>
      </c>
      <c r="E274">
        <v>1</v>
      </c>
      <c r="F274">
        <v>5</v>
      </c>
      <c r="G274" s="78">
        <f t="shared" si="22"/>
        <v>5</v>
      </c>
      <c r="H274" t="s">
        <v>723</v>
      </c>
      <c r="J274" t="s">
        <v>27</v>
      </c>
      <c r="K274" s="78" t="str">
        <f t="shared" si="20"/>
        <v>ABRIL</v>
      </c>
      <c r="L274" s="78">
        <f t="shared" si="21"/>
        <v>2026</v>
      </c>
      <c r="O274" s="79"/>
    </row>
    <row r="275" spans="1:15" x14ac:dyDescent="0.25">
      <c r="A275" s="77">
        <v>46142</v>
      </c>
      <c r="B275" s="3" t="s">
        <v>647</v>
      </c>
      <c r="D275" t="s">
        <v>17</v>
      </c>
      <c r="E275">
        <v>1</v>
      </c>
      <c r="F275">
        <v>0.14000000000000001</v>
      </c>
      <c r="G275" s="78">
        <f t="shared" ref="G275:G286" si="23">E275*F275</f>
        <v>0.14000000000000001</v>
      </c>
      <c r="H275" t="s">
        <v>726</v>
      </c>
      <c r="J275" t="s">
        <v>83</v>
      </c>
      <c r="K275" s="78" t="str">
        <f t="shared" si="20"/>
        <v>ABRIL</v>
      </c>
      <c r="L275" s="78">
        <f t="shared" si="21"/>
        <v>2026</v>
      </c>
      <c r="O275" s="79"/>
    </row>
    <row r="276" spans="1:15" x14ac:dyDescent="0.25">
      <c r="A276" s="77">
        <v>46146</v>
      </c>
      <c r="B276" s="3" t="s">
        <v>724</v>
      </c>
      <c r="C276" t="s">
        <v>721</v>
      </c>
      <c r="D276" t="s">
        <v>17</v>
      </c>
      <c r="E276">
        <v>1</v>
      </c>
      <c r="F276">
        <v>100</v>
      </c>
      <c r="G276" s="78">
        <f t="shared" si="23"/>
        <v>100</v>
      </c>
      <c r="H276" t="s">
        <v>38</v>
      </c>
      <c r="J276" t="s">
        <v>27</v>
      </c>
      <c r="K276" s="78" t="str">
        <f t="shared" ref="K276:K286" si="24">UPPER(TEXT(A276,"MMMM"))</f>
        <v>MAYO</v>
      </c>
      <c r="L276" s="78">
        <f t="shared" ref="L276:L286" si="25">+YEAR(A276)</f>
        <v>2026</v>
      </c>
      <c r="O276" s="79"/>
    </row>
    <row r="277" spans="1:15" x14ac:dyDescent="0.25">
      <c r="A277" s="77">
        <v>46147</v>
      </c>
      <c r="B277" s="3" t="s">
        <v>206</v>
      </c>
      <c r="C277" t="s">
        <v>740</v>
      </c>
      <c r="D277" t="s">
        <v>17</v>
      </c>
      <c r="E277">
        <v>1</v>
      </c>
      <c r="F277">
        <v>115</v>
      </c>
      <c r="G277" s="78">
        <f t="shared" si="23"/>
        <v>115</v>
      </c>
      <c r="H277" t="s">
        <v>38</v>
      </c>
      <c r="J277" t="s">
        <v>83</v>
      </c>
      <c r="K277" s="78" t="str">
        <f t="shared" si="24"/>
        <v>MAYO</v>
      </c>
      <c r="L277" s="78">
        <f t="shared" si="25"/>
        <v>2026</v>
      </c>
      <c r="O277" s="79"/>
    </row>
    <row r="278" spans="1:15" x14ac:dyDescent="0.25">
      <c r="A278" s="72">
        <v>46149</v>
      </c>
      <c r="B278" s="3" t="s">
        <v>70</v>
      </c>
      <c r="D278" t="s">
        <v>70</v>
      </c>
      <c r="E278">
        <v>1</v>
      </c>
      <c r="F278">
        <v>4.5</v>
      </c>
      <c r="G278">
        <f t="shared" si="23"/>
        <v>4.5</v>
      </c>
      <c r="H278" t="s">
        <v>38</v>
      </c>
      <c r="J278" t="s">
        <v>18</v>
      </c>
      <c r="K278" t="str">
        <f t="shared" si="24"/>
        <v>MAYO</v>
      </c>
      <c r="L278">
        <f t="shared" si="25"/>
        <v>2026</v>
      </c>
    </row>
    <row r="279" spans="1:15" x14ac:dyDescent="0.25">
      <c r="A279" s="77">
        <v>46149</v>
      </c>
      <c r="B279" s="3" t="s">
        <v>727</v>
      </c>
      <c r="C279" t="s">
        <v>263</v>
      </c>
      <c r="D279" t="s">
        <v>17</v>
      </c>
      <c r="E279">
        <v>1</v>
      </c>
      <c r="F279">
        <v>50</v>
      </c>
      <c r="G279" s="78">
        <f t="shared" si="23"/>
        <v>50</v>
      </c>
      <c r="H279" t="s">
        <v>37</v>
      </c>
      <c r="J279" t="s">
        <v>18</v>
      </c>
      <c r="K279" s="78" t="str">
        <f t="shared" si="24"/>
        <v>MAYO</v>
      </c>
      <c r="L279" s="78">
        <f t="shared" si="25"/>
        <v>2026</v>
      </c>
      <c r="O279" s="79"/>
    </row>
    <row r="280" spans="1:15" x14ac:dyDescent="0.25">
      <c r="A280" s="77">
        <v>46149</v>
      </c>
      <c r="B280" s="3" t="s">
        <v>168</v>
      </c>
      <c r="C280" t="s">
        <v>739</v>
      </c>
      <c r="D280" t="s">
        <v>17</v>
      </c>
      <c r="E280">
        <v>1</v>
      </c>
      <c r="F280">
        <v>100</v>
      </c>
      <c r="G280" s="78">
        <f t="shared" si="23"/>
        <v>100</v>
      </c>
      <c r="H280" t="s">
        <v>38</v>
      </c>
      <c r="J280" t="s">
        <v>83</v>
      </c>
      <c r="K280" s="78" t="str">
        <f t="shared" si="24"/>
        <v>MAYO</v>
      </c>
      <c r="L280" s="78">
        <f t="shared" si="25"/>
        <v>2026</v>
      </c>
      <c r="O280" s="79"/>
    </row>
    <row r="281" spans="1:15" x14ac:dyDescent="0.25">
      <c r="A281" s="77">
        <v>46153</v>
      </c>
      <c r="B281" s="3" t="s">
        <v>78</v>
      </c>
      <c r="C281" t="s">
        <v>728</v>
      </c>
      <c r="D281" t="s">
        <v>17</v>
      </c>
      <c r="E281">
        <v>1</v>
      </c>
      <c r="F281">
        <v>30</v>
      </c>
      <c r="G281" s="78">
        <f t="shared" si="23"/>
        <v>30</v>
      </c>
      <c r="H281" t="s">
        <v>37</v>
      </c>
      <c r="J281" t="s">
        <v>18</v>
      </c>
      <c r="K281" s="78" t="str">
        <f t="shared" si="24"/>
        <v>MAYO</v>
      </c>
      <c r="L281" s="78">
        <f t="shared" si="25"/>
        <v>2026</v>
      </c>
      <c r="O281" s="79"/>
    </row>
    <row r="282" spans="1:15" x14ac:dyDescent="0.25">
      <c r="A282" s="77">
        <v>46153</v>
      </c>
      <c r="B282" s="3" t="s">
        <v>471</v>
      </c>
      <c r="D282" t="s">
        <v>70</v>
      </c>
      <c r="E282">
        <v>1</v>
      </c>
      <c r="F282">
        <v>3</v>
      </c>
      <c r="G282" s="78">
        <f t="shared" si="23"/>
        <v>3</v>
      </c>
      <c r="H282" t="s">
        <v>729</v>
      </c>
      <c r="J282" t="s">
        <v>18</v>
      </c>
      <c r="K282" s="78" t="str">
        <f t="shared" si="24"/>
        <v>MAYO</v>
      </c>
      <c r="L282" s="78">
        <f t="shared" si="25"/>
        <v>2026</v>
      </c>
      <c r="O282" s="79"/>
    </row>
    <row r="283" spans="1:15" x14ac:dyDescent="0.25">
      <c r="A283" s="77">
        <v>46153</v>
      </c>
      <c r="B283" s="3" t="s">
        <v>730</v>
      </c>
      <c r="C283" t="s">
        <v>127</v>
      </c>
      <c r="D283" t="s">
        <v>17</v>
      </c>
      <c r="E283">
        <v>1</v>
      </c>
      <c r="F283">
        <v>45</v>
      </c>
      <c r="G283" s="78">
        <f t="shared" si="23"/>
        <v>45</v>
      </c>
      <c r="H283" t="s">
        <v>38</v>
      </c>
      <c r="J283" t="s">
        <v>18</v>
      </c>
      <c r="K283" s="78" t="str">
        <f t="shared" si="24"/>
        <v>MAYO</v>
      </c>
      <c r="L283" s="78">
        <f t="shared" si="25"/>
        <v>2026</v>
      </c>
      <c r="O283" s="79"/>
    </row>
    <row r="284" spans="1:15" x14ac:dyDescent="0.25">
      <c r="A284" s="77">
        <v>46155</v>
      </c>
      <c r="B284" s="3" t="s">
        <v>78</v>
      </c>
      <c r="C284" t="s">
        <v>728</v>
      </c>
      <c r="D284" t="s">
        <v>17</v>
      </c>
      <c r="E284">
        <v>1</v>
      </c>
      <c r="F284">
        <v>20</v>
      </c>
      <c r="G284" s="78">
        <f t="shared" si="23"/>
        <v>20</v>
      </c>
      <c r="H284" t="s">
        <v>38</v>
      </c>
      <c r="J284" t="s">
        <v>18</v>
      </c>
      <c r="K284" s="78" t="str">
        <f t="shared" si="24"/>
        <v>MAYO</v>
      </c>
      <c r="L284" s="78">
        <f t="shared" si="25"/>
        <v>2026</v>
      </c>
      <c r="O284" s="79"/>
    </row>
    <row r="285" spans="1:15" x14ac:dyDescent="0.25">
      <c r="A285" s="77">
        <v>46157</v>
      </c>
      <c r="B285" s="3" t="s">
        <v>749</v>
      </c>
      <c r="C285" t="s">
        <v>750</v>
      </c>
      <c r="D285" t="s">
        <v>17</v>
      </c>
      <c r="E285">
        <v>1</v>
      </c>
      <c r="F285">
        <v>100</v>
      </c>
      <c r="G285" s="78">
        <f>E285*F285</f>
        <v>100</v>
      </c>
      <c r="H285" t="s">
        <v>37</v>
      </c>
      <c r="J285" t="s">
        <v>18</v>
      </c>
      <c r="K285" s="78" t="str">
        <f>UPPER(TEXT(A285,"MMMM"))</f>
        <v>MAYO</v>
      </c>
      <c r="L285" s="78">
        <f>+YEAR(A285)</f>
        <v>2026</v>
      </c>
      <c r="O285" s="79"/>
    </row>
    <row r="286" spans="1:15" x14ac:dyDescent="0.25">
      <c r="A286" s="77">
        <v>46156</v>
      </c>
      <c r="B286" s="3" t="s">
        <v>731</v>
      </c>
      <c r="C286" t="s">
        <v>732</v>
      </c>
      <c r="D286" t="s">
        <v>17</v>
      </c>
      <c r="E286">
        <v>1</v>
      </c>
      <c r="F286">
        <v>30</v>
      </c>
      <c r="G286" s="78">
        <f t="shared" si="23"/>
        <v>30</v>
      </c>
      <c r="H286" t="s">
        <v>38</v>
      </c>
      <c r="J286" t="s">
        <v>18</v>
      </c>
      <c r="K286" s="78" t="str">
        <f t="shared" si="24"/>
        <v>MAYO</v>
      </c>
      <c r="L286" s="78">
        <f t="shared" si="25"/>
        <v>2026</v>
      </c>
      <c r="O286" s="79"/>
    </row>
    <row r="287" spans="1:15" x14ac:dyDescent="0.25">
      <c r="A287" s="77">
        <v>46160</v>
      </c>
      <c r="B287" s="3" t="s">
        <v>741</v>
      </c>
      <c r="C287" t="s">
        <v>637</v>
      </c>
      <c r="D287" t="s">
        <v>70</v>
      </c>
      <c r="E287">
        <v>1</v>
      </c>
      <c r="F287">
        <v>300</v>
      </c>
      <c r="G287" s="78">
        <f t="shared" ref="G287:G295" si="26">E287*F287</f>
        <v>300</v>
      </c>
      <c r="H287" t="s">
        <v>38</v>
      </c>
      <c r="I287" t="s">
        <v>698</v>
      </c>
      <c r="J287" t="s">
        <v>18</v>
      </c>
      <c r="K287" s="78" t="str">
        <f t="shared" ref="K287:K295" si="27">UPPER(TEXT(A287,"MMMM"))</f>
        <v>MAYO</v>
      </c>
      <c r="L287" s="78">
        <f t="shared" ref="L287:L295" si="28">+YEAR(A287)</f>
        <v>2026</v>
      </c>
      <c r="O287" s="79"/>
    </row>
    <row r="288" spans="1:15" x14ac:dyDescent="0.25">
      <c r="A288" s="77">
        <v>46160</v>
      </c>
      <c r="B288" s="3" t="s">
        <v>654</v>
      </c>
      <c r="D288" t="s">
        <v>70</v>
      </c>
      <c r="E288">
        <v>1</v>
      </c>
      <c r="F288">
        <v>20</v>
      </c>
      <c r="G288" s="78">
        <f t="shared" si="26"/>
        <v>20</v>
      </c>
      <c r="H288" t="s">
        <v>38</v>
      </c>
      <c r="I288" t="s">
        <v>742</v>
      </c>
      <c r="J288" t="s">
        <v>18</v>
      </c>
      <c r="K288" s="78" t="str">
        <f t="shared" si="27"/>
        <v>MAYO</v>
      </c>
      <c r="L288" s="78">
        <f t="shared" si="28"/>
        <v>2026</v>
      </c>
      <c r="O288" s="79"/>
    </row>
    <row r="289" spans="1:15" x14ac:dyDescent="0.25">
      <c r="A289" s="77">
        <v>46161</v>
      </c>
      <c r="B289" s="3" t="s">
        <v>70</v>
      </c>
      <c r="D289" t="s">
        <v>70</v>
      </c>
      <c r="E289">
        <v>1</v>
      </c>
      <c r="F289">
        <v>3.5</v>
      </c>
      <c r="G289" s="78">
        <f t="shared" si="26"/>
        <v>3.5</v>
      </c>
      <c r="H289" t="s">
        <v>38</v>
      </c>
      <c r="J289" t="s">
        <v>18</v>
      </c>
      <c r="K289" s="78" t="str">
        <f t="shared" si="27"/>
        <v>MAYO</v>
      </c>
      <c r="L289" s="78">
        <f t="shared" si="28"/>
        <v>2026</v>
      </c>
      <c r="O289" s="79"/>
    </row>
    <row r="290" spans="1:15" x14ac:dyDescent="0.25">
      <c r="A290" s="77">
        <v>46162</v>
      </c>
      <c r="B290" s="3" t="s">
        <v>334</v>
      </c>
      <c r="C290" t="s">
        <v>263</v>
      </c>
      <c r="D290" t="s">
        <v>17</v>
      </c>
      <c r="E290">
        <v>1</v>
      </c>
      <c r="F290">
        <v>20</v>
      </c>
      <c r="G290" s="78">
        <f t="shared" si="26"/>
        <v>20</v>
      </c>
      <c r="H290" t="s">
        <v>38</v>
      </c>
      <c r="J290" t="s">
        <v>18</v>
      </c>
      <c r="K290" s="78" t="str">
        <f t="shared" si="27"/>
        <v>MAYO</v>
      </c>
      <c r="L290" s="78">
        <f t="shared" si="28"/>
        <v>2026</v>
      </c>
      <c r="O290" s="79"/>
    </row>
    <row r="291" spans="1:15" x14ac:dyDescent="0.25">
      <c r="A291" s="77">
        <v>46163</v>
      </c>
      <c r="B291" s="3" t="s">
        <v>600</v>
      </c>
      <c r="C291" t="s">
        <v>743</v>
      </c>
      <c r="D291" t="s">
        <v>17</v>
      </c>
      <c r="E291">
        <v>1</v>
      </c>
      <c r="F291">
        <v>80</v>
      </c>
      <c r="G291" s="78">
        <f t="shared" si="26"/>
        <v>80</v>
      </c>
      <c r="H291" t="s">
        <v>37</v>
      </c>
      <c r="J291" t="s">
        <v>18</v>
      </c>
      <c r="K291" s="78" t="str">
        <f t="shared" si="27"/>
        <v>MAYO</v>
      </c>
      <c r="L291" s="78">
        <f t="shared" si="28"/>
        <v>2026</v>
      </c>
      <c r="O291" s="79"/>
    </row>
    <row r="292" spans="1:15" x14ac:dyDescent="0.25">
      <c r="A292" s="77">
        <v>46163</v>
      </c>
      <c r="B292" s="3" t="s">
        <v>607</v>
      </c>
      <c r="C292" t="s">
        <v>269</v>
      </c>
      <c r="D292" t="s">
        <v>17</v>
      </c>
      <c r="E292">
        <v>1</v>
      </c>
      <c r="F292">
        <v>50</v>
      </c>
      <c r="G292" s="78">
        <f t="shared" si="26"/>
        <v>50</v>
      </c>
      <c r="H292" t="s">
        <v>38</v>
      </c>
      <c r="J292" t="s">
        <v>18</v>
      </c>
      <c r="K292" s="78" t="str">
        <f t="shared" si="27"/>
        <v>MAYO</v>
      </c>
      <c r="L292" s="78">
        <f t="shared" si="28"/>
        <v>2026</v>
      </c>
      <c r="O292" s="79"/>
    </row>
    <row r="293" spans="1:15" x14ac:dyDescent="0.25">
      <c r="A293" s="77">
        <v>46163</v>
      </c>
      <c r="B293" s="3" t="s">
        <v>70</v>
      </c>
      <c r="D293" t="s">
        <v>70</v>
      </c>
      <c r="E293">
        <v>1</v>
      </c>
      <c r="F293">
        <v>0.5</v>
      </c>
      <c r="G293" s="78">
        <f t="shared" si="26"/>
        <v>0.5</v>
      </c>
      <c r="H293" t="s">
        <v>38</v>
      </c>
      <c r="J293" t="s">
        <v>18</v>
      </c>
      <c r="K293" s="78" t="str">
        <f t="shared" si="27"/>
        <v>MAYO</v>
      </c>
      <c r="L293" s="78">
        <f t="shared" si="28"/>
        <v>2026</v>
      </c>
      <c r="O293" s="79"/>
    </row>
    <row r="294" spans="1:15" x14ac:dyDescent="0.25">
      <c r="A294" s="77">
        <v>46164</v>
      </c>
      <c r="B294" s="3" t="s">
        <v>749</v>
      </c>
      <c r="C294" t="s">
        <v>750</v>
      </c>
      <c r="D294" t="s">
        <v>17</v>
      </c>
      <c r="E294">
        <v>1</v>
      </c>
      <c r="F294">
        <v>180</v>
      </c>
      <c r="G294" s="78">
        <f t="shared" si="26"/>
        <v>180</v>
      </c>
      <c r="H294" t="s">
        <v>38</v>
      </c>
      <c r="J294" t="s">
        <v>18</v>
      </c>
      <c r="K294" s="78" t="str">
        <f t="shared" si="27"/>
        <v>MAYO</v>
      </c>
      <c r="L294" s="78">
        <f t="shared" si="28"/>
        <v>2026</v>
      </c>
      <c r="O294" s="79"/>
    </row>
    <row r="295" spans="1:15" x14ac:dyDescent="0.25">
      <c r="A295" s="77">
        <v>46164</v>
      </c>
      <c r="B295" s="3" t="s">
        <v>471</v>
      </c>
      <c r="D295" t="s">
        <v>70</v>
      </c>
      <c r="E295">
        <v>1</v>
      </c>
      <c r="F295">
        <v>1</v>
      </c>
      <c r="G295" s="78">
        <f t="shared" si="26"/>
        <v>1</v>
      </c>
      <c r="H295" t="s">
        <v>38</v>
      </c>
      <c r="J295" t="s">
        <v>18</v>
      </c>
      <c r="K295" s="78" t="str">
        <f t="shared" si="27"/>
        <v>MAYO</v>
      </c>
      <c r="L295" s="78">
        <f t="shared" si="28"/>
        <v>2026</v>
      </c>
      <c r="O295" s="79"/>
    </row>
    <row r="296" spans="1:15" x14ac:dyDescent="0.25">
      <c r="A296" s="77">
        <v>46157</v>
      </c>
      <c r="B296" s="3" t="s">
        <v>25</v>
      </c>
      <c r="D296" t="s">
        <v>17</v>
      </c>
      <c r="E296">
        <v>1</v>
      </c>
      <c r="F296">
        <v>500</v>
      </c>
      <c r="G296" s="78">
        <f t="shared" ref="G296:G300" si="29">E296*F296</f>
        <v>500</v>
      </c>
      <c r="H296" t="s">
        <v>38</v>
      </c>
      <c r="I296" t="s">
        <v>25</v>
      </c>
      <c r="J296" t="s">
        <v>27</v>
      </c>
      <c r="K296" s="78" t="str">
        <f t="shared" ref="K296:K300" si="30">UPPER(TEXT(A296,"MMMM"))</f>
        <v>MAYO</v>
      </c>
      <c r="L296" s="78">
        <f t="shared" ref="L296:L300" si="31">+YEAR(A296)</f>
        <v>2026</v>
      </c>
      <c r="O296" s="79"/>
    </row>
    <row r="297" spans="1:15" x14ac:dyDescent="0.25">
      <c r="A297" s="77">
        <v>46160</v>
      </c>
      <c r="B297" s="3" t="s">
        <v>25</v>
      </c>
      <c r="D297" t="s">
        <v>17</v>
      </c>
      <c r="E297">
        <v>1</v>
      </c>
      <c r="F297">
        <v>200</v>
      </c>
      <c r="G297" s="78">
        <f t="shared" si="29"/>
        <v>200</v>
      </c>
      <c r="H297" t="s">
        <v>38</v>
      </c>
      <c r="I297" t="s">
        <v>25</v>
      </c>
      <c r="J297" t="s">
        <v>27</v>
      </c>
      <c r="K297" s="78" t="str">
        <f t="shared" si="30"/>
        <v>MAYO</v>
      </c>
      <c r="L297" s="78">
        <f t="shared" si="31"/>
        <v>2026</v>
      </c>
      <c r="O297" s="79"/>
    </row>
    <row r="298" spans="1:15" x14ac:dyDescent="0.25">
      <c r="A298" s="77">
        <v>46160</v>
      </c>
      <c r="B298" s="3" t="s">
        <v>25</v>
      </c>
      <c r="D298" t="s">
        <v>17</v>
      </c>
      <c r="E298">
        <v>1</v>
      </c>
      <c r="F298">
        <v>140</v>
      </c>
      <c r="G298" s="78">
        <f t="shared" si="29"/>
        <v>140</v>
      </c>
      <c r="H298" t="s">
        <v>38</v>
      </c>
      <c r="I298" t="s">
        <v>25</v>
      </c>
      <c r="J298" t="s">
        <v>27</v>
      </c>
      <c r="K298" s="78" t="str">
        <f t="shared" si="30"/>
        <v>MAYO</v>
      </c>
      <c r="L298" s="78">
        <f t="shared" si="31"/>
        <v>2026</v>
      </c>
      <c r="O298" s="79"/>
    </row>
    <row r="299" spans="1:15" x14ac:dyDescent="0.25">
      <c r="A299" s="77">
        <v>46160</v>
      </c>
      <c r="B299" s="3" t="s">
        <v>25</v>
      </c>
      <c r="D299" t="s">
        <v>17</v>
      </c>
      <c r="E299">
        <v>1</v>
      </c>
      <c r="F299">
        <v>200</v>
      </c>
      <c r="G299" s="78">
        <f t="shared" si="29"/>
        <v>200</v>
      </c>
      <c r="H299" t="s">
        <v>38</v>
      </c>
      <c r="I299" t="s">
        <v>25</v>
      </c>
      <c r="J299" t="s">
        <v>27</v>
      </c>
      <c r="K299" s="78" t="str">
        <f t="shared" si="30"/>
        <v>MAYO</v>
      </c>
      <c r="L299" s="78">
        <f t="shared" si="31"/>
        <v>2026</v>
      </c>
      <c r="O299" s="79"/>
    </row>
    <row r="300" spans="1:15" x14ac:dyDescent="0.25">
      <c r="A300" s="77">
        <v>46162</v>
      </c>
      <c r="B300" s="3" t="s">
        <v>25</v>
      </c>
      <c r="D300" t="s">
        <v>17</v>
      </c>
      <c r="E300">
        <v>1</v>
      </c>
      <c r="F300">
        <v>50</v>
      </c>
      <c r="G300" s="78">
        <f t="shared" si="29"/>
        <v>50</v>
      </c>
      <c r="H300" t="s">
        <v>38</v>
      </c>
      <c r="I300" t="s">
        <v>25</v>
      </c>
      <c r="J300" t="s">
        <v>27</v>
      </c>
      <c r="K300" s="78" t="str">
        <f t="shared" si="30"/>
        <v>MAYO</v>
      </c>
      <c r="L300" s="78">
        <f t="shared" si="31"/>
        <v>2026</v>
      </c>
      <c r="O300" s="79"/>
    </row>
    <row r="301" spans="1:15" x14ac:dyDescent="0.25">
      <c r="A301" s="77">
        <v>46164</v>
      </c>
      <c r="B301" s="3" t="s">
        <v>25</v>
      </c>
      <c r="D301" t="s">
        <v>17</v>
      </c>
      <c r="E301">
        <v>1</v>
      </c>
      <c r="F301">
        <v>200</v>
      </c>
      <c r="G301" s="78">
        <f t="shared" ref="G301:G302" si="32">E301*F301</f>
        <v>200</v>
      </c>
      <c r="H301" t="s">
        <v>38</v>
      </c>
      <c r="I301" t="s">
        <v>25</v>
      </c>
      <c r="J301" t="s">
        <v>27</v>
      </c>
      <c r="K301" s="78" t="str">
        <f t="shared" ref="K301:K302" si="33">UPPER(TEXT(A301,"MMMM"))</f>
        <v>MAYO</v>
      </c>
      <c r="L301" s="78">
        <f t="shared" ref="L301:L302" si="34">+YEAR(A301)</f>
        <v>2026</v>
      </c>
      <c r="O301" s="79"/>
    </row>
    <row r="302" spans="1:15" x14ac:dyDescent="0.25">
      <c r="A302" s="77">
        <v>46164</v>
      </c>
      <c r="B302" s="3" t="s">
        <v>25</v>
      </c>
      <c r="D302" t="s">
        <v>17</v>
      </c>
      <c r="E302">
        <v>1</v>
      </c>
      <c r="F302">
        <v>41</v>
      </c>
      <c r="G302" s="78">
        <f t="shared" si="32"/>
        <v>41</v>
      </c>
      <c r="H302" t="s">
        <v>38</v>
      </c>
      <c r="I302" t="s">
        <v>25</v>
      </c>
      <c r="J302" t="s">
        <v>27</v>
      </c>
      <c r="K302" s="78" t="str">
        <f t="shared" si="33"/>
        <v>MAYO</v>
      </c>
      <c r="L302" s="78">
        <f t="shared" si="34"/>
        <v>2026</v>
      </c>
      <c r="O302" s="79"/>
    </row>
    <row r="303" spans="1:15" x14ac:dyDescent="0.25">
      <c r="A303" s="77">
        <v>46168</v>
      </c>
      <c r="B303" s="3" t="s">
        <v>459</v>
      </c>
      <c r="D303" t="s">
        <v>17</v>
      </c>
      <c r="E303">
        <v>1</v>
      </c>
      <c r="F303">
        <v>60</v>
      </c>
      <c r="G303" s="78">
        <f t="shared" ref="G303:G308" si="35">E303*F303</f>
        <v>60</v>
      </c>
      <c r="H303" t="s">
        <v>38</v>
      </c>
      <c r="I303" t="s">
        <v>459</v>
      </c>
      <c r="J303" t="s">
        <v>27</v>
      </c>
      <c r="K303" s="78" t="str">
        <f t="shared" ref="K303:K308" si="36">UPPER(TEXT(A303,"MMMM"))</f>
        <v>MAYO</v>
      </c>
      <c r="L303" s="78">
        <f t="shared" ref="L303:L308" si="37">+YEAR(A303)</f>
        <v>2026</v>
      </c>
      <c r="O303" s="79"/>
    </row>
    <row r="304" spans="1:15" x14ac:dyDescent="0.25">
      <c r="A304" s="77">
        <v>46168</v>
      </c>
      <c r="B304" s="3" t="s">
        <v>459</v>
      </c>
      <c r="D304" t="s">
        <v>17</v>
      </c>
      <c r="E304">
        <v>1</v>
      </c>
      <c r="F304">
        <v>30</v>
      </c>
      <c r="G304" s="78">
        <f t="shared" si="35"/>
        <v>30</v>
      </c>
      <c r="H304" t="s">
        <v>38</v>
      </c>
      <c r="I304" t="s">
        <v>459</v>
      </c>
      <c r="J304" t="s">
        <v>27</v>
      </c>
      <c r="K304" s="78" t="str">
        <f t="shared" si="36"/>
        <v>MAYO</v>
      </c>
      <c r="L304" s="78">
        <f t="shared" si="37"/>
        <v>2026</v>
      </c>
      <c r="O304" s="79"/>
    </row>
    <row r="305" spans="1:15" x14ac:dyDescent="0.25">
      <c r="A305" s="77">
        <v>46168</v>
      </c>
      <c r="B305" s="3" t="s">
        <v>752</v>
      </c>
      <c r="C305" t="s">
        <v>743</v>
      </c>
      <c r="D305" t="s">
        <v>17</v>
      </c>
      <c r="E305">
        <v>1</v>
      </c>
      <c r="F305">
        <v>130</v>
      </c>
      <c r="G305" s="78">
        <f t="shared" si="35"/>
        <v>130</v>
      </c>
      <c r="H305" t="s">
        <v>38</v>
      </c>
      <c r="J305" t="s">
        <v>27</v>
      </c>
      <c r="K305" s="78" t="str">
        <f t="shared" si="36"/>
        <v>MAYO</v>
      </c>
      <c r="L305" s="78">
        <f t="shared" si="37"/>
        <v>2026</v>
      </c>
      <c r="O305" s="79"/>
    </row>
    <row r="306" spans="1:15" x14ac:dyDescent="0.25">
      <c r="A306" s="77">
        <v>46171</v>
      </c>
      <c r="B306" s="3" t="s">
        <v>717</v>
      </c>
      <c r="D306" t="s">
        <v>26</v>
      </c>
      <c r="E306">
        <v>1</v>
      </c>
      <c r="F306">
        <v>15</v>
      </c>
      <c r="G306" s="78">
        <f t="shared" si="35"/>
        <v>15</v>
      </c>
      <c r="H306" t="s">
        <v>38</v>
      </c>
      <c r="I306" t="s">
        <v>436</v>
      </c>
      <c r="J306" t="s">
        <v>18</v>
      </c>
      <c r="K306" s="78" t="str">
        <f t="shared" si="36"/>
        <v>MAYO</v>
      </c>
      <c r="L306" s="78">
        <f t="shared" si="37"/>
        <v>2026</v>
      </c>
      <c r="O306" s="79"/>
    </row>
    <row r="307" spans="1:15" x14ac:dyDescent="0.25">
      <c r="A307" s="77">
        <v>46174</v>
      </c>
      <c r="B307" s="3" t="s">
        <v>764</v>
      </c>
      <c r="C307" t="s">
        <v>765</v>
      </c>
      <c r="D307" t="s">
        <v>17</v>
      </c>
      <c r="E307">
        <v>1</v>
      </c>
      <c r="F307">
        <v>25</v>
      </c>
      <c r="G307" s="78">
        <f t="shared" si="35"/>
        <v>25</v>
      </c>
      <c r="H307" t="s">
        <v>37</v>
      </c>
      <c r="J307" t="s">
        <v>18</v>
      </c>
      <c r="K307" s="78" t="str">
        <f t="shared" si="36"/>
        <v>JUNIO</v>
      </c>
      <c r="L307" s="78">
        <f t="shared" si="37"/>
        <v>2026</v>
      </c>
      <c r="O307" s="79"/>
    </row>
    <row r="308" spans="1:15" x14ac:dyDescent="0.25">
      <c r="A308" s="77">
        <v>46174</v>
      </c>
      <c r="B308" s="3" t="s">
        <v>766</v>
      </c>
      <c r="C308" t="s">
        <v>767</v>
      </c>
      <c r="D308" t="s">
        <v>17</v>
      </c>
      <c r="E308">
        <v>1</v>
      </c>
      <c r="F308">
        <v>20</v>
      </c>
      <c r="G308" s="78">
        <f t="shared" si="35"/>
        <v>20</v>
      </c>
      <c r="H308" t="s">
        <v>37</v>
      </c>
      <c r="J308" t="s">
        <v>18</v>
      </c>
      <c r="K308" s="78" t="str">
        <f t="shared" si="36"/>
        <v>JUNIO</v>
      </c>
      <c r="L308" s="78">
        <f t="shared" si="37"/>
        <v>2026</v>
      </c>
      <c r="O308" s="79"/>
    </row>
    <row r="309" spans="1:15" x14ac:dyDescent="0.25">
      <c r="A309" s="77">
        <v>46174</v>
      </c>
      <c r="B309" s="3" t="s">
        <v>768</v>
      </c>
      <c r="C309" t="s">
        <v>769</v>
      </c>
      <c r="D309" t="s">
        <v>17</v>
      </c>
      <c r="E309">
        <v>1</v>
      </c>
      <c r="F309">
        <v>150</v>
      </c>
      <c r="G309" s="78">
        <f t="shared" ref="G309:G313" si="38">E309*F309</f>
        <v>150</v>
      </c>
      <c r="H309" t="s">
        <v>37</v>
      </c>
      <c r="I309" t="s">
        <v>770</v>
      </c>
      <c r="J309" t="s">
        <v>18</v>
      </c>
      <c r="K309" s="78" t="str">
        <f t="shared" ref="K309:K313" si="39">UPPER(TEXT(A309,"MMMM"))</f>
        <v>JUNIO</v>
      </c>
      <c r="L309" s="78">
        <f t="shared" ref="L309:L313" si="40">+YEAR(A309)</f>
        <v>2026</v>
      </c>
      <c r="O309" s="79"/>
    </row>
    <row r="310" spans="1:15" x14ac:dyDescent="0.25">
      <c r="A310" s="77">
        <v>46174</v>
      </c>
      <c r="B310" s="3" t="s">
        <v>771</v>
      </c>
      <c r="C310" t="s">
        <v>772</v>
      </c>
      <c r="D310" t="s">
        <v>70</v>
      </c>
      <c r="E310">
        <v>1</v>
      </c>
      <c r="F310">
        <v>12</v>
      </c>
      <c r="G310" s="78">
        <f t="shared" si="38"/>
        <v>12</v>
      </c>
      <c r="H310" t="s">
        <v>37</v>
      </c>
      <c r="I310" t="s">
        <v>158</v>
      </c>
      <c r="J310" t="s">
        <v>18</v>
      </c>
      <c r="K310" s="78" t="str">
        <f t="shared" si="39"/>
        <v>JUNIO</v>
      </c>
      <c r="L310" s="78">
        <f t="shared" si="40"/>
        <v>2026</v>
      </c>
      <c r="O310" s="79"/>
    </row>
    <row r="311" spans="1:15" x14ac:dyDescent="0.25">
      <c r="A311" s="77">
        <v>46175</v>
      </c>
      <c r="B311" s="3" t="s">
        <v>766</v>
      </c>
      <c r="C311" t="s">
        <v>767</v>
      </c>
      <c r="D311" t="s">
        <v>17</v>
      </c>
      <c r="E311">
        <v>1</v>
      </c>
      <c r="F311">
        <v>25</v>
      </c>
      <c r="G311" s="78">
        <f t="shared" si="38"/>
        <v>25</v>
      </c>
      <c r="H311" t="s">
        <v>606</v>
      </c>
      <c r="J311" t="s">
        <v>18</v>
      </c>
      <c r="K311" s="78" t="str">
        <f t="shared" si="39"/>
        <v>JUNIO</v>
      </c>
      <c r="L311" s="78">
        <f t="shared" si="40"/>
        <v>2026</v>
      </c>
      <c r="O311" s="79"/>
    </row>
    <row r="312" spans="1:15" x14ac:dyDescent="0.25">
      <c r="A312" s="77">
        <v>46177</v>
      </c>
      <c r="B312" s="3" t="s">
        <v>774</v>
      </c>
      <c r="C312" t="s">
        <v>775</v>
      </c>
      <c r="D312" t="s">
        <v>17</v>
      </c>
      <c r="E312">
        <v>1</v>
      </c>
      <c r="F312">
        <v>25</v>
      </c>
      <c r="G312" s="78">
        <f t="shared" si="38"/>
        <v>25</v>
      </c>
      <c r="H312" t="s">
        <v>606</v>
      </c>
      <c r="J312" t="s">
        <v>18</v>
      </c>
      <c r="K312" s="78" t="str">
        <f t="shared" si="39"/>
        <v>JUNIO</v>
      </c>
      <c r="L312" s="78">
        <f t="shared" si="40"/>
        <v>2026</v>
      </c>
      <c r="O312" s="79"/>
    </row>
    <row r="313" spans="1:15" x14ac:dyDescent="0.25">
      <c r="A313" s="77">
        <v>46177</v>
      </c>
      <c r="B313" s="3" t="s">
        <v>70</v>
      </c>
      <c r="D313" t="s">
        <v>70</v>
      </c>
      <c r="E313">
        <v>1</v>
      </c>
      <c r="F313">
        <v>0.5</v>
      </c>
      <c r="G313" s="78">
        <f t="shared" si="38"/>
        <v>0.5</v>
      </c>
      <c r="H313" t="s">
        <v>606</v>
      </c>
      <c r="J313" t="s">
        <v>18</v>
      </c>
      <c r="K313" s="78" t="str">
        <f t="shared" si="39"/>
        <v>JUNIO</v>
      </c>
      <c r="L313" s="78">
        <f t="shared" si="40"/>
        <v>2026</v>
      </c>
      <c r="O313" s="79"/>
    </row>
    <row r="314" spans="1:15" x14ac:dyDescent="0.25">
      <c r="A314" s="77">
        <v>46177</v>
      </c>
      <c r="B314" s="3" t="s">
        <v>776</v>
      </c>
      <c r="C314" t="s">
        <v>258</v>
      </c>
      <c r="D314" t="s">
        <v>17</v>
      </c>
      <c r="E314">
        <v>1</v>
      </c>
      <c r="F314">
        <v>40</v>
      </c>
      <c r="G314" s="78">
        <f t="shared" ref="G314:G316" si="41">E314*F314</f>
        <v>40</v>
      </c>
      <c r="H314" t="s">
        <v>37</v>
      </c>
      <c r="J314" t="s">
        <v>18</v>
      </c>
      <c r="K314" s="78" t="str">
        <f t="shared" ref="K314:K316" si="42">UPPER(TEXT(A314,"MMMM"))</f>
        <v>JUNIO</v>
      </c>
      <c r="L314" s="78">
        <f t="shared" ref="L314:L316" si="43">+YEAR(A314)</f>
        <v>2026</v>
      </c>
      <c r="O314" s="79"/>
    </row>
    <row r="315" spans="1:15" x14ac:dyDescent="0.25">
      <c r="A315" s="77">
        <v>46177</v>
      </c>
      <c r="B315" s="3" t="s">
        <v>105</v>
      </c>
      <c r="C315" t="s">
        <v>13</v>
      </c>
      <c r="D315" t="s">
        <v>17</v>
      </c>
      <c r="E315">
        <v>1</v>
      </c>
      <c r="F315">
        <v>45</v>
      </c>
      <c r="G315" s="78">
        <f t="shared" si="41"/>
        <v>45</v>
      </c>
      <c r="H315" t="s">
        <v>606</v>
      </c>
      <c r="J315" t="s">
        <v>18</v>
      </c>
      <c r="K315" s="78" t="str">
        <f t="shared" si="42"/>
        <v>JUNIO</v>
      </c>
      <c r="L315" s="78">
        <f t="shared" si="43"/>
        <v>2026</v>
      </c>
      <c r="O315" s="79"/>
    </row>
    <row r="316" spans="1:15" x14ac:dyDescent="0.25">
      <c r="A316" s="77">
        <v>46177</v>
      </c>
      <c r="B316" s="3"/>
      <c r="G316" s="78">
        <f t="shared" si="41"/>
        <v>0</v>
      </c>
      <c r="K316" s="78" t="str">
        <f t="shared" si="42"/>
        <v>JUNIO</v>
      </c>
      <c r="L316" s="78">
        <f t="shared" si="43"/>
        <v>2026</v>
      </c>
      <c r="O316" s="79"/>
    </row>
  </sheetData>
  <mergeCells count="2">
    <mergeCell ref="A1:D1"/>
    <mergeCell ref="E1:M1"/>
  </mergeCells>
  <pageMargins left="0.7" right="0.7" top="0.75" bottom="0.75" header="0.3" footer="0.3"/>
  <pageSetup paperSize="9" scale="58" fitToHeight="0" orientation="landscape" horizontalDpi="0" verticalDpi="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C4D0EF3-7244-448A-9D66-3613C08AE958}">
          <x14:formula1>
            <xm:f>'CUENTAS CONTABLES'!$A$5:$A$7</xm:f>
          </x14:formula1>
          <xm:sqref>H46:H49 H4:H41</xm:sqref>
        </x14:dataValidation>
        <x14:dataValidation type="list" allowBlank="1" showInputMessage="1" showErrorMessage="1" xr:uid="{7B18A19A-50C2-4B42-ABF8-9CE8FF886D3B}">
          <x14:formula1>
            <xm:f>'CUENTAS CONTABLES'!$G$5:$G$11</xm:f>
          </x14:formula1>
          <xm:sqref>J4:J90</xm:sqref>
        </x14:dataValidation>
        <x14:dataValidation type="list" allowBlank="1" showInputMessage="1" showErrorMessage="1" xr:uid="{2A99EBE5-CAEF-4186-B1E4-BD03C6CAFCFD}">
          <x14:formula1>
            <xm:f>'CUENTAS CONTABLES'!$G$5:$G$14</xm:f>
          </x14:formula1>
          <xm:sqref>J91:J110</xm:sqref>
        </x14:dataValidation>
        <x14:dataValidation type="list" allowBlank="1" showInputMessage="1" showErrorMessage="1" xr:uid="{39171D55-2916-4F59-8031-3E7FE013C873}">
          <x14:formula1>
            <xm:f>'CUENTAS CONTABLES'!$E$5:$E$10</xm:f>
          </x14:formula1>
          <xm:sqref>D4:D316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9F279-1602-47A3-9742-752D431C92E6}">
  <dimension ref="A1:M387"/>
  <sheetViews>
    <sheetView tabSelected="1" topLeftCell="A39" workbookViewId="0">
      <selection activeCell="G234" sqref="G234"/>
    </sheetView>
  </sheetViews>
  <sheetFormatPr baseColWidth="10" defaultRowHeight="15" x14ac:dyDescent="0.25"/>
  <cols>
    <col min="2" max="2" width="16" customWidth="1"/>
    <col min="3" max="3" width="27.140625" customWidth="1"/>
    <col min="4" max="4" width="11.7109375" customWidth="1"/>
    <col min="6" max="6" width="20" customWidth="1"/>
    <col min="7" max="7" width="24.85546875" customWidth="1"/>
    <col min="8" max="8" width="17.7109375" customWidth="1"/>
    <col min="10" max="10" width="12.140625" customWidth="1"/>
    <col min="11" max="11" width="17.5703125" customWidth="1"/>
  </cols>
  <sheetData>
    <row r="1" spans="1:13" ht="35.450000000000003" customHeight="1" x14ac:dyDescent="0.25">
      <c r="A1" s="80"/>
      <c r="B1" s="80"/>
      <c r="C1" s="80"/>
      <c r="D1" s="80"/>
      <c r="E1" s="80"/>
      <c r="F1" s="80"/>
      <c r="G1" s="82" t="s">
        <v>60</v>
      </c>
      <c r="H1" s="82"/>
      <c r="I1" s="82"/>
      <c r="J1" s="82"/>
      <c r="K1" s="82"/>
      <c r="L1" s="82"/>
      <c r="M1" s="82"/>
    </row>
    <row r="3" spans="1:13" x14ac:dyDescent="0.25">
      <c r="A3" s="11" t="s">
        <v>1</v>
      </c>
      <c r="B3" s="11" t="s">
        <v>2</v>
      </c>
      <c r="C3" s="11" t="s">
        <v>61</v>
      </c>
      <c r="D3" s="11" t="s">
        <v>3</v>
      </c>
      <c r="E3" s="11" t="s">
        <v>4</v>
      </c>
      <c r="F3" s="11" t="s">
        <v>57</v>
      </c>
      <c r="G3" s="11" t="s">
        <v>58</v>
      </c>
      <c r="H3" s="11" t="s">
        <v>59</v>
      </c>
      <c r="I3" s="11" t="s">
        <v>7</v>
      </c>
      <c r="J3" s="11" t="s">
        <v>8</v>
      </c>
      <c r="K3" s="11" t="s">
        <v>10</v>
      </c>
      <c r="L3" s="11" t="s">
        <v>90</v>
      </c>
    </row>
    <row r="4" spans="1:13" x14ac:dyDescent="0.25">
      <c r="A4" s="12">
        <v>45365</v>
      </c>
      <c r="B4" s="68" t="s">
        <v>33</v>
      </c>
      <c r="C4" s="13" t="s">
        <v>66</v>
      </c>
      <c r="D4" s="14">
        <v>1</v>
      </c>
      <c r="E4" s="15">
        <v>10</v>
      </c>
      <c r="F4" s="15">
        <f>Tabla8[[#This Row],[CANTIDAD]]*Tabla8[[#This Row],[PRECIO]]</f>
        <v>10</v>
      </c>
      <c r="G4" s="13" t="s">
        <v>669</v>
      </c>
      <c r="H4" s="13"/>
      <c r="I4" s="13" t="str">
        <f t="shared" ref="I4:I35" si="0">UPPER(TEXT(A4,"MMMM"))</f>
        <v>MARZO</v>
      </c>
      <c r="J4" s="13">
        <f t="shared" ref="J4:J35" si="1">+YEAR(A4)</f>
        <v>2024</v>
      </c>
      <c r="K4" s="13" t="s">
        <v>83</v>
      </c>
      <c r="L4" s="13"/>
    </row>
    <row r="5" spans="1:13" x14ac:dyDescent="0.25">
      <c r="A5" s="12">
        <v>45761</v>
      </c>
      <c r="B5" s="68" t="s">
        <v>16</v>
      </c>
      <c r="C5" s="13" t="s">
        <v>66</v>
      </c>
      <c r="D5" s="14">
        <v>1</v>
      </c>
      <c r="E5" s="15">
        <v>63.94</v>
      </c>
      <c r="F5" s="15">
        <f>Tabla8[[#This Row],[CANTIDAD]]*Tabla8[[#This Row],[PRECIO]]</f>
        <v>63.94</v>
      </c>
      <c r="G5" s="13" t="s">
        <v>389</v>
      </c>
      <c r="H5" s="13"/>
      <c r="I5" s="13" t="str">
        <f t="shared" si="0"/>
        <v>ABRIL</v>
      </c>
      <c r="J5" s="13">
        <f t="shared" si="1"/>
        <v>2025</v>
      </c>
      <c r="K5" s="13" t="s">
        <v>27</v>
      </c>
      <c r="L5" s="13"/>
    </row>
    <row r="6" spans="1:13" x14ac:dyDescent="0.25">
      <c r="A6" s="12">
        <v>46027</v>
      </c>
      <c r="B6" s="12" t="s">
        <v>22</v>
      </c>
      <c r="C6" s="13" t="s">
        <v>72</v>
      </c>
      <c r="D6" s="14">
        <v>1</v>
      </c>
      <c r="E6" s="15">
        <v>7.3</v>
      </c>
      <c r="F6" s="15">
        <f>Tabla8[[#This Row],[CANTIDAD]]*Tabla8[[#This Row],[PRECIO]]</f>
        <v>7.3</v>
      </c>
      <c r="G6" s="13" t="s">
        <v>300</v>
      </c>
      <c r="H6" s="13"/>
      <c r="I6" s="13" t="str">
        <f t="shared" si="0"/>
        <v>ENERO</v>
      </c>
      <c r="J6" s="13">
        <f t="shared" si="1"/>
        <v>2026</v>
      </c>
      <c r="K6" s="13" t="s">
        <v>18</v>
      </c>
      <c r="L6" s="13"/>
    </row>
    <row r="7" spans="1:13" x14ac:dyDescent="0.25">
      <c r="A7" s="12">
        <v>46027</v>
      </c>
      <c r="B7" s="12" t="s">
        <v>69</v>
      </c>
      <c r="C7" s="13" t="s">
        <v>65</v>
      </c>
      <c r="D7" s="14">
        <v>1</v>
      </c>
      <c r="E7" s="15">
        <v>22</v>
      </c>
      <c r="F7" s="15">
        <f>Tabla8[[#This Row],[CANTIDAD]]*Tabla8[[#This Row],[PRECIO]]</f>
        <v>22</v>
      </c>
      <c r="G7" s="13" t="s">
        <v>301</v>
      </c>
      <c r="H7" s="13"/>
      <c r="I7" s="13" t="str">
        <f t="shared" si="0"/>
        <v>ENERO</v>
      </c>
      <c r="J7" s="13">
        <f t="shared" si="1"/>
        <v>2026</v>
      </c>
      <c r="K7" s="13" t="s">
        <v>18</v>
      </c>
      <c r="L7" s="13"/>
    </row>
    <row r="8" spans="1:13" x14ac:dyDescent="0.25">
      <c r="A8" s="12">
        <v>46027</v>
      </c>
      <c r="B8" s="12" t="s">
        <v>68</v>
      </c>
      <c r="C8" s="13" t="s">
        <v>65</v>
      </c>
      <c r="D8" s="14">
        <v>1</v>
      </c>
      <c r="E8" s="15">
        <v>15</v>
      </c>
      <c r="F8" s="15">
        <f>Tabla8[[#This Row],[CANTIDAD]]*Tabla8[[#This Row],[PRECIO]]</f>
        <v>15</v>
      </c>
      <c r="G8" s="13" t="s">
        <v>302</v>
      </c>
      <c r="H8" s="13"/>
      <c r="I8" s="13" t="str">
        <f t="shared" si="0"/>
        <v>ENERO</v>
      </c>
      <c r="J8" s="13">
        <f t="shared" si="1"/>
        <v>2026</v>
      </c>
      <c r="K8" s="13" t="s">
        <v>18</v>
      </c>
      <c r="L8" s="13"/>
    </row>
    <row r="9" spans="1:13" x14ac:dyDescent="0.25">
      <c r="A9" s="12">
        <v>46027</v>
      </c>
      <c r="B9" s="68" t="s">
        <v>25</v>
      </c>
      <c r="C9" s="13" t="s">
        <v>448</v>
      </c>
      <c r="D9" s="14">
        <v>1</v>
      </c>
      <c r="E9" s="15">
        <v>5</v>
      </c>
      <c r="F9" s="15">
        <f>Tabla8[[#This Row],[CANTIDAD]]*Tabla8[[#This Row],[PRECIO]]</f>
        <v>5</v>
      </c>
      <c r="G9" s="13" t="s">
        <v>449</v>
      </c>
      <c r="H9" s="13"/>
      <c r="I9" s="13" t="str">
        <f t="shared" si="0"/>
        <v>ENERO</v>
      </c>
      <c r="J9" s="13">
        <f t="shared" si="1"/>
        <v>2026</v>
      </c>
      <c r="K9" s="13" t="s">
        <v>30</v>
      </c>
      <c r="L9" s="13"/>
    </row>
    <row r="10" spans="1:13" x14ac:dyDescent="0.25">
      <c r="A10" s="12">
        <v>46027</v>
      </c>
      <c r="B10" s="68" t="s">
        <v>25</v>
      </c>
      <c r="C10" s="13" t="s">
        <v>448</v>
      </c>
      <c r="D10" s="14">
        <v>1</v>
      </c>
      <c r="E10" s="15">
        <v>5</v>
      </c>
      <c r="F10" s="15">
        <f>Tabla8[[#This Row],[CANTIDAD]]*Tabla8[[#This Row],[PRECIO]]</f>
        <v>5</v>
      </c>
      <c r="G10" s="13" t="s">
        <v>449</v>
      </c>
      <c r="H10" s="13"/>
      <c r="I10" s="13" t="str">
        <f t="shared" si="0"/>
        <v>ENERO</v>
      </c>
      <c r="J10" s="13">
        <f t="shared" si="1"/>
        <v>2026</v>
      </c>
      <c r="K10" s="13" t="s">
        <v>30</v>
      </c>
      <c r="L10" s="13"/>
    </row>
    <row r="11" spans="1:13" x14ac:dyDescent="0.25">
      <c r="A11" s="12">
        <v>46027</v>
      </c>
      <c r="B11" s="68" t="s">
        <v>69</v>
      </c>
      <c r="C11" s="13" t="s">
        <v>65</v>
      </c>
      <c r="D11" s="14">
        <v>1</v>
      </c>
      <c r="E11" s="15">
        <v>20</v>
      </c>
      <c r="F11" s="15">
        <f>Tabla8[[#This Row],[CANTIDAD]]*Tabla8[[#This Row],[PRECIO]]</f>
        <v>20</v>
      </c>
      <c r="G11" s="13" t="s">
        <v>408</v>
      </c>
      <c r="H11" s="13"/>
      <c r="I11" s="13" t="str">
        <f t="shared" si="0"/>
        <v>ENERO</v>
      </c>
      <c r="J11" s="13">
        <f t="shared" si="1"/>
        <v>2026</v>
      </c>
      <c r="K11" s="13" t="s">
        <v>27</v>
      </c>
      <c r="L11" s="13"/>
    </row>
    <row r="12" spans="1:13" x14ac:dyDescent="0.25">
      <c r="A12" s="12">
        <v>46027</v>
      </c>
      <c r="B12" s="68" t="s">
        <v>67</v>
      </c>
      <c r="C12" s="13" t="s">
        <v>63</v>
      </c>
      <c r="D12" s="14">
        <v>1</v>
      </c>
      <c r="E12" s="15">
        <v>233.47</v>
      </c>
      <c r="F12" s="15">
        <f>Tabla8[[#This Row],[CANTIDAD]]*Tabla8[[#This Row],[PRECIO]]</f>
        <v>233.47</v>
      </c>
      <c r="G12" s="13" t="s">
        <v>419</v>
      </c>
      <c r="H12" s="13"/>
      <c r="I12" s="13" t="str">
        <f t="shared" si="0"/>
        <v>ENERO</v>
      </c>
      <c r="J12" s="13">
        <f t="shared" si="1"/>
        <v>2026</v>
      </c>
      <c r="K12" s="13" t="s">
        <v>27</v>
      </c>
      <c r="L12" s="13"/>
    </row>
    <row r="13" spans="1:13" x14ac:dyDescent="0.25">
      <c r="A13" s="12">
        <v>46027</v>
      </c>
      <c r="B13" s="68" t="s">
        <v>67</v>
      </c>
      <c r="C13" s="13" t="s">
        <v>420</v>
      </c>
      <c r="D13" s="14">
        <v>1</v>
      </c>
      <c r="E13" s="15">
        <v>10.93</v>
      </c>
      <c r="F13" s="15">
        <f>Tabla8[[#This Row],[CANTIDAD]]*Tabla8[[#This Row],[PRECIO]]</f>
        <v>10.93</v>
      </c>
      <c r="G13" s="13" t="s">
        <v>419</v>
      </c>
      <c r="H13" s="13"/>
      <c r="I13" s="13" t="str">
        <f t="shared" si="0"/>
        <v>ENERO</v>
      </c>
      <c r="J13" s="13">
        <f t="shared" si="1"/>
        <v>2026</v>
      </c>
      <c r="K13" s="13" t="s">
        <v>27</v>
      </c>
      <c r="L13" s="13"/>
    </row>
    <row r="14" spans="1:13" x14ac:dyDescent="0.25">
      <c r="A14" s="12">
        <v>46027</v>
      </c>
      <c r="B14" s="68" t="s">
        <v>67</v>
      </c>
      <c r="C14" s="13" t="s">
        <v>421</v>
      </c>
      <c r="D14" s="14">
        <v>1</v>
      </c>
      <c r="E14" s="15">
        <v>68</v>
      </c>
      <c r="F14" s="15">
        <f>Tabla8[[#This Row],[CANTIDAD]]*Tabla8[[#This Row],[PRECIO]]</f>
        <v>68</v>
      </c>
      <c r="G14" s="13" t="s">
        <v>422</v>
      </c>
      <c r="H14" s="13"/>
      <c r="I14" s="13" t="str">
        <f t="shared" si="0"/>
        <v>ENERO</v>
      </c>
      <c r="J14" s="13">
        <f t="shared" si="1"/>
        <v>2026</v>
      </c>
      <c r="K14" s="13" t="s">
        <v>27</v>
      </c>
      <c r="L14" s="13"/>
    </row>
    <row r="15" spans="1:13" ht="12.6" customHeight="1" x14ac:dyDescent="0.25">
      <c r="A15" s="12">
        <v>46027</v>
      </c>
      <c r="B15" s="68" t="s">
        <v>67</v>
      </c>
      <c r="C15" s="13" t="s">
        <v>423</v>
      </c>
      <c r="D15" s="14">
        <v>1</v>
      </c>
      <c r="E15" s="15">
        <v>55.61</v>
      </c>
      <c r="F15" s="15">
        <f>Tabla8[[#This Row],[CANTIDAD]]*Tabla8[[#This Row],[PRECIO]]</f>
        <v>55.61</v>
      </c>
      <c r="G15" s="13" t="s">
        <v>419</v>
      </c>
      <c r="H15" s="13"/>
      <c r="I15" s="13" t="str">
        <f t="shared" si="0"/>
        <v>ENERO</v>
      </c>
      <c r="J15" s="13">
        <f t="shared" si="1"/>
        <v>2026</v>
      </c>
      <c r="K15" s="13" t="s">
        <v>27</v>
      </c>
      <c r="L15" s="13"/>
    </row>
    <row r="16" spans="1:13" x14ac:dyDescent="0.25">
      <c r="A16" s="12">
        <v>46028</v>
      </c>
      <c r="B16" s="12" t="s">
        <v>67</v>
      </c>
      <c r="C16" s="13" t="s">
        <v>72</v>
      </c>
      <c r="D16" s="14">
        <v>1</v>
      </c>
      <c r="E16" s="15">
        <v>73</v>
      </c>
      <c r="F16" s="15">
        <f>Tabla8[[#This Row],[CANTIDAD]]*Tabla8[[#This Row],[PRECIO]]</f>
        <v>73</v>
      </c>
      <c r="G16" s="13" t="s">
        <v>303</v>
      </c>
      <c r="H16" s="13"/>
      <c r="I16" s="13" t="str">
        <f t="shared" si="0"/>
        <v>ENERO</v>
      </c>
      <c r="J16" s="13">
        <f t="shared" si="1"/>
        <v>2026</v>
      </c>
      <c r="K16" s="13" t="s">
        <v>18</v>
      </c>
      <c r="L16" s="13"/>
    </row>
    <row r="17" spans="1:12" x14ac:dyDescent="0.25">
      <c r="A17" s="12">
        <v>46028</v>
      </c>
      <c r="B17" s="12" t="s">
        <v>67</v>
      </c>
      <c r="C17" s="13" t="s">
        <v>72</v>
      </c>
      <c r="D17" s="14">
        <v>1</v>
      </c>
      <c r="E17" s="15">
        <v>3</v>
      </c>
      <c r="F17" s="15">
        <f>Tabla8[[#This Row],[CANTIDAD]]*Tabla8[[#This Row],[PRECIO]]</f>
        <v>3</v>
      </c>
      <c r="G17" s="13" t="s">
        <v>304</v>
      </c>
      <c r="H17" s="13"/>
      <c r="I17" s="13" t="str">
        <f t="shared" si="0"/>
        <v>ENERO</v>
      </c>
      <c r="J17" s="13">
        <f t="shared" si="1"/>
        <v>2026</v>
      </c>
      <c r="K17" s="13" t="s">
        <v>18</v>
      </c>
      <c r="L17" s="13"/>
    </row>
    <row r="18" spans="1:12" x14ac:dyDescent="0.25">
      <c r="A18" s="12">
        <v>46028</v>
      </c>
      <c r="B18" s="12" t="s">
        <v>68</v>
      </c>
      <c r="C18" s="13" t="s">
        <v>65</v>
      </c>
      <c r="D18" s="14">
        <v>1</v>
      </c>
      <c r="E18" s="15">
        <v>10</v>
      </c>
      <c r="F18" s="15">
        <f>Tabla8[[#This Row],[CANTIDAD]]*Tabla8[[#This Row],[PRECIO]]</f>
        <v>10</v>
      </c>
      <c r="G18" s="13" t="s">
        <v>305</v>
      </c>
      <c r="H18" s="13"/>
      <c r="I18" s="13" t="str">
        <f t="shared" si="0"/>
        <v>ENERO</v>
      </c>
      <c r="J18" s="13">
        <f t="shared" si="1"/>
        <v>2026</v>
      </c>
      <c r="K18" s="13" t="s">
        <v>18</v>
      </c>
      <c r="L18" s="13"/>
    </row>
    <row r="19" spans="1:12" x14ac:dyDescent="0.25">
      <c r="A19" s="12">
        <v>46028</v>
      </c>
      <c r="B19" s="12" t="s">
        <v>69</v>
      </c>
      <c r="C19" s="13" t="s">
        <v>65</v>
      </c>
      <c r="D19" s="14">
        <v>1</v>
      </c>
      <c r="E19" s="15">
        <v>70</v>
      </c>
      <c r="F19" s="15">
        <f>Tabla8[[#This Row],[CANTIDAD]]*Tabla8[[#This Row],[PRECIO]]</f>
        <v>70</v>
      </c>
      <c r="G19" s="13" t="s">
        <v>301</v>
      </c>
      <c r="H19" s="13"/>
      <c r="I19" s="13" t="str">
        <f t="shared" si="0"/>
        <v>ENERO</v>
      </c>
      <c r="J19" s="13">
        <f t="shared" si="1"/>
        <v>2026</v>
      </c>
      <c r="K19" s="13" t="s">
        <v>18</v>
      </c>
      <c r="L19" s="13"/>
    </row>
    <row r="20" spans="1:12" x14ac:dyDescent="0.25">
      <c r="A20" s="12">
        <v>46028</v>
      </c>
      <c r="B20" s="12" t="s">
        <v>67</v>
      </c>
      <c r="C20" s="13" t="s">
        <v>65</v>
      </c>
      <c r="D20" s="14">
        <v>1</v>
      </c>
      <c r="E20" s="15">
        <v>65.06</v>
      </c>
      <c r="F20" s="15">
        <f>Tabla8[[#This Row],[CANTIDAD]]*Tabla8[[#This Row],[PRECIO]]</f>
        <v>65.06</v>
      </c>
      <c r="G20" s="13" t="s">
        <v>306</v>
      </c>
      <c r="H20" s="13"/>
      <c r="I20" s="13" t="str">
        <f t="shared" si="0"/>
        <v>ENERO</v>
      </c>
      <c r="J20" s="13">
        <f t="shared" si="1"/>
        <v>2026</v>
      </c>
      <c r="K20" s="13" t="s">
        <v>18</v>
      </c>
      <c r="L20" s="13"/>
    </row>
    <row r="21" spans="1:12" x14ac:dyDescent="0.25">
      <c r="A21" s="12">
        <v>46028</v>
      </c>
      <c r="B21" s="12" t="s">
        <v>67</v>
      </c>
      <c r="C21" s="13" t="s">
        <v>66</v>
      </c>
      <c r="D21" s="14">
        <v>1</v>
      </c>
      <c r="E21" s="15">
        <v>50</v>
      </c>
      <c r="F21" s="15">
        <f>Tabla8[[#This Row],[CANTIDAD]]*Tabla8[[#This Row],[PRECIO]]</f>
        <v>50</v>
      </c>
      <c r="G21" s="13" t="s">
        <v>307</v>
      </c>
      <c r="H21" s="13"/>
      <c r="I21" s="13" t="str">
        <f t="shared" si="0"/>
        <v>ENERO</v>
      </c>
      <c r="J21" s="13">
        <f t="shared" si="1"/>
        <v>2026</v>
      </c>
      <c r="K21" s="13" t="s">
        <v>18</v>
      </c>
      <c r="L21" s="13"/>
    </row>
    <row r="22" spans="1:12" x14ac:dyDescent="0.25">
      <c r="A22" s="12">
        <v>46028</v>
      </c>
      <c r="B22" s="12" t="s">
        <v>22</v>
      </c>
      <c r="C22" s="13" t="s">
        <v>72</v>
      </c>
      <c r="D22" s="14">
        <v>1</v>
      </c>
      <c r="E22" s="15">
        <v>1.2</v>
      </c>
      <c r="F22" s="15">
        <f>Tabla8[[#This Row],[CANTIDAD]]*Tabla8[[#This Row],[PRECIO]]</f>
        <v>1.2</v>
      </c>
      <c r="G22" s="13" t="s">
        <v>22</v>
      </c>
      <c r="H22" s="13"/>
      <c r="I22" s="13" t="str">
        <f t="shared" si="0"/>
        <v>ENERO</v>
      </c>
      <c r="J22" s="13">
        <f t="shared" si="1"/>
        <v>2026</v>
      </c>
      <c r="K22" s="13" t="s">
        <v>18</v>
      </c>
      <c r="L22" s="13"/>
    </row>
    <row r="23" spans="1:12" x14ac:dyDescent="0.25">
      <c r="A23" s="12">
        <v>46029</v>
      </c>
      <c r="B23" s="12" t="s">
        <v>67</v>
      </c>
      <c r="C23" s="13" t="s">
        <v>72</v>
      </c>
      <c r="D23" s="14">
        <v>1</v>
      </c>
      <c r="E23" s="15">
        <v>0.5</v>
      </c>
      <c r="F23" s="15">
        <f>Tabla8[[#This Row],[CANTIDAD]]*Tabla8[[#This Row],[PRECIO]]</f>
        <v>0.5</v>
      </c>
      <c r="G23" s="13" t="s">
        <v>308</v>
      </c>
      <c r="H23" s="13"/>
      <c r="I23" s="13" t="str">
        <f t="shared" si="0"/>
        <v>ENERO</v>
      </c>
      <c r="J23" s="13">
        <f t="shared" si="1"/>
        <v>2026</v>
      </c>
      <c r="K23" s="13" t="s">
        <v>18</v>
      </c>
      <c r="L23" s="13"/>
    </row>
    <row r="24" spans="1:12" x14ac:dyDescent="0.25">
      <c r="A24" s="12">
        <v>46029</v>
      </c>
      <c r="B24" s="12" t="s">
        <v>67</v>
      </c>
      <c r="C24" s="13" t="s">
        <v>72</v>
      </c>
      <c r="D24" s="14">
        <v>1</v>
      </c>
      <c r="E24" s="15">
        <v>1</v>
      </c>
      <c r="F24" s="15">
        <f>Tabla8[[#This Row],[CANTIDAD]]*Tabla8[[#This Row],[PRECIO]]</f>
        <v>1</v>
      </c>
      <c r="G24" s="13" t="s">
        <v>309</v>
      </c>
      <c r="H24" s="13"/>
      <c r="I24" s="13" t="str">
        <f t="shared" si="0"/>
        <v>ENERO</v>
      </c>
      <c r="J24" s="13">
        <f t="shared" si="1"/>
        <v>2026</v>
      </c>
      <c r="K24" s="13" t="s">
        <v>18</v>
      </c>
      <c r="L24" s="13"/>
    </row>
    <row r="25" spans="1:12" x14ac:dyDescent="0.25">
      <c r="A25" s="12">
        <v>46029</v>
      </c>
      <c r="B25" s="12" t="s">
        <v>25</v>
      </c>
      <c r="C25" s="13" t="s">
        <v>27</v>
      </c>
      <c r="D25" s="14">
        <v>1</v>
      </c>
      <c r="E25" s="15">
        <v>150</v>
      </c>
      <c r="F25" s="15">
        <f>Tabla8[[#This Row],[CANTIDAD]]*Tabla8[[#This Row],[PRECIO]]</f>
        <v>150</v>
      </c>
      <c r="G25" s="13" t="s">
        <v>310</v>
      </c>
      <c r="H25" s="13"/>
      <c r="I25" s="13" t="str">
        <f t="shared" si="0"/>
        <v>ENERO</v>
      </c>
      <c r="J25" s="13">
        <f t="shared" si="1"/>
        <v>2026</v>
      </c>
      <c r="K25" s="13" t="s">
        <v>18</v>
      </c>
      <c r="L25" s="13"/>
    </row>
    <row r="26" spans="1:12" x14ac:dyDescent="0.25">
      <c r="A26" s="12">
        <v>46029</v>
      </c>
      <c r="B26" s="68" t="s">
        <v>67</v>
      </c>
      <c r="C26" s="13" t="s">
        <v>62</v>
      </c>
      <c r="D26" s="14">
        <v>1</v>
      </c>
      <c r="E26" s="15">
        <v>16.3</v>
      </c>
      <c r="F26" s="15">
        <f>Tabla8[[#This Row],[CANTIDAD]]*Tabla8[[#This Row],[PRECIO]]</f>
        <v>16.3</v>
      </c>
      <c r="G26" s="13" t="s">
        <v>419</v>
      </c>
      <c r="H26" s="13"/>
      <c r="I26" s="13" t="str">
        <f t="shared" si="0"/>
        <v>ENERO</v>
      </c>
      <c r="J26" s="13">
        <f t="shared" si="1"/>
        <v>2026</v>
      </c>
      <c r="K26" s="13" t="s">
        <v>27</v>
      </c>
      <c r="L26" s="13"/>
    </row>
    <row r="27" spans="1:12" x14ac:dyDescent="0.25">
      <c r="A27" s="12">
        <v>46030</v>
      </c>
      <c r="B27" s="12" t="s">
        <v>25</v>
      </c>
      <c r="C27" s="13" t="s">
        <v>27</v>
      </c>
      <c r="D27" s="14">
        <v>1</v>
      </c>
      <c r="E27" s="15">
        <v>300</v>
      </c>
      <c r="F27" s="15">
        <f>Tabla8[[#This Row],[CANTIDAD]]*Tabla8[[#This Row],[PRECIO]]</f>
        <v>300</v>
      </c>
      <c r="G27" s="13" t="s">
        <v>310</v>
      </c>
      <c r="H27" s="13"/>
      <c r="I27" s="13" t="str">
        <f t="shared" si="0"/>
        <v>ENERO</v>
      </c>
      <c r="J27" s="13">
        <f t="shared" si="1"/>
        <v>2026</v>
      </c>
      <c r="K27" s="13" t="s">
        <v>18</v>
      </c>
      <c r="L27" s="13"/>
    </row>
    <row r="28" spans="1:12" x14ac:dyDescent="0.25">
      <c r="A28" s="12">
        <v>46030</v>
      </c>
      <c r="B28" s="68" t="s">
        <v>67</v>
      </c>
      <c r="C28" s="13" t="s">
        <v>376</v>
      </c>
      <c r="D28" s="14">
        <v>1</v>
      </c>
      <c r="E28" s="15">
        <v>652.05999999999995</v>
      </c>
      <c r="F28" s="15">
        <f>Tabla8[[#This Row],[CANTIDAD]]*Tabla8[[#This Row],[PRECIO]]</f>
        <v>652.05999999999995</v>
      </c>
      <c r="G28" s="13" t="s">
        <v>419</v>
      </c>
      <c r="H28" s="13"/>
      <c r="I28" s="13" t="str">
        <f t="shared" si="0"/>
        <v>ENERO</v>
      </c>
      <c r="J28" s="13">
        <f t="shared" si="1"/>
        <v>2026</v>
      </c>
      <c r="K28" s="13" t="s">
        <v>27</v>
      </c>
      <c r="L28" s="13"/>
    </row>
    <row r="29" spans="1:12" x14ac:dyDescent="0.25">
      <c r="A29" s="12">
        <v>46031</v>
      </c>
      <c r="B29" s="12" t="s">
        <v>69</v>
      </c>
      <c r="C29" s="13" t="s">
        <v>72</v>
      </c>
      <c r="D29" s="14">
        <v>1</v>
      </c>
      <c r="E29" s="15">
        <v>3.5</v>
      </c>
      <c r="F29" s="15">
        <f>Tabla8[[#This Row],[CANTIDAD]]*Tabla8[[#This Row],[PRECIO]]</f>
        <v>3.5</v>
      </c>
      <c r="G29" s="13" t="s">
        <v>69</v>
      </c>
      <c r="H29" s="13"/>
      <c r="I29" s="13" t="str">
        <f t="shared" si="0"/>
        <v>ENERO</v>
      </c>
      <c r="J29" s="13">
        <f t="shared" si="1"/>
        <v>2026</v>
      </c>
      <c r="K29" s="13" t="s">
        <v>18</v>
      </c>
      <c r="L29" s="13"/>
    </row>
    <row r="30" spans="1:12" x14ac:dyDescent="0.25">
      <c r="A30" s="12">
        <v>46031</v>
      </c>
      <c r="B30" s="12" t="s">
        <v>67</v>
      </c>
      <c r="C30" s="13" t="s">
        <v>66</v>
      </c>
      <c r="D30" s="14">
        <v>1</v>
      </c>
      <c r="E30" s="15">
        <v>2.6</v>
      </c>
      <c r="F30" s="15">
        <f>Tabla8[[#This Row],[CANTIDAD]]*Tabla8[[#This Row],[PRECIO]]</f>
        <v>2.6</v>
      </c>
      <c r="G30" s="13" t="s">
        <v>311</v>
      </c>
      <c r="H30" s="13"/>
      <c r="I30" s="13" t="str">
        <f t="shared" si="0"/>
        <v>ENERO</v>
      </c>
      <c r="J30" s="13">
        <f t="shared" si="1"/>
        <v>2026</v>
      </c>
      <c r="K30" s="13" t="s">
        <v>18</v>
      </c>
      <c r="L30" s="13"/>
    </row>
    <row r="31" spans="1:12" x14ac:dyDescent="0.25">
      <c r="A31" s="12">
        <v>46031</v>
      </c>
      <c r="B31" s="12" t="s">
        <v>67</v>
      </c>
      <c r="C31" s="13" t="s">
        <v>72</v>
      </c>
      <c r="D31" s="14">
        <v>1</v>
      </c>
      <c r="E31" s="15">
        <v>4</v>
      </c>
      <c r="F31" s="15">
        <f>Tabla8[[#This Row],[CANTIDAD]]*Tabla8[[#This Row],[PRECIO]]</f>
        <v>4</v>
      </c>
      <c r="G31" s="13" t="s">
        <v>22</v>
      </c>
      <c r="H31" s="13"/>
      <c r="I31" s="13" t="str">
        <f t="shared" si="0"/>
        <v>ENERO</v>
      </c>
      <c r="J31" s="13">
        <f t="shared" si="1"/>
        <v>2026</v>
      </c>
      <c r="K31" s="13" t="s">
        <v>18</v>
      </c>
      <c r="L31" s="13"/>
    </row>
    <row r="32" spans="1:12" x14ac:dyDescent="0.25">
      <c r="A32" s="12">
        <v>46031</v>
      </c>
      <c r="B32" s="12" t="s">
        <v>67</v>
      </c>
      <c r="C32" s="13" t="s">
        <v>72</v>
      </c>
      <c r="D32" s="14">
        <v>1</v>
      </c>
      <c r="E32" s="15">
        <v>1.75</v>
      </c>
      <c r="F32" s="15">
        <f>Tabla8[[#This Row],[CANTIDAD]]*Tabla8[[#This Row],[PRECIO]]</f>
        <v>1.75</v>
      </c>
      <c r="G32" s="13" t="s">
        <v>22</v>
      </c>
      <c r="H32" s="13"/>
      <c r="I32" s="13" t="str">
        <f t="shared" si="0"/>
        <v>ENERO</v>
      </c>
      <c r="J32" s="13">
        <f t="shared" si="1"/>
        <v>2026</v>
      </c>
      <c r="K32" s="13" t="s">
        <v>18</v>
      </c>
      <c r="L32" s="13"/>
    </row>
    <row r="33" spans="1:12" x14ac:dyDescent="0.25">
      <c r="A33" s="12">
        <v>46031</v>
      </c>
      <c r="B33" s="12" t="s">
        <v>19</v>
      </c>
      <c r="C33" s="13" t="s">
        <v>66</v>
      </c>
      <c r="D33" s="14">
        <v>1</v>
      </c>
      <c r="E33" s="15">
        <v>0.75</v>
      </c>
      <c r="F33" s="15">
        <f>Tabla8[[#This Row],[CANTIDAD]]*Tabla8[[#This Row],[PRECIO]]</f>
        <v>0.75</v>
      </c>
      <c r="G33" s="13" t="s">
        <v>312</v>
      </c>
      <c r="H33" s="13"/>
      <c r="I33" s="13" t="str">
        <f t="shared" si="0"/>
        <v>ENERO</v>
      </c>
      <c r="J33" s="13">
        <f t="shared" si="1"/>
        <v>2026</v>
      </c>
      <c r="K33" s="13" t="s">
        <v>18</v>
      </c>
      <c r="L33" s="13"/>
    </row>
    <row r="34" spans="1:12" x14ac:dyDescent="0.25">
      <c r="A34" s="12">
        <v>46031</v>
      </c>
      <c r="B34" s="12" t="s">
        <v>22</v>
      </c>
      <c r="C34" s="13" t="s">
        <v>65</v>
      </c>
      <c r="D34" s="14">
        <v>1</v>
      </c>
      <c r="E34" s="15">
        <v>40</v>
      </c>
      <c r="F34" s="15">
        <f>Tabla8[[#This Row],[CANTIDAD]]*Tabla8[[#This Row],[PRECIO]]</f>
        <v>40</v>
      </c>
      <c r="G34" s="13" t="s">
        <v>313</v>
      </c>
      <c r="H34" s="13"/>
      <c r="I34" s="13" t="str">
        <f t="shared" si="0"/>
        <v>ENERO</v>
      </c>
      <c r="J34" s="13">
        <f t="shared" si="1"/>
        <v>2026</v>
      </c>
      <c r="K34" s="13" t="s">
        <v>18</v>
      </c>
      <c r="L34" s="13"/>
    </row>
    <row r="35" spans="1:12" x14ac:dyDescent="0.25">
      <c r="A35" s="12">
        <v>46031</v>
      </c>
      <c r="B35" s="68" t="s">
        <v>67</v>
      </c>
      <c r="C35" s="13" t="s">
        <v>389</v>
      </c>
      <c r="D35" s="14">
        <v>1</v>
      </c>
      <c r="E35" s="15">
        <v>52.23</v>
      </c>
      <c r="F35" s="15">
        <f>Tabla8[[#This Row],[CANTIDAD]]*Tabla8[[#This Row],[PRECIO]]</f>
        <v>52.23</v>
      </c>
      <c r="G35" s="13" t="s">
        <v>419</v>
      </c>
      <c r="H35" s="13"/>
      <c r="I35" s="13" t="str">
        <f t="shared" si="0"/>
        <v>ENERO</v>
      </c>
      <c r="J35" s="13">
        <f t="shared" si="1"/>
        <v>2026</v>
      </c>
      <c r="K35" s="13" t="s">
        <v>27</v>
      </c>
      <c r="L35" s="13"/>
    </row>
    <row r="36" spans="1:12" x14ac:dyDescent="0.25">
      <c r="A36" s="12">
        <v>46031</v>
      </c>
      <c r="B36" s="68" t="s">
        <v>67</v>
      </c>
      <c r="C36" s="13" t="s">
        <v>390</v>
      </c>
      <c r="D36" s="14">
        <v>1</v>
      </c>
      <c r="E36" s="15">
        <v>3.2</v>
      </c>
      <c r="F36" s="15">
        <f>Tabla8[[#This Row],[CANTIDAD]]*Tabla8[[#This Row],[PRECIO]]</f>
        <v>3.2</v>
      </c>
      <c r="G36" s="13" t="s">
        <v>424</v>
      </c>
      <c r="H36" s="13"/>
      <c r="I36" s="13" t="str">
        <f t="shared" ref="I36:I67" si="2">UPPER(TEXT(A36,"MMMM"))</f>
        <v>ENERO</v>
      </c>
      <c r="J36" s="13">
        <f t="shared" ref="J36:J67" si="3">+YEAR(A36)</f>
        <v>2026</v>
      </c>
      <c r="K36" s="13" t="s">
        <v>27</v>
      </c>
      <c r="L36" s="13"/>
    </row>
    <row r="37" spans="1:12" x14ac:dyDescent="0.25">
      <c r="A37" s="12">
        <v>46034</v>
      </c>
      <c r="B37" s="68" t="s">
        <v>67</v>
      </c>
      <c r="C37" s="13" t="s">
        <v>389</v>
      </c>
      <c r="D37" s="14">
        <v>1</v>
      </c>
      <c r="E37" s="15">
        <v>75.23</v>
      </c>
      <c r="F37" s="15">
        <f>Tabla8[[#This Row],[CANTIDAD]]*Tabla8[[#This Row],[PRECIO]]</f>
        <v>75.23</v>
      </c>
      <c r="G37" s="13" t="s">
        <v>424</v>
      </c>
      <c r="H37" s="13"/>
      <c r="I37" s="13" t="str">
        <f t="shared" si="2"/>
        <v>ENERO</v>
      </c>
      <c r="J37" s="13">
        <f t="shared" si="3"/>
        <v>2026</v>
      </c>
      <c r="K37" s="13" t="s">
        <v>27</v>
      </c>
      <c r="L37" s="13"/>
    </row>
    <row r="38" spans="1:12" x14ac:dyDescent="0.25">
      <c r="A38" s="12">
        <v>46034</v>
      </c>
      <c r="B38" s="68" t="s">
        <v>67</v>
      </c>
      <c r="C38" s="13" t="s">
        <v>390</v>
      </c>
      <c r="D38" s="14">
        <v>1</v>
      </c>
      <c r="E38" s="15">
        <v>3.2</v>
      </c>
      <c r="F38" s="15">
        <f>Tabla8[[#This Row],[CANTIDAD]]*Tabla8[[#This Row],[PRECIO]]</f>
        <v>3.2</v>
      </c>
      <c r="G38" s="13" t="s">
        <v>424</v>
      </c>
      <c r="H38" s="13"/>
      <c r="I38" s="13" t="str">
        <f t="shared" si="2"/>
        <v>ENERO</v>
      </c>
      <c r="J38" s="13">
        <f t="shared" si="3"/>
        <v>2026</v>
      </c>
      <c r="K38" s="13" t="s">
        <v>27</v>
      </c>
      <c r="L38" s="13"/>
    </row>
    <row r="39" spans="1:12" x14ac:dyDescent="0.25">
      <c r="A39" s="12">
        <v>46034</v>
      </c>
      <c r="B39" s="68" t="s">
        <v>67</v>
      </c>
      <c r="C39" s="13" t="s">
        <v>390</v>
      </c>
      <c r="D39" s="14">
        <v>1</v>
      </c>
      <c r="E39" s="15">
        <v>1.4</v>
      </c>
      <c r="F39" s="15">
        <f>Tabla8[[#This Row],[CANTIDAD]]*Tabla8[[#This Row],[PRECIO]]</f>
        <v>1.4</v>
      </c>
      <c r="G39" s="13" t="s">
        <v>424</v>
      </c>
      <c r="H39" s="13"/>
      <c r="I39" s="13" t="str">
        <f t="shared" si="2"/>
        <v>ENERO</v>
      </c>
      <c r="J39" s="13">
        <f t="shared" si="3"/>
        <v>2026</v>
      </c>
      <c r="K39" s="13" t="s">
        <v>27</v>
      </c>
      <c r="L39" s="13"/>
    </row>
    <row r="40" spans="1:12" x14ac:dyDescent="0.25">
      <c r="A40" s="12">
        <v>46035</v>
      </c>
      <c r="B40" s="12" t="s">
        <v>22</v>
      </c>
      <c r="C40" s="13" t="s">
        <v>72</v>
      </c>
      <c r="D40" s="14">
        <v>1</v>
      </c>
      <c r="E40" s="15">
        <v>2</v>
      </c>
      <c r="F40" s="15">
        <f>Tabla8[[#This Row],[CANTIDAD]]*Tabla8[[#This Row],[PRECIO]]</f>
        <v>2</v>
      </c>
      <c r="G40" s="13" t="s">
        <v>314</v>
      </c>
      <c r="H40" s="13"/>
      <c r="I40" s="13" t="str">
        <f t="shared" si="2"/>
        <v>ENERO</v>
      </c>
      <c r="J40" s="13">
        <f t="shared" si="3"/>
        <v>2026</v>
      </c>
      <c r="K40" s="13" t="s">
        <v>18</v>
      </c>
      <c r="L40" s="13"/>
    </row>
    <row r="41" spans="1:12" x14ac:dyDescent="0.25">
      <c r="A41" s="12">
        <v>46035</v>
      </c>
      <c r="B41" s="12" t="s">
        <v>67</v>
      </c>
      <c r="C41" s="13" t="s">
        <v>72</v>
      </c>
      <c r="D41" s="14">
        <v>1</v>
      </c>
      <c r="E41" s="15">
        <v>4</v>
      </c>
      <c r="F41" s="15">
        <f>Tabla8[[#This Row],[CANTIDAD]]*Tabla8[[#This Row],[PRECIO]]</f>
        <v>4</v>
      </c>
      <c r="G41" s="13" t="s">
        <v>315</v>
      </c>
      <c r="H41" s="13"/>
      <c r="I41" s="13" t="str">
        <f t="shared" si="2"/>
        <v>ENERO</v>
      </c>
      <c r="J41" s="13">
        <f t="shared" si="3"/>
        <v>2026</v>
      </c>
      <c r="K41" s="13" t="s">
        <v>18</v>
      </c>
      <c r="L41" s="13"/>
    </row>
    <row r="42" spans="1:12" x14ac:dyDescent="0.25">
      <c r="A42" s="12">
        <v>46035</v>
      </c>
      <c r="B42" s="12" t="s">
        <v>25</v>
      </c>
      <c r="C42" s="13" t="s">
        <v>27</v>
      </c>
      <c r="D42" s="14">
        <v>1</v>
      </c>
      <c r="E42" s="15">
        <v>50</v>
      </c>
      <c r="F42" s="15">
        <f>Tabla8[[#This Row],[CANTIDAD]]*Tabla8[[#This Row],[PRECIO]]</f>
        <v>50</v>
      </c>
      <c r="G42" s="13" t="s">
        <v>310</v>
      </c>
      <c r="H42" s="13"/>
      <c r="I42" s="13" t="str">
        <f t="shared" si="2"/>
        <v>ENERO</v>
      </c>
      <c r="J42" s="13">
        <f t="shared" si="3"/>
        <v>2026</v>
      </c>
      <c r="K42" s="13" t="s">
        <v>18</v>
      </c>
      <c r="L42" s="13"/>
    </row>
    <row r="43" spans="1:12" x14ac:dyDescent="0.25">
      <c r="A43" s="12">
        <v>46035</v>
      </c>
      <c r="B43" s="68" t="s">
        <v>69</v>
      </c>
      <c r="C43" s="13" t="s">
        <v>65</v>
      </c>
      <c r="D43" s="14">
        <v>1</v>
      </c>
      <c r="E43" s="15">
        <v>2</v>
      </c>
      <c r="F43" s="15">
        <f>Tabla8[[#This Row],[CANTIDAD]]*Tabla8[[#This Row],[PRECIO]]</f>
        <v>2</v>
      </c>
      <c r="G43" s="13" t="s">
        <v>301</v>
      </c>
      <c r="H43" s="13"/>
      <c r="I43" s="13" t="str">
        <f t="shared" si="2"/>
        <v>ENERO</v>
      </c>
      <c r="J43" s="13">
        <f t="shared" si="3"/>
        <v>2026</v>
      </c>
      <c r="K43" s="13" t="s">
        <v>27</v>
      </c>
      <c r="L43" s="13"/>
    </row>
    <row r="44" spans="1:12" x14ac:dyDescent="0.25">
      <c r="A44" s="12">
        <v>46036</v>
      </c>
      <c r="B44" s="12" t="s">
        <v>67</v>
      </c>
      <c r="C44" s="13" t="s">
        <v>72</v>
      </c>
      <c r="D44" s="14">
        <v>1</v>
      </c>
      <c r="E44" s="15">
        <v>0.25</v>
      </c>
      <c r="F44" s="15">
        <f>Tabla8[[#This Row],[CANTIDAD]]*Tabla8[[#This Row],[PRECIO]]</f>
        <v>0.25</v>
      </c>
      <c r="G44" s="13" t="s">
        <v>316</v>
      </c>
      <c r="H44" s="13"/>
      <c r="I44" s="13" t="str">
        <f t="shared" si="2"/>
        <v>ENERO</v>
      </c>
      <c r="J44" s="13">
        <f t="shared" si="3"/>
        <v>2026</v>
      </c>
      <c r="K44" s="13" t="s">
        <v>18</v>
      </c>
      <c r="L44" s="13"/>
    </row>
    <row r="45" spans="1:12" x14ac:dyDescent="0.25">
      <c r="A45" s="12">
        <v>46036</v>
      </c>
      <c r="B45" s="12" t="s">
        <v>22</v>
      </c>
      <c r="C45" s="13" t="s">
        <v>72</v>
      </c>
      <c r="D45" s="14">
        <v>1</v>
      </c>
      <c r="E45" s="15">
        <v>15</v>
      </c>
      <c r="F45" s="15">
        <f>Tabla8[[#This Row],[CANTIDAD]]*Tabla8[[#This Row],[PRECIO]]</f>
        <v>15</v>
      </c>
      <c r="G45" s="13" t="s">
        <v>317</v>
      </c>
      <c r="H45" s="13"/>
      <c r="I45" s="13" t="str">
        <f t="shared" si="2"/>
        <v>ENERO</v>
      </c>
      <c r="J45" s="13">
        <f t="shared" si="3"/>
        <v>2026</v>
      </c>
      <c r="K45" s="13" t="s">
        <v>18</v>
      </c>
      <c r="L45" s="13"/>
    </row>
    <row r="46" spans="1:12" x14ac:dyDescent="0.25">
      <c r="A46" s="12">
        <v>46036</v>
      </c>
      <c r="B46" s="12" t="s">
        <v>25</v>
      </c>
      <c r="C46" s="13" t="s">
        <v>27</v>
      </c>
      <c r="D46" s="14">
        <v>1</v>
      </c>
      <c r="E46" s="15">
        <v>300</v>
      </c>
      <c r="F46" s="15">
        <f>Tabla8[[#This Row],[CANTIDAD]]*Tabla8[[#This Row],[PRECIO]]</f>
        <v>300</v>
      </c>
      <c r="G46" s="13" t="s">
        <v>310</v>
      </c>
      <c r="H46" s="13"/>
      <c r="I46" s="13" t="str">
        <f t="shared" si="2"/>
        <v>ENERO</v>
      </c>
      <c r="J46" s="13">
        <f t="shared" si="3"/>
        <v>2026</v>
      </c>
      <c r="K46" s="13" t="s">
        <v>18</v>
      </c>
      <c r="L46" s="13"/>
    </row>
    <row r="47" spans="1:12" x14ac:dyDescent="0.25">
      <c r="A47" s="12">
        <v>46036</v>
      </c>
      <c r="B47" s="68" t="s">
        <v>67</v>
      </c>
      <c r="C47" s="13" t="s">
        <v>389</v>
      </c>
      <c r="D47" s="14">
        <v>1</v>
      </c>
      <c r="E47" s="15">
        <v>179.98</v>
      </c>
      <c r="F47" s="15">
        <f>Tabla8[[#This Row],[CANTIDAD]]*Tabla8[[#This Row],[PRECIO]]</f>
        <v>179.98</v>
      </c>
      <c r="G47" s="13" t="s">
        <v>424</v>
      </c>
      <c r="H47" s="13"/>
      <c r="I47" s="13" t="str">
        <f t="shared" si="2"/>
        <v>ENERO</v>
      </c>
      <c r="J47" s="13">
        <f t="shared" si="3"/>
        <v>2026</v>
      </c>
      <c r="K47" s="13" t="s">
        <v>27</v>
      </c>
      <c r="L47" s="13"/>
    </row>
    <row r="48" spans="1:12" x14ac:dyDescent="0.25">
      <c r="A48" s="12">
        <v>46037</v>
      </c>
      <c r="B48" s="68" t="s">
        <v>69</v>
      </c>
      <c r="C48" s="13" t="s">
        <v>65</v>
      </c>
      <c r="D48" s="14">
        <v>1</v>
      </c>
      <c r="E48" s="15">
        <v>10</v>
      </c>
      <c r="F48" s="15">
        <f>Tabla8[[#This Row],[CANTIDAD]]*Tabla8[[#This Row],[PRECIO]]</f>
        <v>10</v>
      </c>
      <c r="G48" s="13" t="s">
        <v>318</v>
      </c>
      <c r="H48" s="13"/>
      <c r="I48" s="13" t="str">
        <f t="shared" si="2"/>
        <v>ENERO</v>
      </c>
      <c r="J48" s="13">
        <f t="shared" si="3"/>
        <v>2026</v>
      </c>
      <c r="K48" s="13" t="s">
        <v>18</v>
      </c>
      <c r="L48" s="13"/>
    </row>
    <row r="49" spans="1:12" x14ac:dyDescent="0.25">
      <c r="A49" s="12">
        <v>46037</v>
      </c>
      <c r="B49" s="68" t="s">
        <v>22</v>
      </c>
      <c r="C49" s="13" t="s">
        <v>72</v>
      </c>
      <c r="D49" s="14">
        <v>1</v>
      </c>
      <c r="E49" s="15">
        <v>15.1</v>
      </c>
      <c r="F49" s="15">
        <f>Tabla8[[#This Row],[CANTIDAD]]*Tabla8[[#This Row],[PRECIO]]</f>
        <v>15.1</v>
      </c>
      <c r="G49" s="13" t="s">
        <v>22</v>
      </c>
      <c r="H49" s="13"/>
      <c r="I49" s="13" t="str">
        <f t="shared" si="2"/>
        <v>ENERO</v>
      </c>
      <c r="J49" s="13">
        <f t="shared" si="3"/>
        <v>2026</v>
      </c>
      <c r="K49" s="13" t="s">
        <v>18</v>
      </c>
      <c r="L49" s="13"/>
    </row>
    <row r="50" spans="1:12" x14ac:dyDescent="0.25">
      <c r="A50" s="12">
        <v>46039</v>
      </c>
      <c r="B50" s="68" t="s">
        <v>22</v>
      </c>
      <c r="C50" s="13" t="s">
        <v>72</v>
      </c>
      <c r="D50" s="14">
        <v>1</v>
      </c>
      <c r="E50" s="15">
        <v>20</v>
      </c>
      <c r="F50" s="15">
        <f>Tabla8[[#This Row],[CANTIDAD]]*Tabla8[[#This Row],[PRECIO]]</f>
        <v>20</v>
      </c>
      <c r="G50" s="13" t="s">
        <v>22</v>
      </c>
      <c r="H50" s="13"/>
      <c r="I50" s="13" t="str">
        <f t="shared" si="2"/>
        <v>ENERO</v>
      </c>
      <c r="J50" s="13">
        <f t="shared" si="3"/>
        <v>2026</v>
      </c>
      <c r="K50" s="13" t="s">
        <v>18</v>
      </c>
      <c r="L50" s="13"/>
    </row>
    <row r="51" spans="1:12" x14ac:dyDescent="0.25">
      <c r="A51" s="12">
        <v>46039</v>
      </c>
      <c r="B51" s="68" t="s">
        <v>25</v>
      </c>
      <c r="C51" s="13" t="s">
        <v>72</v>
      </c>
      <c r="D51" s="14">
        <v>1</v>
      </c>
      <c r="E51" s="15">
        <v>20</v>
      </c>
      <c r="F51" s="15">
        <f>Tabla8[[#This Row],[CANTIDAD]]*Tabla8[[#This Row],[PRECIO]]</f>
        <v>20</v>
      </c>
      <c r="G51" s="13" t="s">
        <v>319</v>
      </c>
      <c r="H51" s="13"/>
      <c r="I51" s="13" t="str">
        <f t="shared" si="2"/>
        <v>ENERO</v>
      </c>
      <c r="J51" s="13">
        <f t="shared" si="3"/>
        <v>2026</v>
      </c>
      <c r="K51" s="13" t="s">
        <v>18</v>
      </c>
      <c r="L51" s="13"/>
    </row>
    <row r="52" spans="1:12" x14ac:dyDescent="0.25">
      <c r="A52" s="12">
        <v>46041</v>
      </c>
      <c r="B52" s="68" t="s">
        <v>67</v>
      </c>
      <c r="C52" s="13" t="s">
        <v>72</v>
      </c>
      <c r="D52" s="14">
        <v>1</v>
      </c>
      <c r="E52" s="15">
        <v>3</v>
      </c>
      <c r="F52" s="15">
        <f>Tabla8[[#This Row],[CANTIDAD]]*Tabla8[[#This Row],[PRECIO]]</f>
        <v>3</v>
      </c>
      <c r="G52" s="13" t="s">
        <v>320</v>
      </c>
      <c r="H52" s="13"/>
      <c r="I52" s="13" t="str">
        <f t="shared" si="2"/>
        <v>ENERO</v>
      </c>
      <c r="J52" s="13">
        <f t="shared" si="3"/>
        <v>2026</v>
      </c>
      <c r="K52" s="13" t="s">
        <v>18</v>
      </c>
      <c r="L52" s="13"/>
    </row>
    <row r="53" spans="1:12" x14ac:dyDescent="0.25">
      <c r="A53" s="12">
        <v>46041</v>
      </c>
      <c r="B53" s="68" t="s">
        <v>22</v>
      </c>
      <c r="C53" s="13" t="s">
        <v>72</v>
      </c>
      <c r="D53" s="14">
        <v>1</v>
      </c>
      <c r="E53" s="15">
        <v>13.05</v>
      </c>
      <c r="F53" s="15">
        <f>Tabla8[[#This Row],[CANTIDAD]]*Tabla8[[#This Row],[PRECIO]]</f>
        <v>13.05</v>
      </c>
      <c r="G53" s="13" t="s">
        <v>22</v>
      </c>
      <c r="H53" s="13"/>
      <c r="I53" s="13" t="str">
        <f t="shared" si="2"/>
        <v>ENERO</v>
      </c>
      <c r="J53" s="13">
        <f t="shared" si="3"/>
        <v>2026</v>
      </c>
      <c r="K53" s="13" t="s">
        <v>18</v>
      </c>
      <c r="L53" s="13"/>
    </row>
    <row r="54" spans="1:12" x14ac:dyDescent="0.25">
      <c r="A54" s="12">
        <v>46041</v>
      </c>
      <c r="B54" s="68" t="s">
        <v>67</v>
      </c>
      <c r="C54" s="13" t="s">
        <v>72</v>
      </c>
      <c r="D54" s="14">
        <v>1</v>
      </c>
      <c r="E54" s="15">
        <v>34.5</v>
      </c>
      <c r="F54" s="15">
        <f>Tabla8[[#This Row],[CANTIDAD]]*Tabla8[[#This Row],[PRECIO]]</f>
        <v>34.5</v>
      </c>
      <c r="G54" s="13" t="s">
        <v>321</v>
      </c>
      <c r="H54" s="13"/>
      <c r="I54" s="13" t="str">
        <f t="shared" si="2"/>
        <v>ENERO</v>
      </c>
      <c r="J54" s="13">
        <f t="shared" si="3"/>
        <v>2026</v>
      </c>
      <c r="K54" s="13" t="s">
        <v>18</v>
      </c>
      <c r="L54" s="13"/>
    </row>
    <row r="55" spans="1:12" x14ac:dyDescent="0.25">
      <c r="A55" s="12">
        <v>46041</v>
      </c>
      <c r="B55" s="68" t="s">
        <v>67</v>
      </c>
      <c r="C55" s="13" t="s">
        <v>72</v>
      </c>
      <c r="D55" s="14">
        <v>1</v>
      </c>
      <c r="E55" s="15">
        <v>8.85</v>
      </c>
      <c r="F55" s="15">
        <f>Tabla8[[#This Row],[CANTIDAD]]*Tabla8[[#This Row],[PRECIO]]</f>
        <v>8.85</v>
      </c>
      <c r="G55" s="13" t="s">
        <v>322</v>
      </c>
      <c r="H55" s="13"/>
      <c r="I55" s="13" t="str">
        <f t="shared" si="2"/>
        <v>ENERO</v>
      </c>
      <c r="J55" s="13">
        <f t="shared" si="3"/>
        <v>2026</v>
      </c>
      <c r="K55" s="13" t="s">
        <v>18</v>
      </c>
      <c r="L55" s="13"/>
    </row>
    <row r="56" spans="1:12" x14ac:dyDescent="0.25">
      <c r="A56" s="12">
        <v>46041</v>
      </c>
      <c r="B56" s="68" t="s">
        <v>67</v>
      </c>
      <c r="C56" s="13" t="s">
        <v>390</v>
      </c>
      <c r="D56" s="14">
        <v>1</v>
      </c>
      <c r="E56" s="15">
        <v>11.2</v>
      </c>
      <c r="F56" s="15">
        <f>Tabla8[[#This Row],[CANTIDAD]]*Tabla8[[#This Row],[PRECIO]]</f>
        <v>11.2</v>
      </c>
      <c r="G56" s="13" t="s">
        <v>424</v>
      </c>
      <c r="H56" s="13"/>
      <c r="I56" s="13" t="str">
        <f t="shared" si="2"/>
        <v>ENERO</v>
      </c>
      <c r="J56" s="13">
        <f t="shared" si="3"/>
        <v>2026</v>
      </c>
      <c r="K56" s="13" t="s">
        <v>27</v>
      </c>
      <c r="L56" s="13"/>
    </row>
    <row r="57" spans="1:12" x14ac:dyDescent="0.25">
      <c r="A57" s="12">
        <v>46041</v>
      </c>
      <c r="B57" s="68" t="s">
        <v>67</v>
      </c>
      <c r="C57" s="13" t="s">
        <v>390</v>
      </c>
      <c r="D57" s="14">
        <v>1</v>
      </c>
      <c r="E57" s="15">
        <v>14</v>
      </c>
      <c r="F57" s="15">
        <f>Tabla8[[#This Row],[CANTIDAD]]*Tabla8[[#This Row],[PRECIO]]</f>
        <v>14</v>
      </c>
      <c r="G57" s="13" t="s">
        <v>424</v>
      </c>
      <c r="H57" s="13"/>
      <c r="I57" s="13" t="str">
        <f t="shared" si="2"/>
        <v>ENERO</v>
      </c>
      <c r="J57" s="13">
        <f t="shared" si="3"/>
        <v>2026</v>
      </c>
      <c r="K57" s="13" t="s">
        <v>27</v>
      </c>
      <c r="L57" s="13"/>
    </row>
    <row r="58" spans="1:12" x14ac:dyDescent="0.25">
      <c r="A58" s="12">
        <v>46042</v>
      </c>
      <c r="B58" s="68" t="s">
        <v>22</v>
      </c>
      <c r="C58" s="13" t="s">
        <v>72</v>
      </c>
      <c r="D58" s="14">
        <v>1</v>
      </c>
      <c r="E58" s="15">
        <v>6.25</v>
      </c>
      <c r="F58" s="15">
        <f>Tabla8[[#This Row],[CANTIDAD]]*Tabla8[[#This Row],[PRECIO]]</f>
        <v>6.25</v>
      </c>
      <c r="G58" s="13" t="s">
        <v>323</v>
      </c>
      <c r="H58" s="13"/>
      <c r="I58" s="13" t="str">
        <f t="shared" si="2"/>
        <v>ENERO</v>
      </c>
      <c r="J58" s="13">
        <f t="shared" si="3"/>
        <v>2026</v>
      </c>
      <c r="K58" s="13" t="s">
        <v>18</v>
      </c>
      <c r="L58" s="13"/>
    </row>
    <row r="59" spans="1:12" x14ac:dyDescent="0.25">
      <c r="A59" s="12">
        <v>46042</v>
      </c>
      <c r="B59" s="68" t="s">
        <v>67</v>
      </c>
      <c r="C59" s="13" t="s">
        <v>425</v>
      </c>
      <c r="D59" s="14">
        <v>1</v>
      </c>
      <c r="E59" s="15">
        <v>83</v>
      </c>
      <c r="F59" s="15">
        <f>Tabla8[[#This Row],[CANTIDAD]]*Tabla8[[#This Row],[PRECIO]]</f>
        <v>83</v>
      </c>
      <c r="G59" s="13" t="s">
        <v>424</v>
      </c>
      <c r="H59" s="13"/>
      <c r="I59" s="13" t="str">
        <f t="shared" si="2"/>
        <v>ENERO</v>
      </c>
      <c r="J59" s="13">
        <f t="shared" si="3"/>
        <v>2026</v>
      </c>
      <c r="K59" s="13" t="s">
        <v>27</v>
      </c>
      <c r="L59" s="13"/>
    </row>
    <row r="60" spans="1:12" x14ac:dyDescent="0.25">
      <c r="A60" s="12">
        <v>46042</v>
      </c>
      <c r="B60" s="68" t="s">
        <v>67</v>
      </c>
      <c r="C60" s="13" t="s">
        <v>425</v>
      </c>
      <c r="D60" s="14">
        <v>1</v>
      </c>
      <c r="E60" s="15">
        <v>88.5</v>
      </c>
      <c r="F60" s="15">
        <f>Tabla8[[#This Row],[CANTIDAD]]*Tabla8[[#This Row],[PRECIO]]</f>
        <v>88.5</v>
      </c>
      <c r="G60" s="13" t="s">
        <v>424</v>
      </c>
      <c r="H60" s="13"/>
      <c r="I60" s="13" t="str">
        <f t="shared" si="2"/>
        <v>ENERO</v>
      </c>
      <c r="J60" s="13">
        <f t="shared" si="3"/>
        <v>2026</v>
      </c>
      <c r="K60" s="13" t="s">
        <v>27</v>
      </c>
      <c r="L60" s="13"/>
    </row>
    <row r="61" spans="1:12" x14ac:dyDescent="0.25">
      <c r="A61" s="12">
        <v>46042</v>
      </c>
      <c r="B61" s="68" t="s">
        <v>25</v>
      </c>
      <c r="C61" s="13" t="s">
        <v>459</v>
      </c>
      <c r="D61" s="14">
        <v>1</v>
      </c>
      <c r="E61" s="15">
        <v>200</v>
      </c>
      <c r="F61" s="15">
        <f>Tabla8[[#This Row],[CANTIDAD]]*Tabla8[[#This Row],[PRECIO]]</f>
        <v>200</v>
      </c>
      <c r="G61" s="13" t="s">
        <v>460</v>
      </c>
      <c r="H61" s="13"/>
      <c r="I61" s="13" t="str">
        <f t="shared" si="2"/>
        <v>ENERO</v>
      </c>
      <c r="J61" s="13">
        <f t="shared" si="3"/>
        <v>2026</v>
      </c>
      <c r="K61" s="13" t="s">
        <v>27</v>
      </c>
      <c r="L61" s="13"/>
    </row>
    <row r="62" spans="1:12" x14ac:dyDescent="0.25">
      <c r="A62" s="12">
        <v>46043</v>
      </c>
      <c r="B62" s="68" t="s">
        <v>22</v>
      </c>
      <c r="C62" s="13" t="s">
        <v>72</v>
      </c>
      <c r="D62" s="14">
        <v>1</v>
      </c>
      <c r="E62" s="15">
        <v>12.5</v>
      </c>
      <c r="F62" s="15">
        <f>Tabla8[[#This Row],[CANTIDAD]]*Tabla8[[#This Row],[PRECIO]]</f>
        <v>12.5</v>
      </c>
      <c r="G62" s="13" t="s">
        <v>323</v>
      </c>
      <c r="H62" s="13"/>
      <c r="I62" s="13" t="str">
        <f t="shared" si="2"/>
        <v>ENERO</v>
      </c>
      <c r="J62" s="13">
        <f t="shared" si="3"/>
        <v>2026</v>
      </c>
      <c r="K62" s="13" t="s">
        <v>18</v>
      </c>
      <c r="L62" s="13"/>
    </row>
    <row r="63" spans="1:12" x14ac:dyDescent="0.25">
      <c r="A63" s="12">
        <v>46044</v>
      </c>
      <c r="B63" s="68" t="s">
        <v>22</v>
      </c>
      <c r="C63" s="13" t="s">
        <v>72</v>
      </c>
      <c r="D63" s="14">
        <v>1</v>
      </c>
      <c r="E63" s="15">
        <v>12.5</v>
      </c>
      <c r="F63" s="15">
        <f>Tabla8[[#This Row],[CANTIDAD]]*Tabla8[[#This Row],[PRECIO]]</f>
        <v>12.5</v>
      </c>
      <c r="G63" s="13" t="s">
        <v>323</v>
      </c>
      <c r="H63" s="13"/>
      <c r="I63" s="13" t="str">
        <f t="shared" si="2"/>
        <v>ENERO</v>
      </c>
      <c r="J63" s="13">
        <f t="shared" si="3"/>
        <v>2026</v>
      </c>
      <c r="K63" s="13" t="s">
        <v>18</v>
      </c>
      <c r="L63" s="13"/>
    </row>
    <row r="64" spans="1:12" x14ac:dyDescent="0.25">
      <c r="A64" s="12">
        <v>46044</v>
      </c>
      <c r="B64" s="68" t="s">
        <v>19</v>
      </c>
      <c r="C64" s="13" t="s">
        <v>72</v>
      </c>
      <c r="D64" s="14">
        <v>1</v>
      </c>
      <c r="E64" s="15">
        <v>9</v>
      </c>
      <c r="F64" s="15">
        <f>Tabla8[[#This Row],[CANTIDAD]]*Tabla8[[#This Row],[PRECIO]]</f>
        <v>9</v>
      </c>
      <c r="G64" s="13" t="s">
        <v>332</v>
      </c>
      <c r="H64" s="13"/>
      <c r="I64" s="13" t="str">
        <f t="shared" si="2"/>
        <v>ENERO</v>
      </c>
      <c r="J64" s="13">
        <f t="shared" si="3"/>
        <v>2026</v>
      </c>
      <c r="K64" s="13" t="s">
        <v>18</v>
      </c>
      <c r="L64" s="13"/>
    </row>
    <row r="65" spans="1:12" x14ac:dyDescent="0.25">
      <c r="A65" s="12">
        <v>46044</v>
      </c>
      <c r="B65" s="68" t="s">
        <v>67</v>
      </c>
      <c r="C65" s="13" t="s">
        <v>66</v>
      </c>
      <c r="D65" s="14">
        <v>1</v>
      </c>
      <c r="E65" s="15">
        <v>10</v>
      </c>
      <c r="F65" s="15">
        <f>Tabla8[[#This Row],[CANTIDAD]]*Tabla8[[#This Row],[PRECIO]]</f>
        <v>10</v>
      </c>
      <c r="G65" s="13" t="s">
        <v>426</v>
      </c>
      <c r="H65" s="13"/>
      <c r="I65" s="13" t="str">
        <f t="shared" si="2"/>
        <v>ENERO</v>
      </c>
      <c r="J65" s="13">
        <f t="shared" si="3"/>
        <v>2026</v>
      </c>
      <c r="K65" s="13" t="s">
        <v>27</v>
      </c>
      <c r="L65" s="13"/>
    </row>
    <row r="66" spans="1:12" x14ac:dyDescent="0.25">
      <c r="A66" s="12">
        <v>46045</v>
      </c>
      <c r="B66" s="68" t="s">
        <v>19</v>
      </c>
      <c r="C66" s="13" t="s">
        <v>72</v>
      </c>
      <c r="D66" s="14">
        <v>1</v>
      </c>
      <c r="E66" s="15">
        <v>3.5</v>
      </c>
      <c r="F66" s="15">
        <f>Tabla8[[#This Row],[CANTIDAD]]*Tabla8[[#This Row],[PRECIO]]</f>
        <v>3.5</v>
      </c>
      <c r="G66" s="13" t="s">
        <v>19</v>
      </c>
      <c r="H66" s="13"/>
      <c r="I66" s="13" t="str">
        <f t="shared" si="2"/>
        <v>ENERO</v>
      </c>
      <c r="J66" s="13">
        <f t="shared" si="3"/>
        <v>2026</v>
      </c>
      <c r="K66" s="13" t="s">
        <v>18</v>
      </c>
      <c r="L66" s="13"/>
    </row>
    <row r="67" spans="1:12" x14ac:dyDescent="0.25">
      <c r="A67" s="12">
        <v>46045</v>
      </c>
      <c r="B67" s="68" t="s">
        <v>22</v>
      </c>
      <c r="C67" s="13" t="s">
        <v>72</v>
      </c>
      <c r="D67" s="14">
        <v>1</v>
      </c>
      <c r="E67" s="15">
        <v>8.75</v>
      </c>
      <c r="F67" s="15">
        <f>Tabla8[[#This Row],[CANTIDAD]]*Tabla8[[#This Row],[PRECIO]]</f>
        <v>8.75</v>
      </c>
      <c r="G67" s="13" t="s">
        <v>323</v>
      </c>
      <c r="H67" s="13"/>
      <c r="I67" s="13" t="str">
        <f t="shared" si="2"/>
        <v>ENERO</v>
      </c>
      <c r="J67" s="13">
        <f t="shared" si="3"/>
        <v>2026</v>
      </c>
      <c r="K67" s="13" t="s">
        <v>18</v>
      </c>
      <c r="L67" s="13"/>
    </row>
    <row r="68" spans="1:12" x14ac:dyDescent="0.25">
      <c r="A68" s="12">
        <v>46045</v>
      </c>
      <c r="B68" s="68" t="s">
        <v>67</v>
      </c>
      <c r="C68" s="13" t="s">
        <v>421</v>
      </c>
      <c r="D68" s="14">
        <v>1</v>
      </c>
      <c r="E68" s="15">
        <v>15</v>
      </c>
      <c r="F68" s="15">
        <f>Tabla8[[#This Row],[CANTIDAD]]*Tabla8[[#This Row],[PRECIO]]</f>
        <v>15</v>
      </c>
      <c r="G68" s="13" t="s">
        <v>427</v>
      </c>
      <c r="H68" s="13"/>
      <c r="I68" s="13" t="str">
        <f t="shared" ref="I68:I99" si="4">UPPER(TEXT(A68,"MMMM"))</f>
        <v>ENERO</v>
      </c>
      <c r="J68" s="13">
        <f t="shared" ref="J68:J99" si="5">+YEAR(A68)</f>
        <v>2026</v>
      </c>
      <c r="K68" s="13" t="s">
        <v>27</v>
      </c>
      <c r="L68" s="13"/>
    </row>
    <row r="69" spans="1:12" x14ac:dyDescent="0.25">
      <c r="A69" s="12">
        <v>46045</v>
      </c>
      <c r="B69" s="68" t="s">
        <v>67</v>
      </c>
      <c r="C69" s="13" t="s">
        <v>428</v>
      </c>
      <c r="D69" s="14">
        <v>1</v>
      </c>
      <c r="E69" s="15">
        <v>62.25</v>
      </c>
      <c r="F69" s="15">
        <f>Tabla8[[#This Row],[CANTIDAD]]*Tabla8[[#This Row],[PRECIO]]</f>
        <v>62.25</v>
      </c>
      <c r="G69" s="13" t="s">
        <v>429</v>
      </c>
      <c r="H69" s="13"/>
      <c r="I69" s="13" t="str">
        <f t="shared" si="4"/>
        <v>ENERO</v>
      </c>
      <c r="J69" s="13">
        <f t="shared" si="5"/>
        <v>2026</v>
      </c>
      <c r="K69" s="13" t="s">
        <v>27</v>
      </c>
      <c r="L69" s="13"/>
    </row>
    <row r="70" spans="1:12" x14ac:dyDescent="0.25">
      <c r="A70" s="12">
        <v>46046</v>
      </c>
      <c r="B70" s="68" t="s">
        <v>67</v>
      </c>
      <c r="C70" s="13" t="s">
        <v>72</v>
      </c>
      <c r="D70" s="14">
        <v>1</v>
      </c>
      <c r="E70" s="15">
        <v>1.5</v>
      </c>
      <c r="F70" s="15">
        <f>Tabla8[[#This Row],[CANTIDAD]]*Tabla8[[#This Row],[PRECIO]]</f>
        <v>1.5</v>
      </c>
      <c r="G70" s="13" t="s">
        <v>311</v>
      </c>
      <c r="H70" s="13"/>
      <c r="I70" s="13" t="str">
        <f t="shared" si="4"/>
        <v>ENERO</v>
      </c>
      <c r="J70" s="13">
        <f t="shared" si="5"/>
        <v>2026</v>
      </c>
      <c r="K70" s="13" t="s">
        <v>18</v>
      </c>
      <c r="L70" s="13"/>
    </row>
    <row r="71" spans="1:12" x14ac:dyDescent="0.25">
      <c r="A71" s="12">
        <v>46046</v>
      </c>
      <c r="B71" s="68" t="s">
        <v>22</v>
      </c>
      <c r="C71" s="13" t="s">
        <v>72</v>
      </c>
      <c r="D71" s="14">
        <v>1</v>
      </c>
      <c r="E71" s="15">
        <v>1.35</v>
      </c>
      <c r="F71" s="15">
        <f>Tabla8[[#This Row],[CANTIDAD]]*Tabla8[[#This Row],[PRECIO]]</f>
        <v>1.35</v>
      </c>
      <c r="G71" s="13" t="s">
        <v>154</v>
      </c>
      <c r="H71" s="13"/>
      <c r="I71" s="13" t="str">
        <f t="shared" si="4"/>
        <v>ENERO</v>
      </c>
      <c r="J71" s="13">
        <f t="shared" si="5"/>
        <v>2026</v>
      </c>
      <c r="K71" s="13" t="s">
        <v>18</v>
      </c>
      <c r="L71" s="13"/>
    </row>
    <row r="72" spans="1:12" x14ac:dyDescent="0.25">
      <c r="A72" s="12">
        <v>46046</v>
      </c>
      <c r="B72" s="68" t="s">
        <v>67</v>
      </c>
      <c r="C72" s="13" t="s">
        <v>72</v>
      </c>
      <c r="D72" s="14">
        <v>1</v>
      </c>
      <c r="E72" s="15">
        <v>0.25</v>
      </c>
      <c r="F72" s="15">
        <f>Tabla8[[#This Row],[CANTIDAD]]*Tabla8[[#This Row],[PRECIO]]</f>
        <v>0.25</v>
      </c>
      <c r="G72" s="13" t="s">
        <v>340</v>
      </c>
      <c r="H72" s="13"/>
      <c r="I72" s="13" t="str">
        <f t="shared" si="4"/>
        <v>ENERO</v>
      </c>
      <c r="J72" s="13">
        <f t="shared" si="5"/>
        <v>2026</v>
      </c>
      <c r="K72" s="13" t="s">
        <v>18</v>
      </c>
      <c r="L72" s="13"/>
    </row>
    <row r="73" spans="1:12" x14ac:dyDescent="0.25">
      <c r="A73" s="12">
        <v>46046</v>
      </c>
      <c r="B73" s="68" t="s">
        <v>67</v>
      </c>
      <c r="C73" s="13" t="s">
        <v>72</v>
      </c>
      <c r="D73" s="14">
        <v>1</v>
      </c>
      <c r="E73" s="15">
        <v>1.2</v>
      </c>
      <c r="F73" s="15">
        <f>Tabla8[[#This Row],[CANTIDAD]]*Tabla8[[#This Row],[PRECIO]]</f>
        <v>1.2</v>
      </c>
      <c r="G73" s="13" t="s">
        <v>341</v>
      </c>
      <c r="H73" s="13"/>
      <c r="I73" s="13" t="str">
        <f t="shared" si="4"/>
        <v>ENERO</v>
      </c>
      <c r="J73" s="13">
        <f t="shared" si="5"/>
        <v>2026</v>
      </c>
      <c r="K73" s="13" t="s">
        <v>18</v>
      </c>
      <c r="L73" s="13"/>
    </row>
    <row r="74" spans="1:12" x14ac:dyDescent="0.25">
      <c r="A74" s="12">
        <v>46046</v>
      </c>
      <c r="B74" s="68" t="s">
        <v>19</v>
      </c>
      <c r="C74" s="13" t="s">
        <v>66</v>
      </c>
      <c r="D74" s="14">
        <v>1</v>
      </c>
      <c r="E74" s="15">
        <v>2.5</v>
      </c>
      <c r="F74" s="15">
        <f>Tabla8[[#This Row],[CANTIDAD]]*Tabla8[[#This Row],[PRECIO]]</f>
        <v>2.5</v>
      </c>
      <c r="G74" s="13" t="s">
        <v>19</v>
      </c>
      <c r="H74" s="13"/>
      <c r="I74" s="13" t="str">
        <f t="shared" si="4"/>
        <v>ENERO</v>
      </c>
      <c r="J74" s="13">
        <f t="shared" si="5"/>
        <v>2026</v>
      </c>
      <c r="K74" s="13" t="s">
        <v>18</v>
      </c>
      <c r="L74" s="13"/>
    </row>
    <row r="75" spans="1:12" x14ac:dyDescent="0.25">
      <c r="A75" s="12">
        <v>46046</v>
      </c>
      <c r="B75" s="68" t="s">
        <v>69</v>
      </c>
      <c r="C75" s="13" t="s">
        <v>301</v>
      </c>
      <c r="D75" s="14">
        <v>1</v>
      </c>
      <c r="E75" s="15">
        <v>32.79</v>
      </c>
      <c r="F75" s="15">
        <f>Tabla8[[#This Row],[CANTIDAD]]*Tabla8[[#This Row],[PRECIO]]</f>
        <v>32.79</v>
      </c>
      <c r="G75" s="13" t="s">
        <v>461</v>
      </c>
      <c r="H75" s="13"/>
      <c r="I75" s="13" t="str">
        <f t="shared" si="4"/>
        <v>ENERO</v>
      </c>
      <c r="J75" s="13">
        <f t="shared" si="5"/>
        <v>2026</v>
      </c>
      <c r="K75" s="13" t="s">
        <v>27</v>
      </c>
      <c r="L75" s="13"/>
    </row>
    <row r="76" spans="1:12" x14ac:dyDescent="0.25">
      <c r="A76" s="12">
        <v>46048</v>
      </c>
      <c r="B76" s="68" t="s">
        <v>67</v>
      </c>
      <c r="C76" s="13" t="s">
        <v>390</v>
      </c>
      <c r="D76" s="14">
        <v>1</v>
      </c>
      <c r="E76" s="15">
        <v>16.5</v>
      </c>
      <c r="F76" s="15">
        <f>Tabla8[[#This Row],[CANTIDAD]]*Tabla8[[#This Row],[PRECIO]]</f>
        <v>16.5</v>
      </c>
      <c r="G76" s="13" t="s">
        <v>424</v>
      </c>
      <c r="H76" s="13"/>
      <c r="I76" s="13" t="str">
        <f t="shared" si="4"/>
        <v>ENERO</v>
      </c>
      <c r="J76" s="13">
        <f t="shared" si="5"/>
        <v>2026</v>
      </c>
      <c r="K76" s="13" t="s">
        <v>27</v>
      </c>
      <c r="L76" s="13"/>
    </row>
    <row r="77" spans="1:12" x14ac:dyDescent="0.25">
      <c r="A77" s="12">
        <v>46048</v>
      </c>
      <c r="B77" s="68" t="s">
        <v>67</v>
      </c>
      <c r="C77" s="13" t="s">
        <v>430</v>
      </c>
      <c r="D77" s="14">
        <v>1</v>
      </c>
      <c r="E77" s="15">
        <v>47.15</v>
      </c>
      <c r="F77" s="15">
        <f>Tabla8[[#This Row],[CANTIDAD]]*Tabla8[[#This Row],[PRECIO]]</f>
        <v>47.15</v>
      </c>
      <c r="G77" s="13" t="s">
        <v>431</v>
      </c>
      <c r="H77" s="13"/>
      <c r="I77" s="13" t="str">
        <f t="shared" si="4"/>
        <v>ENERO</v>
      </c>
      <c r="J77" s="13">
        <f t="shared" si="5"/>
        <v>2026</v>
      </c>
      <c r="K77" s="13" t="s">
        <v>27</v>
      </c>
      <c r="L77" s="13"/>
    </row>
    <row r="78" spans="1:12" x14ac:dyDescent="0.25">
      <c r="A78" s="12">
        <v>46048</v>
      </c>
      <c r="B78" s="68" t="s">
        <v>67</v>
      </c>
      <c r="C78" s="13" t="s">
        <v>390</v>
      </c>
      <c r="D78" s="14">
        <v>1</v>
      </c>
      <c r="E78" s="15">
        <v>6.99</v>
      </c>
      <c r="F78" s="15">
        <f>Tabla8[[#This Row],[CANTIDAD]]*Tabla8[[#This Row],[PRECIO]]</f>
        <v>6.99</v>
      </c>
      <c r="G78" s="13" t="s">
        <v>424</v>
      </c>
      <c r="H78" s="13"/>
      <c r="I78" s="13" t="str">
        <f t="shared" si="4"/>
        <v>ENERO</v>
      </c>
      <c r="J78" s="13">
        <f t="shared" si="5"/>
        <v>2026</v>
      </c>
      <c r="K78" s="13" t="s">
        <v>27</v>
      </c>
      <c r="L78" s="13"/>
    </row>
    <row r="79" spans="1:12" x14ac:dyDescent="0.25">
      <c r="A79" s="12">
        <v>46048</v>
      </c>
      <c r="B79" s="68" t="s">
        <v>67</v>
      </c>
      <c r="C79" s="13" t="s">
        <v>66</v>
      </c>
      <c r="D79" s="14">
        <v>1</v>
      </c>
      <c r="E79" s="15">
        <v>4.55</v>
      </c>
      <c r="F79" s="15">
        <f>Tabla8[[#This Row],[CANTIDAD]]*Tabla8[[#This Row],[PRECIO]]</f>
        <v>4.55</v>
      </c>
      <c r="G79" s="13" t="s">
        <v>432</v>
      </c>
      <c r="H79" s="13"/>
      <c r="I79" s="13" t="str">
        <f t="shared" si="4"/>
        <v>ENERO</v>
      </c>
      <c r="J79" s="13">
        <f t="shared" si="5"/>
        <v>2026</v>
      </c>
      <c r="K79" s="13" t="s">
        <v>27</v>
      </c>
      <c r="L79" s="13"/>
    </row>
    <row r="80" spans="1:12" x14ac:dyDescent="0.25">
      <c r="A80" s="12">
        <v>46049</v>
      </c>
      <c r="B80" s="68" t="s">
        <v>19</v>
      </c>
      <c r="C80" s="13" t="s">
        <v>66</v>
      </c>
      <c r="D80" s="14">
        <v>1</v>
      </c>
      <c r="E80" s="15">
        <v>2</v>
      </c>
      <c r="F80" s="15">
        <f>Tabla8[[#This Row],[CANTIDAD]]*Tabla8[[#This Row],[PRECIO]]</f>
        <v>2</v>
      </c>
      <c r="G80" s="13" t="s">
        <v>19</v>
      </c>
      <c r="H80" s="13"/>
      <c r="I80" s="13" t="str">
        <f t="shared" si="4"/>
        <v>ENERO</v>
      </c>
      <c r="J80" s="13">
        <f t="shared" si="5"/>
        <v>2026</v>
      </c>
      <c r="K80" s="13" t="s">
        <v>18</v>
      </c>
      <c r="L80" s="13"/>
    </row>
    <row r="81" spans="1:12" x14ac:dyDescent="0.25">
      <c r="A81" s="12">
        <v>46049</v>
      </c>
      <c r="B81" s="68" t="s">
        <v>22</v>
      </c>
      <c r="C81" s="13" t="s">
        <v>66</v>
      </c>
      <c r="D81" s="14">
        <v>1</v>
      </c>
      <c r="E81" s="15">
        <v>9.8000000000000007</v>
      </c>
      <c r="F81" s="15">
        <f>Tabla8[[#This Row],[CANTIDAD]]*Tabla8[[#This Row],[PRECIO]]</f>
        <v>9.8000000000000007</v>
      </c>
      <c r="G81" s="13" t="s">
        <v>323</v>
      </c>
      <c r="H81" s="13"/>
      <c r="I81" s="13" t="str">
        <f t="shared" si="4"/>
        <v>ENERO</v>
      </c>
      <c r="J81" s="13">
        <f t="shared" si="5"/>
        <v>2026</v>
      </c>
      <c r="K81" s="13" t="s">
        <v>18</v>
      </c>
      <c r="L81" s="13"/>
    </row>
    <row r="82" spans="1:12" x14ac:dyDescent="0.25">
      <c r="A82" s="12">
        <v>46049</v>
      </c>
      <c r="B82" s="68" t="s">
        <v>67</v>
      </c>
      <c r="C82" s="13" t="s">
        <v>390</v>
      </c>
      <c r="D82" s="14">
        <v>1</v>
      </c>
      <c r="E82" s="15">
        <v>6.99</v>
      </c>
      <c r="F82" s="15">
        <f>Tabla8[[#This Row],[CANTIDAD]]*Tabla8[[#This Row],[PRECIO]]</f>
        <v>6.99</v>
      </c>
      <c r="G82" s="13" t="s">
        <v>424</v>
      </c>
      <c r="H82" s="13"/>
      <c r="I82" s="13" t="str">
        <f t="shared" si="4"/>
        <v>ENERO</v>
      </c>
      <c r="J82" s="13">
        <f t="shared" si="5"/>
        <v>2026</v>
      </c>
      <c r="K82" s="13" t="s">
        <v>27</v>
      </c>
      <c r="L82" s="13"/>
    </row>
    <row r="83" spans="1:12" x14ac:dyDescent="0.25">
      <c r="A83" s="12">
        <v>46049</v>
      </c>
      <c r="B83" s="68" t="s">
        <v>67</v>
      </c>
      <c r="C83" s="13" t="s">
        <v>430</v>
      </c>
      <c r="D83" s="14">
        <v>1</v>
      </c>
      <c r="E83" s="15">
        <v>47.15</v>
      </c>
      <c r="F83" s="15">
        <f>Tabla8[[#This Row],[CANTIDAD]]*Tabla8[[#This Row],[PRECIO]]</f>
        <v>47.15</v>
      </c>
      <c r="G83" s="13" t="s">
        <v>431</v>
      </c>
      <c r="H83" s="13"/>
      <c r="I83" s="13" t="str">
        <f t="shared" si="4"/>
        <v>ENERO</v>
      </c>
      <c r="J83" s="13">
        <f t="shared" si="5"/>
        <v>2026</v>
      </c>
      <c r="K83" s="13" t="s">
        <v>27</v>
      </c>
      <c r="L83" s="13"/>
    </row>
    <row r="84" spans="1:12" x14ac:dyDescent="0.25">
      <c r="A84" s="12">
        <v>46050</v>
      </c>
      <c r="B84" s="68" t="s">
        <v>22</v>
      </c>
      <c r="C84" s="13" t="s">
        <v>66</v>
      </c>
      <c r="D84" s="14">
        <v>1</v>
      </c>
      <c r="E84" s="15">
        <v>1.35</v>
      </c>
      <c r="F84" s="15">
        <f>Tabla8[[#This Row],[CANTIDAD]]*Tabla8[[#This Row],[PRECIO]]</f>
        <v>1.35</v>
      </c>
      <c r="G84" s="13" t="s">
        <v>154</v>
      </c>
      <c r="H84" s="13"/>
      <c r="I84" s="13" t="str">
        <f t="shared" si="4"/>
        <v>ENERO</v>
      </c>
      <c r="J84" s="13">
        <f t="shared" si="5"/>
        <v>2026</v>
      </c>
      <c r="K84" s="13" t="s">
        <v>18</v>
      </c>
      <c r="L84" s="13"/>
    </row>
    <row r="85" spans="1:12" x14ac:dyDescent="0.25">
      <c r="A85" s="12">
        <v>46050</v>
      </c>
      <c r="B85" s="68" t="s">
        <v>22</v>
      </c>
      <c r="C85" s="13" t="s">
        <v>66</v>
      </c>
      <c r="D85" s="14">
        <v>1</v>
      </c>
      <c r="E85" s="15">
        <v>7</v>
      </c>
      <c r="F85" s="15">
        <f>Tabla8[[#This Row],[CANTIDAD]]*Tabla8[[#This Row],[PRECIO]]</f>
        <v>7</v>
      </c>
      <c r="G85" s="13" t="s">
        <v>323</v>
      </c>
      <c r="H85" s="13"/>
      <c r="I85" s="13" t="str">
        <f t="shared" si="4"/>
        <v>ENERO</v>
      </c>
      <c r="J85" s="13">
        <f t="shared" si="5"/>
        <v>2026</v>
      </c>
      <c r="K85" s="13" t="s">
        <v>18</v>
      </c>
      <c r="L85" s="13"/>
    </row>
    <row r="86" spans="1:12" x14ac:dyDescent="0.25">
      <c r="A86" s="12">
        <v>46050</v>
      </c>
      <c r="B86" s="68" t="s">
        <v>68</v>
      </c>
      <c r="C86" s="13" t="s">
        <v>65</v>
      </c>
      <c r="D86" s="14">
        <v>1</v>
      </c>
      <c r="E86" s="15">
        <v>30</v>
      </c>
      <c r="F86" s="15">
        <f>Tabla8[[#This Row],[CANTIDAD]]*Tabla8[[#This Row],[PRECIO]]</f>
        <v>30</v>
      </c>
      <c r="G86" s="13" t="s">
        <v>361</v>
      </c>
      <c r="H86" s="13"/>
      <c r="I86" s="13" t="str">
        <f t="shared" si="4"/>
        <v>ENERO</v>
      </c>
      <c r="J86" s="13">
        <f t="shared" si="5"/>
        <v>2026</v>
      </c>
      <c r="K86" s="13" t="s">
        <v>18</v>
      </c>
      <c r="L86" s="13"/>
    </row>
    <row r="87" spans="1:12" x14ac:dyDescent="0.25">
      <c r="A87" s="12">
        <v>46050</v>
      </c>
      <c r="B87" s="68" t="s">
        <v>22</v>
      </c>
      <c r="C87" s="13" t="s">
        <v>65</v>
      </c>
      <c r="D87" s="14">
        <v>1</v>
      </c>
      <c r="E87" s="15">
        <v>1</v>
      </c>
      <c r="F87" s="15">
        <f>Tabla8[[#This Row],[CANTIDAD]]*Tabla8[[#This Row],[PRECIO]]</f>
        <v>1</v>
      </c>
      <c r="G87" s="13" t="s">
        <v>362</v>
      </c>
      <c r="H87" s="13"/>
      <c r="I87" s="13" t="str">
        <f t="shared" si="4"/>
        <v>ENERO</v>
      </c>
      <c r="J87" s="13">
        <f t="shared" si="5"/>
        <v>2026</v>
      </c>
      <c r="K87" s="13" t="s">
        <v>18</v>
      </c>
      <c r="L87" s="13"/>
    </row>
    <row r="88" spans="1:12" x14ac:dyDescent="0.25">
      <c r="A88" s="12">
        <v>46050</v>
      </c>
      <c r="B88" s="68" t="s">
        <v>67</v>
      </c>
      <c r="C88" s="13" t="s">
        <v>430</v>
      </c>
      <c r="D88" s="14">
        <v>1</v>
      </c>
      <c r="E88" s="15">
        <v>47.15</v>
      </c>
      <c r="F88" s="15">
        <f>Tabla8[[#This Row],[CANTIDAD]]*Tabla8[[#This Row],[PRECIO]]</f>
        <v>47.15</v>
      </c>
      <c r="G88" s="13" t="s">
        <v>431</v>
      </c>
      <c r="H88" s="13"/>
      <c r="I88" s="13" t="str">
        <f t="shared" si="4"/>
        <v>ENERO</v>
      </c>
      <c r="J88" s="13">
        <f t="shared" si="5"/>
        <v>2026</v>
      </c>
      <c r="K88" s="13" t="s">
        <v>27</v>
      </c>
      <c r="L88" s="13"/>
    </row>
    <row r="89" spans="1:12" x14ac:dyDescent="0.25">
      <c r="A89" s="12">
        <v>46050</v>
      </c>
      <c r="B89" s="68" t="s">
        <v>67</v>
      </c>
      <c r="C89" s="13" t="s">
        <v>66</v>
      </c>
      <c r="D89" s="14">
        <v>1</v>
      </c>
      <c r="E89" s="15">
        <v>4.5</v>
      </c>
      <c r="F89" s="15">
        <f>Tabla8[[#This Row],[CANTIDAD]]*Tabla8[[#This Row],[PRECIO]]</f>
        <v>4.5</v>
      </c>
      <c r="G89" s="13" t="s">
        <v>22</v>
      </c>
      <c r="H89" s="13"/>
      <c r="I89" s="13" t="str">
        <f t="shared" si="4"/>
        <v>ENERO</v>
      </c>
      <c r="J89" s="13">
        <f t="shared" si="5"/>
        <v>2026</v>
      </c>
      <c r="K89" s="13" t="s">
        <v>27</v>
      </c>
      <c r="L89" s="13"/>
    </row>
    <row r="90" spans="1:12" x14ac:dyDescent="0.25">
      <c r="A90" s="12">
        <v>46051</v>
      </c>
      <c r="B90" s="68" t="s">
        <v>67</v>
      </c>
      <c r="C90" s="13" t="s">
        <v>430</v>
      </c>
      <c r="D90" s="14">
        <v>1</v>
      </c>
      <c r="E90" s="15">
        <v>3.45</v>
      </c>
      <c r="F90" s="15">
        <f>Tabla8[[#This Row],[CANTIDAD]]*Tabla8[[#This Row],[PRECIO]]</f>
        <v>3.45</v>
      </c>
      <c r="G90" s="13" t="s">
        <v>312</v>
      </c>
      <c r="H90" s="13"/>
      <c r="I90" s="13" t="str">
        <f t="shared" si="4"/>
        <v>ENERO</v>
      </c>
      <c r="J90" s="13">
        <f t="shared" si="5"/>
        <v>2026</v>
      </c>
      <c r="K90" s="13" t="s">
        <v>27</v>
      </c>
      <c r="L90" s="13"/>
    </row>
    <row r="91" spans="1:12" x14ac:dyDescent="0.25">
      <c r="A91" s="12">
        <v>46051</v>
      </c>
      <c r="B91" s="68" t="s">
        <v>67</v>
      </c>
      <c r="C91" s="13" t="s">
        <v>390</v>
      </c>
      <c r="D91" s="14">
        <v>1</v>
      </c>
      <c r="E91" s="15">
        <v>6.05</v>
      </c>
      <c r="F91" s="15">
        <f>Tabla8[[#This Row],[CANTIDAD]]*Tabla8[[#This Row],[PRECIO]]</f>
        <v>6.05</v>
      </c>
      <c r="G91" s="13" t="s">
        <v>424</v>
      </c>
      <c r="H91" s="13"/>
      <c r="I91" s="13" t="str">
        <f t="shared" si="4"/>
        <v>ENERO</v>
      </c>
      <c r="J91" s="13">
        <f t="shared" si="5"/>
        <v>2026</v>
      </c>
      <c r="K91" s="13" t="s">
        <v>27</v>
      </c>
      <c r="L91" s="13"/>
    </row>
    <row r="92" spans="1:12" x14ac:dyDescent="0.25">
      <c r="A92" s="12">
        <v>46052</v>
      </c>
      <c r="B92" s="68" t="s">
        <v>22</v>
      </c>
      <c r="C92" s="13" t="s">
        <v>65</v>
      </c>
      <c r="D92" s="14">
        <v>1</v>
      </c>
      <c r="E92" s="15">
        <v>5.49</v>
      </c>
      <c r="F92" s="15">
        <f>Tabla8[[#This Row],[CANTIDAD]]*Tabla8[[#This Row],[PRECIO]]</f>
        <v>5.49</v>
      </c>
      <c r="G92" s="13" t="s">
        <v>154</v>
      </c>
      <c r="H92" s="13"/>
      <c r="I92" s="13" t="str">
        <f t="shared" si="4"/>
        <v>ENERO</v>
      </c>
      <c r="J92" s="13">
        <f t="shared" si="5"/>
        <v>2026</v>
      </c>
      <c r="K92" s="13" t="s">
        <v>18</v>
      </c>
      <c r="L92" s="13"/>
    </row>
    <row r="93" spans="1:12" x14ac:dyDescent="0.25">
      <c r="A93" s="12">
        <v>46052</v>
      </c>
      <c r="B93" s="68" t="s">
        <v>22</v>
      </c>
      <c r="C93" s="13" t="s">
        <v>65</v>
      </c>
      <c r="D93" s="14">
        <v>1</v>
      </c>
      <c r="E93" s="15">
        <v>1</v>
      </c>
      <c r="F93" s="15">
        <f>Tabla8[[#This Row],[CANTIDAD]]*Tabla8[[#This Row],[PRECIO]]</f>
        <v>1</v>
      </c>
      <c r="G93" s="13" t="s">
        <v>154</v>
      </c>
      <c r="H93" s="13"/>
      <c r="I93" s="13" t="str">
        <f t="shared" si="4"/>
        <v>ENERO</v>
      </c>
      <c r="J93" s="13">
        <f t="shared" si="5"/>
        <v>2026</v>
      </c>
      <c r="K93" s="13" t="s">
        <v>18</v>
      </c>
      <c r="L93" s="13"/>
    </row>
    <row r="94" spans="1:12" x14ac:dyDescent="0.25">
      <c r="A94" s="12">
        <v>46053</v>
      </c>
      <c r="B94" s="12" t="s">
        <v>22</v>
      </c>
      <c r="C94" s="13" t="s">
        <v>66</v>
      </c>
      <c r="D94" s="14">
        <v>1</v>
      </c>
      <c r="E94" s="15">
        <v>1.75</v>
      </c>
      <c r="F94" s="15">
        <f>Tabla8[[#This Row],[CANTIDAD]]*Tabla8[[#This Row],[PRECIO]]</f>
        <v>1.75</v>
      </c>
      <c r="G94" s="13" t="s">
        <v>403</v>
      </c>
      <c r="H94" s="13"/>
      <c r="I94" s="13" t="str">
        <f t="shared" si="4"/>
        <v>ENERO</v>
      </c>
      <c r="J94" s="13">
        <f t="shared" si="5"/>
        <v>2026</v>
      </c>
      <c r="K94" s="13" t="s">
        <v>18</v>
      </c>
      <c r="L94" s="13"/>
    </row>
    <row r="95" spans="1:12" x14ac:dyDescent="0.25">
      <c r="A95" s="12">
        <v>46053</v>
      </c>
      <c r="B95" s="12" t="s">
        <v>22</v>
      </c>
      <c r="C95" s="13" t="s">
        <v>66</v>
      </c>
      <c r="D95" s="14">
        <v>1</v>
      </c>
      <c r="E95" s="15">
        <v>2</v>
      </c>
      <c r="F95" s="15">
        <f>Tabla8[[#This Row],[CANTIDAD]]*Tabla8[[#This Row],[PRECIO]]</f>
        <v>2</v>
      </c>
      <c r="G95" s="13" t="s">
        <v>404</v>
      </c>
      <c r="H95" s="13"/>
      <c r="I95" s="13" t="str">
        <f t="shared" si="4"/>
        <v>ENERO</v>
      </c>
      <c r="J95" s="13">
        <f t="shared" si="5"/>
        <v>2026</v>
      </c>
      <c r="K95" s="13" t="s">
        <v>18</v>
      </c>
      <c r="L95" s="13"/>
    </row>
    <row r="96" spans="1:12" x14ac:dyDescent="0.25">
      <c r="A96" s="12">
        <v>46053</v>
      </c>
      <c r="B96" s="12" t="s">
        <v>69</v>
      </c>
      <c r="C96" s="13" t="s">
        <v>66</v>
      </c>
      <c r="D96" s="14">
        <v>1</v>
      </c>
      <c r="E96" s="15">
        <v>10</v>
      </c>
      <c r="F96" s="15">
        <f>Tabla8[[#This Row],[CANTIDAD]]*Tabla8[[#This Row],[PRECIO]]</f>
        <v>10</v>
      </c>
      <c r="G96" s="13" t="s">
        <v>301</v>
      </c>
      <c r="H96" s="13"/>
      <c r="I96" s="13" t="str">
        <f t="shared" si="4"/>
        <v>ENERO</v>
      </c>
      <c r="J96" s="13">
        <f t="shared" si="5"/>
        <v>2026</v>
      </c>
      <c r="K96" s="13" t="s">
        <v>18</v>
      </c>
      <c r="L96" s="13"/>
    </row>
    <row r="97" spans="1:12" x14ac:dyDescent="0.25">
      <c r="A97" s="12">
        <v>46053</v>
      </c>
      <c r="B97" s="68" t="s">
        <v>69</v>
      </c>
      <c r="C97" s="13" t="s">
        <v>65</v>
      </c>
      <c r="D97" s="14">
        <v>1</v>
      </c>
      <c r="E97" s="15">
        <v>11.05</v>
      </c>
      <c r="F97" s="15">
        <f>Tabla8[[#This Row],[CANTIDAD]]*Tabla8[[#This Row],[PRECIO]]</f>
        <v>11.05</v>
      </c>
      <c r="G97" s="13" t="s">
        <v>408</v>
      </c>
      <c r="H97" s="13"/>
      <c r="I97" s="13" t="str">
        <f t="shared" si="4"/>
        <v>ENERO</v>
      </c>
      <c r="J97" s="13">
        <f t="shared" si="5"/>
        <v>2026</v>
      </c>
      <c r="K97" s="13" t="s">
        <v>18</v>
      </c>
      <c r="L97" s="13"/>
    </row>
    <row r="98" spans="1:12" x14ac:dyDescent="0.25">
      <c r="A98" s="12">
        <v>46053</v>
      </c>
      <c r="B98" s="12" t="s">
        <v>25</v>
      </c>
      <c r="C98" s="13" t="s">
        <v>27</v>
      </c>
      <c r="D98" s="14">
        <v>1</v>
      </c>
      <c r="E98" s="15">
        <v>300</v>
      </c>
      <c r="F98" s="15">
        <f>Tabla8[[#This Row],[CANTIDAD]]*Tabla8[[#This Row],[PRECIO]]</f>
        <v>300</v>
      </c>
      <c r="G98" s="13" t="s">
        <v>310</v>
      </c>
      <c r="H98" s="13"/>
      <c r="I98" s="13" t="str">
        <f t="shared" si="4"/>
        <v>ENERO</v>
      </c>
      <c r="J98" s="13">
        <f t="shared" si="5"/>
        <v>2026</v>
      </c>
      <c r="K98" s="13" t="s">
        <v>18</v>
      </c>
      <c r="L98" s="13"/>
    </row>
    <row r="99" spans="1:12" x14ac:dyDescent="0.25">
      <c r="A99" s="12">
        <v>46055</v>
      </c>
      <c r="B99" s="68" t="s">
        <v>22</v>
      </c>
      <c r="C99" s="13" t="s">
        <v>66</v>
      </c>
      <c r="D99" s="14">
        <v>1</v>
      </c>
      <c r="E99" s="15">
        <v>0.5</v>
      </c>
      <c r="F99" s="15">
        <f>Tabla8[[#This Row],[CANTIDAD]]*Tabla8[[#This Row],[PRECIO]]</f>
        <v>0.5</v>
      </c>
      <c r="G99" s="13" t="s">
        <v>22</v>
      </c>
      <c r="H99" s="13"/>
      <c r="I99" s="13" t="str">
        <f t="shared" si="4"/>
        <v>FEBRERO</v>
      </c>
      <c r="J99" s="13">
        <f t="shared" si="5"/>
        <v>2026</v>
      </c>
      <c r="K99" s="13" t="s">
        <v>27</v>
      </c>
      <c r="L99" s="13"/>
    </row>
    <row r="100" spans="1:12" x14ac:dyDescent="0.25">
      <c r="A100" s="12">
        <v>46055</v>
      </c>
      <c r="B100" s="68" t="s">
        <v>67</v>
      </c>
      <c r="C100" s="13" t="s">
        <v>66</v>
      </c>
      <c r="D100" s="14">
        <v>1</v>
      </c>
      <c r="E100" s="15">
        <v>432.51</v>
      </c>
      <c r="F100" s="15">
        <f>Tabla8[[#This Row],[CANTIDAD]]*Tabla8[[#This Row],[PRECIO]]</f>
        <v>432.51</v>
      </c>
      <c r="G100" s="13" t="s">
        <v>483</v>
      </c>
      <c r="H100" s="13"/>
      <c r="I100" s="13" t="str">
        <f t="shared" ref="I100:I131" si="6">UPPER(TEXT(A100,"MMMM"))</f>
        <v>FEBRERO</v>
      </c>
      <c r="J100" s="13">
        <f t="shared" ref="J100:J131" si="7">+YEAR(A100)</f>
        <v>2026</v>
      </c>
      <c r="K100" s="13" t="s">
        <v>27</v>
      </c>
      <c r="L100" s="13"/>
    </row>
    <row r="101" spans="1:12" x14ac:dyDescent="0.25">
      <c r="A101" s="12">
        <v>46056</v>
      </c>
      <c r="B101" s="68" t="s">
        <v>67</v>
      </c>
      <c r="C101" s="13" t="s">
        <v>66</v>
      </c>
      <c r="D101" s="14">
        <v>1</v>
      </c>
      <c r="E101" s="15">
        <v>13.8</v>
      </c>
      <c r="F101" s="15">
        <f>Tabla8[[#This Row],[CANTIDAD]]*Tabla8[[#This Row],[PRECIO]]</f>
        <v>13.8</v>
      </c>
      <c r="G101" s="13" t="s">
        <v>409</v>
      </c>
      <c r="H101" s="13"/>
      <c r="I101" s="13" t="str">
        <f t="shared" si="6"/>
        <v>FEBRERO</v>
      </c>
      <c r="J101" s="13">
        <f t="shared" si="7"/>
        <v>2026</v>
      </c>
      <c r="K101" s="13" t="s">
        <v>18</v>
      </c>
      <c r="L101" s="13"/>
    </row>
    <row r="102" spans="1:12" x14ac:dyDescent="0.25">
      <c r="A102" s="12">
        <v>46056</v>
      </c>
      <c r="B102" s="68" t="s">
        <v>69</v>
      </c>
      <c r="C102" s="13" t="s">
        <v>65</v>
      </c>
      <c r="D102" s="14">
        <v>1</v>
      </c>
      <c r="E102" s="15">
        <v>20</v>
      </c>
      <c r="F102" s="15">
        <f>Tabla8[[#This Row],[CANTIDAD]]*Tabla8[[#This Row],[PRECIO]]</f>
        <v>20</v>
      </c>
      <c r="G102" s="13" t="s">
        <v>410</v>
      </c>
      <c r="H102" s="13"/>
      <c r="I102" s="13" t="str">
        <f t="shared" si="6"/>
        <v>FEBRERO</v>
      </c>
      <c r="J102" s="13">
        <f t="shared" si="7"/>
        <v>2026</v>
      </c>
      <c r="K102" s="13" t="s">
        <v>18</v>
      </c>
      <c r="L102" s="13"/>
    </row>
    <row r="103" spans="1:12" x14ac:dyDescent="0.25">
      <c r="A103" s="12">
        <v>46056</v>
      </c>
      <c r="B103" s="68" t="s">
        <v>67</v>
      </c>
      <c r="C103" s="13" t="s">
        <v>66</v>
      </c>
      <c r="D103" s="14">
        <v>1</v>
      </c>
      <c r="E103" s="15">
        <v>22.45</v>
      </c>
      <c r="F103" s="15">
        <f>Tabla8[[#This Row],[CANTIDAD]]*Tabla8[[#This Row],[PRECIO]]</f>
        <v>22.45</v>
      </c>
      <c r="G103" s="13" t="s">
        <v>22</v>
      </c>
      <c r="H103" s="13"/>
      <c r="I103" s="13" t="str">
        <f t="shared" si="6"/>
        <v>FEBRERO</v>
      </c>
      <c r="J103" s="13">
        <f t="shared" si="7"/>
        <v>2026</v>
      </c>
      <c r="K103" s="13" t="s">
        <v>18</v>
      </c>
      <c r="L103" s="13"/>
    </row>
    <row r="104" spans="1:12" x14ac:dyDescent="0.25">
      <c r="A104" s="12">
        <v>46056</v>
      </c>
      <c r="B104" s="68" t="s">
        <v>67</v>
      </c>
      <c r="C104" s="13" t="s">
        <v>66</v>
      </c>
      <c r="D104" s="14">
        <v>1</v>
      </c>
      <c r="E104" s="15">
        <v>66.75</v>
      </c>
      <c r="F104" s="15">
        <f>Tabla8[[#This Row],[CANTIDAD]]*Tabla8[[#This Row],[PRECIO]]</f>
        <v>66.75</v>
      </c>
      <c r="G104" s="13" t="s">
        <v>411</v>
      </c>
      <c r="H104" s="13"/>
      <c r="I104" s="13" t="str">
        <f t="shared" si="6"/>
        <v>FEBRERO</v>
      </c>
      <c r="J104" s="13">
        <f t="shared" si="7"/>
        <v>2026</v>
      </c>
      <c r="K104" s="13" t="s">
        <v>18</v>
      </c>
      <c r="L104" s="13"/>
    </row>
    <row r="105" spans="1:12" x14ac:dyDescent="0.25">
      <c r="A105" s="12">
        <v>46056</v>
      </c>
      <c r="B105" s="68" t="s">
        <v>67</v>
      </c>
      <c r="C105" s="13" t="s">
        <v>66</v>
      </c>
      <c r="D105" s="14">
        <v>1</v>
      </c>
      <c r="E105" s="15">
        <v>34.950000000000003</v>
      </c>
      <c r="F105" s="15">
        <f>Tabla8[[#This Row],[CANTIDAD]]*Tabla8[[#This Row],[PRECIO]]</f>
        <v>34.950000000000003</v>
      </c>
      <c r="G105" s="13" t="s">
        <v>22</v>
      </c>
      <c r="H105" s="13"/>
      <c r="I105" s="13" t="str">
        <f t="shared" si="6"/>
        <v>FEBRERO</v>
      </c>
      <c r="J105" s="13">
        <f t="shared" si="7"/>
        <v>2026</v>
      </c>
      <c r="K105" s="13" t="s">
        <v>18</v>
      </c>
      <c r="L105" s="13"/>
    </row>
    <row r="106" spans="1:12" x14ac:dyDescent="0.25">
      <c r="A106" s="12">
        <v>46056</v>
      </c>
      <c r="B106" s="68" t="s">
        <v>22</v>
      </c>
      <c r="C106" s="13" t="s">
        <v>65</v>
      </c>
      <c r="D106" s="14">
        <v>1</v>
      </c>
      <c r="E106" s="15">
        <v>1.2</v>
      </c>
      <c r="F106" s="15">
        <f>Tabla8[[#This Row],[CANTIDAD]]*Tabla8[[#This Row],[PRECIO]]</f>
        <v>1.2</v>
      </c>
      <c r="G106" s="13" t="s">
        <v>472</v>
      </c>
      <c r="H106" s="13"/>
      <c r="I106" s="13" t="str">
        <f t="shared" si="6"/>
        <v>FEBRERO</v>
      </c>
      <c r="J106" s="13">
        <f t="shared" si="7"/>
        <v>2026</v>
      </c>
      <c r="K106" s="13" t="s">
        <v>18</v>
      </c>
      <c r="L106" s="13"/>
    </row>
    <row r="107" spans="1:12" x14ac:dyDescent="0.25">
      <c r="A107" s="12">
        <v>46056</v>
      </c>
      <c r="B107" s="68" t="s">
        <v>67</v>
      </c>
      <c r="C107" s="13" t="s">
        <v>571</v>
      </c>
      <c r="D107" s="14">
        <v>1</v>
      </c>
      <c r="E107" s="15">
        <v>4.88</v>
      </c>
      <c r="F107" s="15">
        <f>Tabla8[[#This Row],[CANTIDAD]]*Tabla8[[#This Row],[PRECIO]]</f>
        <v>4.88</v>
      </c>
      <c r="G107" s="13" t="s">
        <v>575</v>
      </c>
      <c r="H107" s="13"/>
      <c r="I107" s="13" t="str">
        <f t="shared" si="6"/>
        <v>FEBRERO</v>
      </c>
      <c r="J107" s="13">
        <f t="shared" si="7"/>
        <v>2026</v>
      </c>
      <c r="K107" s="13" t="s">
        <v>27</v>
      </c>
      <c r="L107" s="13"/>
    </row>
    <row r="108" spans="1:12" x14ac:dyDescent="0.25">
      <c r="A108" s="12">
        <v>46057</v>
      </c>
      <c r="B108" s="68" t="s">
        <v>69</v>
      </c>
      <c r="C108" s="13" t="s">
        <v>65</v>
      </c>
      <c r="D108" s="14">
        <v>1</v>
      </c>
      <c r="E108" s="15">
        <v>20</v>
      </c>
      <c r="F108" s="15">
        <f>Tabla8[[#This Row],[CANTIDAD]]*Tabla8[[#This Row],[PRECIO]]</f>
        <v>20</v>
      </c>
      <c r="G108" s="13" t="s">
        <v>301</v>
      </c>
      <c r="H108" s="13"/>
      <c r="I108" s="13" t="str">
        <f t="shared" si="6"/>
        <v>FEBRERO</v>
      </c>
      <c r="J108" s="13">
        <f t="shared" si="7"/>
        <v>2026</v>
      </c>
      <c r="K108" s="13" t="s">
        <v>83</v>
      </c>
      <c r="L108" s="13"/>
    </row>
    <row r="109" spans="1:12" x14ac:dyDescent="0.25">
      <c r="A109" s="12">
        <v>46057</v>
      </c>
      <c r="B109" s="68" t="s">
        <v>22</v>
      </c>
      <c r="C109" s="13" t="s">
        <v>65</v>
      </c>
      <c r="D109" s="14">
        <v>1</v>
      </c>
      <c r="E109" s="15">
        <v>20</v>
      </c>
      <c r="F109" s="15">
        <f>Tabla8[[#This Row],[CANTIDAD]]*Tabla8[[#This Row],[PRECIO]]</f>
        <v>20</v>
      </c>
      <c r="G109" s="13" t="s">
        <v>473</v>
      </c>
      <c r="H109" s="13"/>
      <c r="I109" s="13" t="str">
        <f t="shared" si="6"/>
        <v>FEBRERO</v>
      </c>
      <c r="J109" s="13">
        <f t="shared" si="7"/>
        <v>2026</v>
      </c>
      <c r="K109" s="13" t="s">
        <v>18</v>
      </c>
      <c r="L109" s="13"/>
    </row>
    <row r="110" spans="1:12" x14ac:dyDescent="0.25">
      <c r="A110" s="12">
        <v>46058</v>
      </c>
      <c r="B110" s="68" t="s">
        <v>67</v>
      </c>
      <c r="C110" s="13" t="s">
        <v>66</v>
      </c>
      <c r="D110" s="14">
        <v>1</v>
      </c>
      <c r="E110" s="15">
        <v>92.02</v>
      </c>
      <c r="F110" s="15">
        <f>Tabla8[[#This Row],[CANTIDAD]]*Tabla8[[#This Row],[PRECIO]]</f>
        <v>92.02</v>
      </c>
      <c r="G110" s="13" t="s">
        <v>375</v>
      </c>
      <c r="H110" s="13"/>
      <c r="I110" s="13" t="str">
        <f t="shared" si="6"/>
        <v>FEBRERO</v>
      </c>
      <c r="J110" s="13">
        <f t="shared" si="7"/>
        <v>2026</v>
      </c>
      <c r="K110" s="13" t="s">
        <v>18</v>
      </c>
      <c r="L110" s="13"/>
    </row>
    <row r="111" spans="1:12" x14ac:dyDescent="0.25">
      <c r="A111" s="12">
        <v>46058</v>
      </c>
      <c r="B111" s="68" t="s">
        <v>69</v>
      </c>
      <c r="C111" s="13" t="s">
        <v>65</v>
      </c>
      <c r="D111" s="14">
        <v>1</v>
      </c>
      <c r="E111" s="15">
        <v>24</v>
      </c>
      <c r="F111" s="15">
        <f>Tabla8[[#This Row],[CANTIDAD]]*Tabla8[[#This Row],[PRECIO]]</f>
        <v>24</v>
      </c>
      <c r="G111" s="13" t="s">
        <v>301</v>
      </c>
      <c r="H111" s="13"/>
      <c r="I111" s="13" t="str">
        <f t="shared" si="6"/>
        <v>FEBRERO</v>
      </c>
      <c r="J111" s="13">
        <f t="shared" si="7"/>
        <v>2026</v>
      </c>
      <c r="K111" s="13" t="s">
        <v>83</v>
      </c>
      <c r="L111" s="13"/>
    </row>
    <row r="112" spans="1:12" x14ac:dyDescent="0.25">
      <c r="A112" s="12">
        <v>46058</v>
      </c>
      <c r="B112" s="68" t="s">
        <v>22</v>
      </c>
      <c r="C112" s="13" t="s">
        <v>65</v>
      </c>
      <c r="D112" s="14">
        <v>1</v>
      </c>
      <c r="E112" s="15">
        <v>13.75</v>
      </c>
      <c r="F112" s="15">
        <f>Tabla8[[#This Row],[CANTIDAD]]*Tabla8[[#This Row],[PRECIO]]</f>
        <v>13.75</v>
      </c>
      <c r="G112" s="13" t="s">
        <v>411</v>
      </c>
      <c r="H112" s="13"/>
      <c r="I112" s="13" t="str">
        <f t="shared" si="6"/>
        <v>FEBRERO</v>
      </c>
      <c r="J112" s="13">
        <f t="shared" si="7"/>
        <v>2026</v>
      </c>
      <c r="K112" s="13" t="s">
        <v>18</v>
      </c>
      <c r="L112" s="13"/>
    </row>
    <row r="113" spans="1:12" x14ac:dyDescent="0.25">
      <c r="A113" s="12">
        <v>46058</v>
      </c>
      <c r="B113" s="68" t="s">
        <v>22</v>
      </c>
      <c r="C113" s="13" t="s">
        <v>65</v>
      </c>
      <c r="D113" s="14">
        <v>1</v>
      </c>
      <c r="E113" s="15">
        <v>7.5</v>
      </c>
      <c r="F113" s="15">
        <f>Tabla8[[#This Row],[CANTIDAD]]*Tabla8[[#This Row],[PRECIO]]</f>
        <v>7.5</v>
      </c>
      <c r="G113" s="13" t="s">
        <v>454</v>
      </c>
      <c r="H113" s="13"/>
      <c r="I113" s="13" t="str">
        <f t="shared" si="6"/>
        <v>FEBRERO</v>
      </c>
      <c r="J113" s="13">
        <f t="shared" si="7"/>
        <v>2026</v>
      </c>
      <c r="K113" s="13" t="s">
        <v>27</v>
      </c>
      <c r="L113" s="13" t="s">
        <v>488</v>
      </c>
    </row>
    <row r="114" spans="1:12" x14ac:dyDescent="0.25">
      <c r="A114" s="12">
        <v>46059</v>
      </c>
      <c r="B114" s="68" t="s">
        <v>67</v>
      </c>
      <c r="C114" s="13" t="s">
        <v>421</v>
      </c>
      <c r="D114" s="14">
        <v>1</v>
      </c>
      <c r="E114" s="15">
        <v>27</v>
      </c>
      <c r="F114" s="15">
        <f>Tabla8[[#This Row],[CANTIDAD]]*Tabla8[[#This Row],[PRECIO]]</f>
        <v>27</v>
      </c>
      <c r="G114" s="13" t="s">
        <v>447</v>
      </c>
      <c r="H114" s="13"/>
      <c r="I114" s="13" t="str">
        <f t="shared" si="6"/>
        <v>FEBRERO</v>
      </c>
      <c r="J114" s="13">
        <f t="shared" si="7"/>
        <v>2026</v>
      </c>
      <c r="K114" s="13" t="s">
        <v>27</v>
      </c>
      <c r="L114" s="13"/>
    </row>
    <row r="115" spans="1:12" x14ac:dyDescent="0.25">
      <c r="A115" s="12">
        <v>46059</v>
      </c>
      <c r="B115" s="68" t="s">
        <v>68</v>
      </c>
      <c r="C115" s="13" t="s">
        <v>65</v>
      </c>
      <c r="D115" s="14">
        <v>1</v>
      </c>
      <c r="E115" s="15">
        <v>5</v>
      </c>
      <c r="F115" s="15">
        <f>Tabla8[[#This Row],[CANTIDAD]]*Tabla8[[#This Row],[PRECIO]]</f>
        <v>5</v>
      </c>
      <c r="G115" s="13" t="s">
        <v>484</v>
      </c>
      <c r="H115" s="13"/>
      <c r="I115" s="13" t="str">
        <f t="shared" si="6"/>
        <v>FEBRERO</v>
      </c>
      <c r="J115" s="13">
        <f t="shared" si="7"/>
        <v>2026</v>
      </c>
      <c r="K115" s="13" t="s">
        <v>27</v>
      </c>
      <c r="L115" s="13"/>
    </row>
    <row r="116" spans="1:12" x14ac:dyDescent="0.25">
      <c r="A116" s="12">
        <v>46059</v>
      </c>
      <c r="B116" s="68" t="s">
        <v>25</v>
      </c>
      <c r="C116" s="13" t="s">
        <v>450</v>
      </c>
      <c r="D116" s="14">
        <v>1</v>
      </c>
      <c r="E116" s="15">
        <v>188.94</v>
      </c>
      <c r="F116" s="15">
        <f>Tabla8[[#This Row],[CANTIDAD]]*Tabla8[[#This Row],[PRECIO]]</f>
        <v>188.94</v>
      </c>
      <c r="G116" s="13" t="s">
        <v>451</v>
      </c>
      <c r="H116" s="13"/>
      <c r="I116" s="13" t="str">
        <f t="shared" si="6"/>
        <v>FEBRERO</v>
      </c>
      <c r="J116" s="13">
        <f t="shared" si="7"/>
        <v>2026</v>
      </c>
      <c r="K116" s="13" t="s">
        <v>30</v>
      </c>
      <c r="L116" s="13"/>
    </row>
    <row r="117" spans="1:12" x14ac:dyDescent="0.25">
      <c r="A117" s="12">
        <v>46059</v>
      </c>
      <c r="B117" s="68" t="s">
        <v>22</v>
      </c>
      <c r="C117" s="13" t="s">
        <v>65</v>
      </c>
      <c r="D117" s="14">
        <v>1</v>
      </c>
      <c r="E117" s="15">
        <v>23.84</v>
      </c>
      <c r="F117" s="15">
        <f>Tabla8[[#This Row],[CANTIDAD]]*Tabla8[[#This Row],[PRECIO]]</f>
        <v>23.84</v>
      </c>
      <c r="G117" s="13" t="s">
        <v>454</v>
      </c>
      <c r="H117" s="13"/>
      <c r="I117" s="13" t="str">
        <f t="shared" si="6"/>
        <v>FEBRERO</v>
      </c>
      <c r="J117" s="13">
        <f t="shared" si="7"/>
        <v>2026</v>
      </c>
      <c r="K117" s="13" t="s">
        <v>30</v>
      </c>
      <c r="L117" s="13"/>
    </row>
    <row r="118" spans="1:12" x14ac:dyDescent="0.25">
      <c r="A118" s="12">
        <v>46059</v>
      </c>
      <c r="B118" s="68" t="s">
        <v>25</v>
      </c>
      <c r="C118" s="13" t="s">
        <v>452</v>
      </c>
      <c r="D118" s="14">
        <v>1</v>
      </c>
      <c r="E118" s="15">
        <v>0.31</v>
      </c>
      <c r="F118" s="15">
        <f>Tabla8[[#This Row],[CANTIDAD]]*Tabla8[[#This Row],[PRECIO]]</f>
        <v>0.31</v>
      </c>
      <c r="G118" s="13" t="s">
        <v>453</v>
      </c>
      <c r="H118" s="13"/>
      <c r="I118" s="13" t="str">
        <f t="shared" si="6"/>
        <v>FEBRERO</v>
      </c>
      <c r="J118" s="13">
        <f t="shared" si="7"/>
        <v>2026</v>
      </c>
      <c r="K118" s="13" t="s">
        <v>30</v>
      </c>
      <c r="L118" s="13"/>
    </row>
    <row r="119" spans="1:12" x14ac:dyDescent="0.25">
      <c r="A119" s="12">
        <v>46059</v>
      </c>
      <c r="B119" s="68" t="s">
        <v>67</v>
      </c>
      <c r="C119" s="13" t="s">
        <v>66</v>
      </c>
      <c r="D119" s="14">
        <v>1</v>
      </c>
      <c r="E119" s="15">
        <v>27</v>
      </c>
      <c r="F119" s="15">
        <f>Tabla8[[#This Row],[CANTIDAD]]*Tabla8[[#This Row],[PRECIO]]</f>
        <v>27</v>
      </c>
      <c r="G119" s="13" t="s">
        <v>446</v>
      </c>
      <c r="H119" s="13"/>
      <c r="I119" s="13" t="str">
        <f t="shared" si="6"/>
        <v>FEBRERO</v>
      </c>
      <c r="J119" s="13">
        <f t="shared" si="7"/>
        <v>2026</v>
      </c>
      <c r="K119" s="13" t="s">
        <v>27</v>
      </c>
      <c r="L119" s="13"/>
    </row>
    <row r="120" spans="1:12" x14ac:dyDescent="0.25">
      <c r="A120" s="12">
        <v>46059</v>
      </c>
      <c r="B120" s="68" t="s">
        <v>69</v>
      </c>
      <c r="C120" s="13" t="s">
        <v>65</v>
      </c>
      <c r="D120" s="14">
        <v>1</v>
      </c>
      <c r="E120" s="15">
        <v>32.5</v>
      </c>
      <c r="F120" s="15">
        <f>Tabla8[[#This Row],[CANTIDAD]]*Tabla8[[#This Row],[PRECIO]]</f>
        <v>32.5</v>
      </c>
      <c r="G120" s="13" t="s">
        <v>301</v>
      </c>
      <c r="H120" s="13"/>
      <c r="I120" s="13" t="str">
        <f t="shared" si="6"/>
        <v>FEBRERO</v>
      </c>
      <c r="J120" s="13">
        <f t="shared" si="7"/>
        <v>2026</v>
      </c>
      <c r="K120" s="13" t="s">
        <v>27</v>
      </c>
      <c r="L120" s="13"/>
    </row>
    <row r="121" spans="1:12" x14ac:dyDescent="0.25">
      <c r="A121" s="12">
        <v>46059</v>
      </c>
      <c r="B121" s="68" t="s">
        <v>25</v>
      </c>
      <c r="C121" s="13" t="s">
        <v>459</v>
      </c>
      <c r="D121" s="14">
        <v>1</v>
      </c>
      <c r="E121" s="15">
        <v>40</v>
      </c>
      <c r="F121" s="15">
        <f>Tabla8[[#This Row],[CANTIDAD]]*Tabla8[[#This Row],[PRECIO]]</f>
        <v>40</v>
      </c>
      <c r="G121" s="13" t="s">
        <v>489</v>
      </c>
      <c r="H121" s="13"/>
      <c r="I121" s="13" t="str">
        <f t="shared" si="6"/>
        <v>FEBRERO</v>
      </c>
      <c r="J121" s="13">
        <f t="shared" si="7"/>
        <v>2026</v>
      </c>
      <c r="K121" s="13" t="s">
        <v>27</v>
      </c>
      <c r="L121" s="13" t="s">
        <v>488</v>
      </c>
    </row>
    <row r="122" spans="1:12" x14ac:dyDescent="0.25">
      <c r="A122" s="12">
        <v>46060</v>
      </c>
      <c r="B122" s="68" t="s">
        <v>22</v>
      </c>
      <c r="C122" s="13" t="s">
        <v>65</v>
      </c>
      <c r="D122" s="14">
        <v>1</v>
      </c>
      <c r="E122" s="15">
        <v>4</v>
      </c>
      <c r="F122" s="15">
        <f>Tabla8[[#This Row],[CANTIDAD]]*Tabla8[[#This Row],[PRECIO]]</f>
        <v>4</v>
      </c>
      <c r="G122" s="13" t="s">
        <v>474</v>
      </c>
      <c r="H122" s="13"/>
      <c r="I122" s="13" t="str">
        <f t="shared" si="6"/>
        <v>FEBRERO</v>
      </c>
      <c r="J122" s="13">
        <f t="shared" si="7"/>
        <v>2026</v>
      </c>
      <c r="K122" s="13" t="s">
        <v>18</v>
      </c>
      <c r="L122" s="13"/>
    </row>
    <row r="123" spans="1:12" x14ac:dyDescent="0.25">
      <c r="A123" s="12">
        <v>46061</v>
      </c>
      <c r="B123" s="68" t="s">
        <v>69</v>
      </c>
      <c r="C123" s="13" t="s">
        <v>65</v>
      </c>
      <c r="D123" s="14">
        <v>1</v>
      </c>
      <c r="E123" s="15">
        <v>30</v>
      </c>
      <c r="F123" s="15">
        <f>Tabla8[[#This Row],[CANTIDAD]]*Tabla8[[#This Row],[PRECIO]]</f>
        <v>30</v>
      </c>
      <c r="G123" s="13" t="s">
        <v>301</v>
      </c>
      <c r="H123" s="13"/>
      <c r="I123" s="13" t="str">
        <f t="shared" si="6"/>
        <v>FEBRERO</v>
      </c>
      <c r="J123" s="13">
        <f t="shared" si="7"/>
        <v>2026</v>
      </c>
      <c r="K123" s="13" t="s">
        <v>18</v>
      </c>
      <c r="L123" s="13"/>
    </row>
    <row r="124" spans="1:12" x14ac:dyDescent="0.25">
      <c r="A124" s="12">
        <v>46062</v>
      </c>
      <c r="B124" s="68" t="s">
        <v>22</v>
      </c>
      <c r="C124" s="13" t="s">
        <v>65</v>
      </c>
      <c r="D124" s="14">
        <v>1</v>
      </c>
      <c r="E124" s="15">
        <v>2.5</v>
      </c>
      <c r="F124" s="15">
        <f>Tabla8[[#This Row],[CANTIDAD]]*Tabla8[[#This Row],[PRECIO]]</f>
        <v>2.5</v>
      </c>
      <c r="G124" s="13" t="s">
        <v>454</v>
      </c>
      <c r="H124" s="13"/>
      <c r="I124" s="13" t="str">
        <f t="shared" si="6"/>
        <v>FEBRERO</v>
      </c>
      <c r="J124" s="13">
        <f t="shared" si="7"/>
        <v>2026</v>
      </c>
      <c r="K124" s="13" t="s">
        <v>27</v>
      </c>
      <c r="L124" s="13" t="s">
        <v>488</v>
      </c>
    </row>
    <row r="125" spans="1:12" x14ac:dyDescent="0.25">
      <c r="A125" s="12">
        <v>46063</v>
      </c>
      <c r="B125" s="68" t="s">
        <v>25</v>
      </c>
      <c r="C125" s="13" t="s">
        <v>66</v>
      </c>
      <c r="D125" s="14">
        <v>1</v>
      </c>
      <c r="E125" s="15">
        <v>50</v>
      </c>
      <c r="F125" s="15">
        <f>Tabla8[[#This Row],[CANTIDAD]]*Tabla8[[#This Row],[PRECIO]]</f>
        <v>50</v>
      </c>
      <c r="G125" s="13" t="s">
        <v>310</v>
      </c>
      <c r="H125" s="13"/>
      <c r="I125" s="13" t="str">
        <f t="shared" si="6"/>
        <v>FEBRERO</v>
      </c>
      <c r="J125" s="13">
        <f t="shared" si="7"/>
        <v>2026</v>
      </c>
      <c r="K125" s="13" t="s">
        <v>18</v>
      </c>
      <c r="L125" s="13"/>
    </row>
    <row r="126" spans="1:12" x14ac:dyDescent="0.25">
      <c r="A126" s="12">
        <v>46063</v>
      </c>
      <c r="B126" s="68" t="s">
        <v>67</v>
      </c>
      <c r="C126" s="13" t="s">
        <v>66</v>
      </c>
      <c r="D126" s="14">
        <v>1</v>
      </c>
      <c r="E126" s="15">
        <v>6.21</v>
      </c>
      <c r="F126" s="15">
        <f>Tabla8[[#This Row],[CANTIDAD]]*Tabla8[[#This Row],[PRECIO]]</f>
        <v>6.21</v>
      </c>
      <c r="G126" s="13" t="s">
        <v>485</v>
      </c>
      <c r="H126" s="13"/>
      <c r="I126" s="13" t="str">
        <f t="shared" si="6"/>
        <v>FEBRERO</v>
      </c>
      <c r="J126" s="13">
        <f t="shared" si="7"/>
        <v>2026</v>
      </c>
      <c r="K126" s="13" t="s">
        <v>27</v>
      </c>
      <c r="L126" s="13"/>
    </row>
    <row r="127" spans="1:12" x14ac:dyDescent="0.25">
      <c r="A127" s="12">
        <v>46065</v>
      </c>
      <c r="B127" s="68" t="s">
        <v>22</v>
      </c>
      <c r="C127" s="13" t="s">
        <v>65</v>
      </c>
      <c r="D127" s="14">
        <v>1</v>
      </c>
      <c r="E127" s="15">
        <v>5</v>
      </c>
      <c r="F127" s="15">
        <f>Tabla8[[#This Row],[CANTIDAD]]*Tabla8[[#This Row],[PRECIO]]</f>
        <v>5</v>
      </c>
      <c r="G127" s="13" t="s">
        <v>477</v>
      </c>
      <c r="H127" s="13"/>
      <c r="I127" s="13" t="str">
        <f t="shared" si="6"/>
        <v>FEBRERO</v>
      </c>
      <c r="J127" s="13">
        <f t="shared" si="7"/>
        <v>2026</v>
      </c>
      <c r="K127" s="13" t="s">
        <v>18</v>
      </c>
      <c r="L127" s="13"/>
    </row>
    <row r="128" spans="1:12" x14ac:dyDescent="0.25">
      <c r="A128" s="12">
        <v>46065</v>
      </c>
      <c r="B128" s="68" t="s">
        <v>68</v>
      </c>
      <c r="C128" s="13" t="s">
        <v>65</v>
      </c>
      <c r="D128" s="14">
        <v>1</v>
      </c>
      <c r="E128" s="15">
        <v>40</v>
      </c>
      <c r="F128" s="15">
        <f>Tabla8[[#This Row],[CANTIDAD]]*Tabla8[[#This Row],[PRECIO]]</f>
        <v>40</v>
      </c>
      <c r="G128" s="13" t="s">
        <v>361</v>
      </c>
      <c r="H128" s="13"/>
      <c r="I128" s="13" t="str">
        <f t="shared" si="6"/>
        <v>FEBRERO</v>
      </c>
      <c r="J128" s="13">
        <f t="shared" si="7"/>
        <v>2026</v>
      </c>
      <c r="K128" s="13" t="s">
        <v>18</v>
      </c>
      <c r="L128" s="13"/>
    </row>
    <row r="129" spans="1:12" x14ac:dyDescent="0.25">
      <c r="A129" s="12">
        <v>46065</v>
      </c>
      <c r="B129" s="68" t="s">
        <v>22</v>
      </c>
      <c r="C129" s="13" t="s">
        <v>65</v>
      </c>
      <c r="D129" s="14">
        <v>1</v>
      </c>
      <c r="E129" s="15">
        <v>1.2</v>
      </c>
      <c r="F129" s="15">
        <f>Tabla8[[#This Row],[CANTIDAD]]*Tabla8[[#This Row],[PRECIO]]</f>
        <v>1.2</v>
      </c>
      <c r="G129" s="13" t="s">
        <v>22</v>
      </c>
      <c r="H129" s="13"/>
      <c r="I129" s="13" t="str">
        <f t="shared" si="6"/>
        <v>FEBRERO</v>
      </c>
      <c r="J129" s="13">
        <f t="shared" si="7"/>
        <v>2026</v>
      </c>
      <c r="K129" s="13" t="s">
        <v>18</v>
      </c>
      <c r="L129" s="13"/>
    </row>
    <row r="130" spans="1:12" x14ac:dyDescent="0.25">
      <c r="A130" s="12">
        <v>46065</v>
      </c>
      <c r="B130" s="68" t="s">
        <v>69</v>
      </c>
      <c r="C130" s="13" t="s">
        <v>65</v>
      </c>
      <c r="D130" s="14">
        <v>1</v>
      </c>
      <c r="E130" s="15">
        <v>15</v>
      </c>
      <c r="F130" s="15">
        <f>Tabla8[[#This Row],[CANTIDAD]]*Tabla8[[#This Row],[PRECIO]]</f>
        <v>15</v>
      </c>
      <c r="G130" s="13" t="s">
        <v>301</v>
      </c>
      <c r="H130" s="13"/>
      <c r="I130" s="13" t="str">
        <f t="shared" si="6"/>
        <v>FEBRERO</v>
      </c>
      <c r="J130" s="13">
        <f t="shared" si="7"/>
        <v>2026</v>
      </c>
      <c r="K130" s="13" t="s">
        <v>27</v>
      </c>
      <c r="L130" s="13"/>
    </row>
    <row r="131" spans="1:12" x14ac:dyDescent="0.25">
      <c r="A131" s="12">
        <v>46066</v>
      </c>
      <c r="B131" s="68" t="s">
        <v>67</v>
      </c>
      <c r="C131" s="13" t="s">
        <v>66</v>
      </c>
      <c r="D131" s="14">
        <v>1</v>
      </c>
      <c r="E131" s="15">
        <v>18</v>
      </c>
      <c r="F131" s="15">
        <f>Tabla8[[#This Row],[CANTIDAD]]*Tabla8[[#This Row],[PRECIO]]</f>
        <v>18</v>
      </c>
      <c r="G131" s="13" t="s">
        <v>478</v>
      </c>
      <c r="H131" s="13"/>
      <c r="I131" s="13" t="str">
        <f t="shared" si="6"/>
        <v>FEBRERO</v>
      </c>
      <c r="J131" s="13">
        <f t="shared" si="7"/>
        <v>2026</v>
      </c>
      <c r="K131" s="13" t="s">
        <v>18</v>
      </c>
      <c r="L131" s="13"/>
    </row>
    <row r="132" spans="1:12" x14ac:dyDescent="0.25">
      <c r="A132" s="12">
        <v>46066</v>
      </c>
      <c r="B132" s="68" t="s">
        <v>68</v>
      </c>
      <c r="C132" s="13" t="s">
        <v>65</v>
      </c>
      <c r="D132" s="14">
        <v>1</v>
      </c>
      <c r="E132" s="15">
        <v>4</v>
      </c>
      <c r="F132" s="15">
        <f>Tabla8[[#This Row],[CANTIDAD]]*Tabla8[[#This Row],[PRECIO]]</f>
        <v>4</v>
      </c>
      <c r="G132" s="13" t="s">
        <v>361</v>
      </c>
      <c r="H132" s="13"/>
      <c r="I132" s="13" t="str">
        <f t="shared" ref="I132:I163" si="8">UPPER(TEXT(A132,"MMMM"))</f>
        <v>FEBRERO</v>
      </c>
      <c r="J132" s="13">
        <f t="shared" ref="J132:J153" si="9">+YEAR(A132)</f>
        <v>2026</v>
      </c>
      <c r="K132" s="13" t="s">
        <v>18</v>
      </c>
      <c r="L132" s="13"/>
    </row>
    <row r="133" spans="1:12" x14ac:dyDescent="0.25">
      <c r="A133" s="12">
        <v>46066</v>
      </c>
      <c r="B133" s="68" t="s">
        <v>69</v>
      </c>
      <c r="C133" s="13" t="s">
        <v>65</v>
      </c>
      <c r="D133" s="14">
        <v>1</v>
      </c>
      <c r="E133" s="15">
        <v>18</v>
      </c>
      <c r="F133" s="15">
        <f>Tabla8[[#This Row],[CANTIDAD]]*Tabla8[[#This Row],[PRECIO]]</f>
        <v>18</v>
      </c>
      <c r="G133" s="13" t="s">
        <v>301</v>
      </c>
      <c r="H133" s="13"/>
      <c r="I133" s="13" t="str">
        <f t="shared" si="8"/>
        <v>FEBRERO</v>
      </c>
      <c r="J133" s="13">
        <f t="shared" si="9"/>
        <v>2026</v>
      </c>
      <c r="K133" s="13" t="s">
        <v>27</v>
      </c>
      <c r="L133" s="13"/>
    </row>
    <row r="134" spans="1:12" x14ac:dyDescent="0.25">
      <c r="A134" s="12">
        <v>46066</v>
      </c>
      <c r="B134" s="68" t="s">
        <v>22</v>
      </c>
      <c r="C134" s="13" t="s">
        <v>65</v>
      </c>
      <c r="D134" s="14">
        <v>1</v>
      </c>
      <c r="E134" s="15">
        <v>10</v>
      </c>
      <c r="F134" s="15">
        <f>Tabla8[[#This Row],[CANTIDAD]]*Tabla8[[#This Row],[PRECIO]]</f>
        <v>10</v>
      </c>
      <c r="G134" s="13" t="s">
        <v>323</v>
      </c>
      <c r="H134" s="13"/>
      <c r="I134" s="13" t="str">
        <f t="shared" si="8"/>
        <v>FEBRERO</v>
      </c>
      <c r="J134" s="13">
        <f t="shared" si="9"/>
        <v>2026</v>
      </c>
      <c r="K134" s="13" t="s">
        <v>18</v>
      </c>
      <c r="L134" s="13"/>
    </row>
    <row r="135" spans="1:12" x14ac:dyDescent="0.25">
      <c r="A135" s="12">
        <v>46066</v>
      </c>
      <c r="B135" s="68" t="s">
        <v>68</v>
      </c>
      <c r="C135" s="13" t="s">
        <v>65</v>
      </c>
      <c r="D135" s="14">
        <v>1</v>
      </c>
      <c r="E135" s="15">
        <v>1</v>
      </c>
      <c r="F135" s="15">
        <f>Tabla8[[#This Row],[CANTIDAD]]*Tabla8[[#This Row],[PRECIO]]</f>
        <v>1</v>
      </c>
      <c r="G135" s="13" t="s">
        <v>68</v>
      </c>
      <c r="H135" s="13"/>
      <c r="I135" s="13" t="str">
        <f t="shared" si="8"/>
        <v>FEBRERO</v>
      </c>
      <c r="J135" s="13">
        <f t="shared" si="9"/>
        <v>2026</v>
      </c>
      <c r="K135" s="13" t="s">
        <v>18</v>
      </c>
      <c r="L135" s="13"/>
    </row>
    <row r="136" spans="1:12" x14ac:dyDescent="0.25">
      <c r="A136" s="12">
        <v>46066</v>
      </c>
      <c r="B136" s="68" t="s">
        <v>22</v>
      </c>
      <c r="C136" s="13" t="s">
        <v>65</v>
      </c>
      <c r="D136" s="14">
        <v>1</v>
      </c>
      <c r="E136" s="15">
        <v>20</v>
      </c>
      <c r="F136" s="15">
        <f>Tabla8[[#This Row],[CANTIDAD]]*Tabla8[[#This Row],[PRECIO]]</f>
        <v>20</v>
      </c>
      <c r="G136" s="13" t="s">
        <v>323</v>
      </c>
      <c r="H136" s="13"/>
      <c r="I136" s="13" t="str">
        <f t="shared" si="8"/>
        <v>FEBRERO</v>
      </c>
      <c r="J136" s="13">
        <f t="shared" si="9"/>
        <v>2026</v>
      </c>
      <c r="K136" s="13" t="s">
        <v>18</v>
      </c>
      <c r="L136" s="13"/>
    </row>
    <row r="137" spans="1:12" x14ac:dyDescent="0.25">
      <c r="A137" s="12">
        <v>46066</v>
      </c>
      <c r="B137" s="68" t="s">
        <v>25</v>
      </c>
      <c r="C137" s="13" t="s">
        <v>66</v>
      </c>
      <c r="D137" s="14">
        <v>1</v>
      </c>
      <c r="E137" s="15">
        <v>200</v>
      </c>
      <c r="F137" s="15">
        <f>Tabla8[[#This Row],[CANTIDAD]]*Tabla8[[#This Row],[PRECIO]]</f>
        <v>200</v>
      </c>
      <c r="G137" s="13" t="s">
        <v>307</v>
      </c>
      <c r="H137" s="13"/>
      <c r="I137" s="13" t="str">
        <f t="shared" si="8"/>
        <v>FEBRERO</v>
      </c>
      <c r="J137" s="13">
        <f t="shared" si="9"/>
        <v>2026</v>
      </c>
      <c r="K137" s="13" t="s">
        <v>18</v>
      </c>
      <c r="L137" s="13"/>
    </row>
    <row r="138" spans="1:12" x14ac:dyDescent="0.25">
      <c r="A138" s="12">
        <v>46067</v>
      </c>
      <c r="B138" s="68" t="s">
        <v>19</v>
      </c>
      <c r="C138" s="13" t="s">
        <v>66</v>
      </c>
      <c r="D138" s="14">
        <v>1</v>
      </c>
      <c r="E138" s="15">
        <v>5</v>
      </c>
      <c r="F138" s="15">
        <f>Tabla8[[#This Row],[CANTIDAD]]*Tabla8[[#This Row],[PRECIO]]</f>
        <v>5</v>
      </c>
      <c r="G138" s="13" t="s">
        <v>19</v>
      </c>
      <c r="H138" s="13"/>
      <c r="I138" s="13" t="str">
        <f t="shared" si="8"/>
        <v>FEBRERO</v>
      </c>
      <c r="J138" s="13">
        <f t="shared" si="9"/>
        <v>2026</v>
      </c>
      <c r="K138" s="13" t="s">
        <v>18</v>
      </c>
      <c r="L138" s="13"/>
    </row>
    <row r="139" spans="1:12" x14ac:dyDescent="0.25">
      <c r="A139" s="12">
        <v>46067</v>
      </c>
      <c r="B139" s="68" t="s">
        <v>19</v>
      </c>
      <c r="C139" s="13" t="s">
        <v>66</v>
      </c>
      <c r="D139" s="14">
        <v>1</v>
      </c>
      <c r="E139" s="15">
        <v>2</v>
      </c>
      <c r="F139" s="15">
        <f>Tabla8[[#This Row],[CANTIDAD]]*Tabla8[[#This Row],[PRECIO]]</f>
        <v>2</v>
      </c>
      <c r="G139" s="13" t="s">
        <v>474</v>
      </c>
      <c r="H139" s="13"/>
      <c r="I139" s="13" t="str">
        <f t="shared" si="8"/>
        <v>FEBRERO</v>
      </c>
      <c r="J139" s="13">
        <f t="shared" si="9"/>
        <v>2026</v>
      </c>
      <c r="K139" s="13" t="s">
        <v>18</v>
      </c>
      <c r="L139" s="13"/>
    </row>
    <row r="140" spans="1:12" x14ac:dyDescent="0.25">
      <c r="A140" s="12">
        <v>46068</v>
      </c>
      <c r="B140" s="68" t="s">
        <v>69</v>
      </c>
      <c r="C140" s="13" t="s">
        <v>65</v>
      </c>
      <c r="D140" s="14">
        <v>1</v>
      </c>
      <c r="E140" s="15">
        <v>15</v>
      </c>
      <c r="F140" s="15">
        <f>Tabla8[[#This Row],[CANTIDAD]]*Tabla8[[#This Row],[PRECIO]]</f>
        <v>15</v>
      </c>
      <c r="G140" s="13" t="s">
        <v>301</v>
      </c>
      <c r="H140" s="13"/>
      <c r="I140" s="13" t="str">
        <f t="shared" si="8"/>
        <v>FEBRERO</v>
      </c>
      <c r="J140" s="13">
        <f t="shared" si="9"/>
        <v>2026</v>
      </c>
      <c r="K140" s="13" t="s">
        <v>27</v>
      </c>
      <c r="L140" s="13" t="s">
        <v>488</v>
      </c>
    </row>
    <row r="141" spans="1:12" x14ac:dyDescent="0.25">
      <c r="A141" s="12">
        <v>46071</v>
      </c>
      <c r="B141" s="68" t="s">
        <v>69</v>
      </c>
      <c r="C141" s="13" t="s">
        <v>65</v>
      </c>
      <c r="D141" s="14">
        <v>1</v>
      </c>
      <c r="E141" s="15">
        <v>20</v>
      </c>
      <c r="F141" s="15">
        <f>Tabla8[[#This Row],[CANTIDAD]]*Tabla8[[#This Row],[PRECIO]]</f>
        <v>20</v>
      </c>
      <c r="G141" s="13" t="s">
        <v>301</v>
      </c>
      <c r="H141" s="13"/>
      <c r="I141" s="13" t="str">
        <f t="shared" si="8"/>
        <v>FEBRERO</v>
      </c>
      <c r="J141" s="13">
        <f t="shared" si="9"/>
        <v>2026</v>
      </c>
      <c r="K141" s="13" t="s">
        <v>27</v>
      </c>
      <c r="L141" s="13" t="s">
        <v>488</v>
      </c>
    </row>
    <row r="142" spans="1:12" x14ac:dyDescent="0.25">
      <c r="A142" s="12">
        <v>46071</v>
      </c>
      <c r="B142" s="68" t="s">
        <v>25</v>
      </c>
      <c r="C142" s="13" t="s">
        <v>65</v>
      </c>
      <c r="D142" s="14">
        <v>1</v>
      </c>
      <c r="E142" s="15">
        <v>100</v>
      </c>
      <c r="F142" s="15">
        <f>Tabla8[[#This Row],[CANTIDAD]]*Tabla8[[#This Row],[PRECIO]]</f>
        <v>100</v>
      </c>
      <c r="G142" s="13" t="s">
        <v>499</v>
      </c>
      <c r="H142" s="13"/>
      <c r="I142" s="13" t="str">
        <f t="shared" si="8"/>
        <v>FEBRERO</v>
      </c>
      <c r="J142" s="13">
        <f t="shared" si="9"/>
        <v>2026</v>
      </c>
      <c r="K142" s="13" t="s">
        <v>18</v>
      </c>
      <c r="L142" s="13"/>
    </row>
    <row r="143" spans="1:12" x14ac:dyDescent="0.25">
      <c r="A143" s="12">
        <v>46072</v>
      </c>
      <c r="B143" s="68" t="s">
        <v>22</v>
      </c>
      <c r="C143" s="13" t="s">
        <v>65</v>
      </c>
      <c r="D143" s="14">
        <v>1</v>
      </c>
      <c r="E143" s="15">
        <v>20</v>
      </c>
      <c r="F143" s="15">
        <f>Tabla8[[#This Row],[CANTIDAD]]*Tabla8[[#This Row],[PRECIO]]</f>
        <v>20</v>
      </c>
      <c r="G143" s="13" t="s">
        <v>454</v>
      </c>
      <c r="H143" s="13"/>
      <c r="I143" s="13" t="str">
        <f t="shared" si="8"/>
        <v>FEBRERO</v>
      </c>
      <c r="J143" s="13">
        <f t="shared" si="9"/>
        <v>2026</v>
      </c>
      <c r="K143" s="13" t="s">
        <v>18</v>
      </c>
      <c r="L143" s="13"/>
    </row>
    <row r="144" spans="1:12" x14ac:dyDescent="0.25">
      <c r="A144" s="12">
        <v>46072</v>
      </c>
      <c r="B144" s="68" t="s">
        <v>22</v>
      </c>
      <c r="C144" s="13" t="s">
        <v>65</v>
      </c>
      <c r="D144" s="14">
        <v>1</v>
      </c>
      <c r="E144" s="15">
        <v>8.3000000000000007</v>
      </c>
      <c r="F144" s="15">
        <f>Tabla8[[#This Row],[CANTIDAD]]*Tabla8[[#This Row],[PRECIO]]</f>
        <v>8.3000000000000007</v>
      </c>
      <c r="G144" s="13" t="s">
        <v>454</v>
      </c>
      <c r="H144" s="13"/>
      <c r="I144" s="13" t="str">
        <f t="shared" si="8"/>
        <v>FEBRERO</v>
      </c>
      <c r="J144" s="13">
        <f t="shared" si="9"/>
        <v>2026</v>
      </c>
      <c r="K144" s="13" t="s">
        <v>18</v>
      </c>
      <c r="L144" s="13"/>
    </row>
    <row r="145" spans="1:12" x14ac:dyDescent="0.25">
      <c r="A145" s="12">
        <v>46072</v>
      </c>
      <c r="B145" s="68" t="s">
        <v>69</v>
      </c>
      <c r="C145" s="13" t="s">
        <v>65</v>
      </c>
      <c r="D145" s="14">
        <v>1</v>
      </c>
      <c r="E145" s="15">
        <v>20</v>
      </c>
      <c r="F145" s="15">
        <f>Tabla8[[#This Row],[CANTIDAD]]*Tabla8[[#This Row],[PRECIO]]</f>
        <v>20</v>
      </c>
      <c r="G145" s="13" t="s">
        <v>301</v>
      </c>
      <c r="H145" s="13"/>
      <c r="I145" s="13" t="str">
        <f t="shared" si="8"/>
        <v>FEBRERO</v>
      </c>
      <c r="J145" s="13">
        <f t="shared" si="9"/>
        <v>2026</v>
      </c>
      <c r="K145" s="13" t="s">
        <v>27</v>
      </c>
      <c r="L145" s="13" t="s">
        <v>488</v>
      </c>
    </row>
    <row r="146" spans="1:12" x14ac:dyDescent="0.25">
      <c r="A146" s="12">
        <v>46072</v>
      </c>
      <c r="B146" s="68" t="s">
        <v>67</v>
      </c>
      <c r="C146" s="13" t="s">
        <v>66</v>
      </c>
      <c r="D146" s="14">
        <v>1</v>
      </c>
      <c r="E146" s="15">
        <v>97.42</v>
      </c>
      <c r="F146" s="15">
        <f>Tabla8[[#This Row],[CANTIDAD]]*Tabla8[[#This Row],[PRECIO]]</f>
        <v>97.42</v>
      </c>
      <c r="G146" s="13" t="s">
        <v>573</v>
      </c>
      <c r="H146" s="13"/>
      <c r="I146" s="13" t="str">
        <f t="shared" si="8"/>
        <v>FEBRERO</v>
      </c>
      <c r="J146" s="13">
        <f t="shared" si="9"/>
        <v>2026</v>
      </c>
      <c r="K146" s="13" t="s">
        <v>27</v>
      </c>
      <c r="L146" s="13" t="s">
        <v>488</v>
      </c>
    </row>
    <row r="147" spans="1:12" x14ac:dyDescent="0.25">
      <c r="A147" s="12">
        <v>46073</v>
      </c>
      <c r="B147" s="68" t="s">
        <v>22</v>
      </c>
      <c r="C147" s="13" t="s">
        <v>65</v>
      </c>
      <c r="D147" s="14">
        <v>1</v>
      </c>
      <c r="E147" s="15">
        <v>6.9</v>
      </c>
      <c r="F147" s="15">
        <f>Tabla8[[#This Row],[CANTIDAD]]*Tabla8[[#This Row],[PRECIO]]</f>
        <v>6.9</v>
      </c>
      <c r="G147" s="13" t="s">
        <v>454</v>
      </c>
      <c r="H147" s="13"/>
      <c r="I147" s="13" t="str">
        <f t="shared" si="8"/>
        <v>FEBRERO</v>
      </c>
      <c r="J147" s="13">
        <f t="shared" si="9"/>
        <v>2026</v>
      </c>
      <c r="K147" s="13" t="s">
        <v>18</v>
      </c>
      <c r="L147" s="13"/>
    </row>
    <row r="148" spans="1:12" x14ac:dyDescent="0.25">
      <c r="A148" s="12">
        <v>46073</v>
      </c>
      <c r="B148" s="68" t="s">
        <v>19</v>
      </c>
      <c r="C148" s="13" t="s">
        <v>66</v>
      </c>
      <c r="D148" s="14">
        <v>1</v>
      </c>
      <c r="E148" s="15">
        <v>5</v>
      </c>
      <c r="F148" s="15">
        <f>Tabla8[[#This Row],[CANTIDAD]]*Tabla8[[#This Row],[PRECIO]]</f>
        <v>5</v>
      </c>
      <c r="G148" s="13" t="s">
        <v>19</v>
      </c>
      <c r="H148" s="13"/>
      <c r="I148" s="13" t="str">
        <f t="shared" si="8"/>
        <v>FEBRERO</v>
      </c>
      <c r="J148" s="13">
        <f t="shared" si="9"/>
        <v>2026</v>
      </c>
      <c r="K148" s="13" t="s">
        <v>18</v>
      </c>
      <c r="L148" s="13"/>
    </row>
    <row r="149" spans="1:12" x14ac:dyDescent="0.25">
      <c r="A149" s="12">
        <v>46073</v>
      </c>
      <c r="B149" s="68" t="s">
        <v>69</v>
      </c>
      <c r="C149" s="13" t="s">
        <v>65</v>
      </c>
      <c r="D149" s="14">
        <v>1</v>
      </c>
      <c r="E149" s="15">
        <v>5</v>
      </c>
      <c r="F149" s="15">
        <f>Tabla8[[#This Row],[CANTIDAD]]*Tabla8[[#This Row],[PRECIO]]</f>
        <v>5</v>
      </c>
      <c r="G149" s="13" t="s">
        <v>22</v>
      </c>
      <c r="H149" s="13"/>
      <c r="I149" s="13" t="str">
        <f t="shared" si="8"/>
        <v>FEBRERO</v>
      </c>
      <c r="J149" s="13">
        <f t="shared" si="9"/>
        <v>2026</v>
      </c>
      <c r="K149" s="13" t="s">
        <v>27</v>
      </c>
      <c r="L149" s="13" t="s">
        <v>488</v>
      </c>
    </row>
    <row r="150" spans="1:12" x14ac:dyDescent="0.25">
      <c r="A150" s="12">
        <v>46074</v>
      </c>
      <c r="B150" s="68" t="s">
        <v>25</v>
      </c>
      <c r="C150" s="13" t="s">
        <v>66</v>
      </c>
      <c r="D150" s="14">
        <v>1</v>
      </c>
      <c r="E150" s="15">
        <v>10</v>
      </c>
      <c r="F150" s="15">
        <f>Tabla8[[#This Row],[CANTIDAD]]*Tabla8[[#This Row],[PRECIO]]</f>
        <v>10</v>
      </c>
      <c r="G150" s="13" t="s">
        <v>459</v>
      </c>
      <c r="H150" s="13"/>
      <c r="I150" s="13" t="str">
        <f t="shared" si="8"/>
        <v>FEBRERO</v>
      </c>
      <c r="J150" s="13">
        <f t="shared" si="9"/>
        <v>2026</v>
      </c>
      <c r="K150" s="13" t="s">
        <v>27</v>
      </c>
      <c r="L150" s="13" t="s">
        <v>488</v>
      </c>
    </row>
    <row r="151" spans="1:12" x14ac:dyDescent="0.25">
      <c r="A151" s="12">
        <v>46074</v>
      </c>
      <c r="B151" s="68" t="s">
        <v>22</v>
      </c>
      <c r="C151" s="13" t="s">
        <v>65</v>
      </c>
      <c r="D151" s="14">
        <v>1</v>
      </c>
      <c r="E151" s="15">
        <v>3</v>
      </c>
      <c r="F151" s="15">
        <f>Tabla8[[#This Row],[CANTIDAD]]*Tabla8[[#This Row],[PRECIO]]</f>
        <v>3</v>
      </c>
      <c r="G151" s="13" t="s">
        <v>454</v>
      </c>
      <c r="H151" s="13"/>
      <c r="I151" s="13" t="str">
        <f t="shared" si="8"/>
        <v>FEBRERO</v>
      </c>
      <c r="J151" s="13">
        <f t="shared" si="9"/>
        <v>2026</v>
      </c>
      <c r="K151" s="13" t="s">
        <v>27</v>
      </c>
      <c r="L151" s="13" t="s">
        <v>488</v>
      </c>
    </row>
    <row r="152" spans="1:12" x14ac:dyDescent="0.25">
      <c r="A152" s="12">
        <v>46076</v>
      </c>
      <c r="B152" s="68" t="s">
        <v>22</v>
      </c>
      <c r="C152" s="13" t="s">
        <v>65</v>
      </c>
      <c r="D152" s="14">
        <v>1</v>
      </c>
      <c r="E152" s="15">
        <v>4</v>
      </c>
      <c r="F152" s="15">
        <f>Tabla8[[#This Row],[CANTIDAD]]*Tabla8[[#This Row],[PRECIO]]</f>
        <v>4</v>
      </c>
      <c r="G152" s="13" t="s">
        <v>454</v>
      </c>
      <c r="H152" s="13"/>
      <c r="I152" s="13" t="str">
        <f t="shared" si="8"/>
        <v>FEBRERO</v>
      </c>
      <c r="J152" s="13">
        <f t="shared" si="9"/>
        <v>2026</v>
      </c>
      <c r="K152" s="13" t="s">
        <v>18</v>
      </c>
      <c r="L152" s="13"/>
    </row>
    <row r="153" spans="1:12" x14ac:dyDescent="0.25">
      <c r="A153" s="12">
        <v>46076</v>
      </c>
      <c r="B153" s="68" t="s">
        <v>69</v>
      </c>
      <c r="C153" s="13" t="s">
        <v>65</v>
      </c>
      <c r="D153" s="14">
        <v>1</v>
      </c>
      <c r="E153" s="15">
        <v>66</v>
      </c>
      <c r="F153" s="15">
        <f>Tabla8[[#This Row],[CANTIDAD]]*Tabla8[[#This Row],[PRECIO]]</f>
        <v>66</v>
      </c>
      <c r="G153" s="13" t="s">
        <v>301</v>
      </c>
      <c r="H153" s="13"/>
      <c r="I153" s="13" t="str">
        <f t="shared" si="8"/>
        <v>FEBRERO</v>
      </c>
      <c r="J153" s="13">
        <f t="shared" si="9"/>
        <v>2026</v>
      </c>
      <c r="K153" s="13" t="s">
        <v>30</v>
      </c>
      <c r="L153" s="13"/>
    </row>
    <row r="154" spans="1:12" x14ac:dyDescent="0.25">
      <c r="A154" s="12">
        <v>46077</v>
      </c>
      <c r="B154" s="68" t="s">
        <v>31</v>
      </c>
      <c r="C154" s="13" t="s">
        <v>66</v>
      </c>
      <c r="D154" s="14">
        <v>1</v>
      </c>
      <c r="E154" s="15">
        <v>7.15</v>
      </c>
      <c r="F154" s="15">
        <f>Tabla8[[#This Row],[CANTIDAD]]*Tabla8[[#This Row],[PRECIO]]</f>
        <v>7.15</v>
      </c>
      <c r="G154" s="13" t="s">
        <v>532</v>
      </c>
      <c r="H154" s="13"/>
      <c r="I154" s="13" t="str">
        <f t="shared" si="8"/>
        <v>FEBRERO</v>
      </c>
      <c r="J154" s="13">
        <v>2026</v>
      </c>
      <c r="K154" s="13" t="s">
        <v>18</v>
      </c>
      <c r="L154" s="13"/>
    </row>
    <row r="155" spans="1:12" x14ac:dyDescent="0.25">
      <c r="A155" s="12">
        <v>46077</v>
      </c>
      <c r="B155" s="68" t="s">
        <v>67</v>
      </c>
      <c r="C155" s="13" t="s">
        <v>571</v>
      </c>
      <c r="D155" s="14">
        <v>1</v>
      </c>
      <c r="E155" s="15">
        <v>9.75</v>
      </c>
      <c r="F155" s="15">
        <f>Tabla8[[#This Row],[CANTIDAD]]*Tabla8[[#This Row],[PRECIO]]</f>
        <v>9.75</v>
      </c>
      <c r="G155" s="13" t="s">
        <v>572</v>
      </c>
      <c r="H155" s="13"/>
      <c r="I155" s="13" t="str">
        <f t="shared" si="8"/>
        <v>FEBRERO</v>
      </c>
      <c r="J155" s="13">
        <f t="shared" ref="J155:J173" si="10">+YEAR(A155)</f>
        <v>2026</v>
      </c>
      <c r="K155" s="13" t="s">
        <v>27</v>
      </c>
      <c r="L155" s="13"/>
    </row>
    <row r="156" spans="1:12" x14ac:dyDescent="0.25">
      <c r="A156" s="12">
        <v>46079</v>
      </c>
      <c r="B156" s="68" t="s">
        <v>25</v>
      </c>
      <c r="C156" s="13" t="s">
        <v>66</v>
      </c>
      <c r="D156" s="14">
        <v>1</v>
      </c>
      <c r="E156" s="15">
        <v>10</v>
      </c>
      <c r="F156" s="15">
        <f>Tabla8[[#This Row],[CANTIDAD]]*Tabla8[[#This Row],[PRECIO]]</f>
        <v>10</v>
      </c>
      <c r="G156" s="13" t="s">
        <v>533</v>
      </c>
      <c r="H156" s="13"/>
      <c r="I156" s="13" t="str">
        <f t="shared" si="8"/>
        <v>FEBRERO</v>
      </c>
      <c r="J156" s="13">
        <f t="shared" si="10"/>
        <v>2026</v>
      </c>
      <c r="K156" s="13" t="s">
        <v>18</v>
      </c>
      <c r="L156" s="13"/>
    </row>
    <row r="157" spans="1:12" x14ac:dyDescent="0.25">
      <c r="A157" s="12">
        <v>46079</v>
      </c>
      <c r="B157" s="68" t="s">
        <v>19</v>
      </c>
      <c r="C157" s="13" t="s">
        <v>66</v>
      </c>
      <c r="D157" s="14">
        <v>1</v>
      </c>
      <c r="E157" s="15">
        <v>6</v>
      </c>
      <c r="F157" s="15">
        <f>Tabla8[[#This Row],[CANTIDAD]]*Tabla8[[#This Row],[PRECIO]]</f>
        <v>6</v>
      </c>
      <c r="G157" s="13" t="s">
        <v>19</v>
      </c>
      <c r="H157" s="13"/>
      <c r="I157" s="13" t="str">
        <f t="shared" si="8"/>
        <v>FEBRERO</v>
      </c>
      <c r="J157" s="13">
        <f t="shared" si="10"/>
        <v>2026</v>
      </c>
      <c r="K157" s="13" t="s">
        <v>18</v>
      </c>
      <c r="L157" s="13"/>
    </row>
    <row r="158" spans="1:12" x14ac:dyDescent="0.25">
      <c r="A158" s="12">
        <v>46079</v>
      </c>
      <c r="B158" s="68" t="s">
        <v>22</v>
      </c>
      <c r="C158" s="13" t="s">
        <v>65</v>
      </c>
      <c r="D158" s="14">
        <v>1</v>
      </c>
      <c r="E158" s="15">
        <v>1</v>
      </c>
      <c r="F158" s="15">
        <f>Tabla8[[#This Row],[CANTIDAD]]*Tabla8[[#This Row],[PRECIO]]</f>
        <v>1</v>
      </c>
      <c r="G158" s="13" t="s">
        <v>534</v>
      </c>
      <c r="H158" s="13"/>
      <c r="I158" s="13" t="str">
        <f t="shared" si="8"/>
        <v>FEBRERO</v>
      </c>
      <c r="J158" s="13">
        <f t="shared" si="10"/>
        <v>2026</v>
      </c>
      <c r="K158" s="13" t="s">
        <v>18</v>
      </c>
      <c r="L158" s="13"/>
    </row>
    <row r="159" spans="1:12" x14ac:dyDescent="0.25">
      <c r="A159" s="12">
        <v>46079</v>
      </c>
      <c r="B159" s="68" t="s">
        <v>67</v>
      </c>
      <c r="C159" s="13" t="s">
        <v>66</v>
      </c>
      <c r="D159" s="14">
        <v>1</v>
      </c>
      <c r="E159" s="15">
        <v>184.7</v>
      </c>
      <c r="F159" s="15">
        <f>Tabla8[[#This Row],[CANTIDAD]]*Tabla8[[#This Row],[PRECIO]]</f>
        <v>184.7</v>
      </c>
      <c r="G159" s="13" t="s">
        <v>573</v>
      </c>
      <c r="H159" s="13"/>
      <c r="I159" s="13" t="str">
        <f t="shared" si="8"/>
        <v>FEBRERO</v>
      </c>
      <c r="J159" s="13">
        <f t="shared" si="10"/>
        <v>2026</v>
      </c>
      <c r="K159" s="13" t="s">
        <v>27</v>
      </c>
      <c r="L159" s="13"/>
    </row>
    <row r="160" spans="1:12" x14ac:dyDescent="0.25">
      <c r="A160" s="12">
        <v>46079</v>
      </c>
      <c r="B160" s="68" t="s">
        <v>25</v>
      </c>
      <c r="C160" s="13" t="s">
        <v>66</v>
      </c>
      <c r="D160" s="14">
        <v>1</v>
      </c>
      <c r="E160" s="15">
        <v>200</v>
      </c>
      <c r="F160" s="15">
        <f>Tabla8[[#This Row],[CANTIDAD]]*Tabla8[[#This Row],[PRECIO]]</f>
        <v>200</v>
      </c>
      <c r="G160" s="13" t="s">
        <v>459</v>
      </c>
      <c r="H160" s="13"/>
      <c r="I160" s="13" t="str">
        <f t="shared" si="8"/>
        <v>FEBRERO</v>
      </c>
      <c r="J160" s="13">
        <f t="shared" si="10"/>
        <v>2026</v>
      </c>
      <c r="K160" s="13" t="s">
        <v>27</v>
      </c>
      <c r="L160" s="13" t="s">
        <v>488</v>
      </c>
    </row>
    <row r="161" spans="1:12" x14ac:dyDescent="0.25">
      <c r="A161" s="12">
        <v>46080</v>
      </c>
      <c r="B161" s="68" t="s">
        <v>67</v>
      </c>
      <c r="C161" s="13" t="s">
        <v>66</v>
      </c>
      <c r="D161" s="14">
        <v>1</v>
      </c>
      <c r="E161" s="15">
        <v>5</v>
      </c>
      <c r="F161" s="15">
        <f>Tabla8[[#This Row],[CANTIDAD]]*Tabla8[[#This Row],[PRECIO]]</f>
        <v>5</v>
      </c>
      <c r="G161" s="13" t="s">
        <v>320</v>
      </c>
      <c r="H161" s="13"/>
      <c r="I161" s="13" t="str">
        <f t="shared" si="8"/>
        <v>FEBRERO</v>
      </c>
      <c r="J161" s="13">
        <f t="shared" si="10"/>
        <v>2026</v>
      </c>
      <c r="K161" s="13" t="s">
        <v>18</v>
      </c>
      <c r="L161" s="13"/>
    </row>
    <row r="162" spans="1:12" x14ac:dyDescent="0.25">
      <c r="A162" s="12">
        <v>46080</v>
      </c>
      <c r="B162" s="68" t="s">
        <v>67</v>
      </c>
      <c r="C162" s="13" t="s">
        <v>65</v>
      </c>
      <c r="D162" s="14">
        <v>1</v>
      </c>
      <c r="E162" s="15">
        <v>650</v>
      </c>
      <c r="F162" s="15">
        <f>Tabla8[[#This Row],[CANTIDAD]]*Tabla8[[#This Row],[PRECIO]]</f>
        <v>650</v>
      </c>
      <c r="G162" s="13" t="s">
        <v>535</v>
      </c>
      <c r="H162" s="13"/>
      <c r="I162" s="13" t="str">
        <f t="shared" si="8"/>
        <v>FEBRERO</v>
      </c>
      <c r="J162" s="13">
        <f t="shared" si="10"/>
        <v>2026</v>
      </c>
      <c r="K162" s="13" t="s">
        <v>18</v>
      </c>
      <c r="L162" s="13"/>
    </row>
    <row r="163" spans="1:12" x14ac:dyDescent="0.25">
      <c r="A163" s="12">
        <v>46080</v>
      </c>
      <c r="B163" s="68" t="s">
        <v>67</v>
      </c>
      <c r="C163" s="13" t="s">
        <v>65</v>
      </c>
      <c r="D163" s="14">
        <v>1</v>
      </c>
      <c r="E163" s="15">
        <v>24.36</v>
      </c>
      <c r="F163" s="15">
        <f>Tabla8[[#This Row],[CANTIDAD]]*Tabla8[[#This Row],[PRECIO]]</f>
        <v>24.36</v>
      </c>
      <c r="G163" s="13" t="s">
        <v>548</v>
      </c>
      <c r="H163" s="13"/>
      <c r="I163" s="13" t="str">
        <f t="shared" si="8"/>
        <v>FEBRERO</v>
      </c>
      <c r="J163" s="13">
        <f t="shared" si="10"/>
        <v>2026</v>
      </c>
      <c r="K163" s="13" t="s">
        <v>18</v>
      </c>
      <c r="L163" s="13"/>
    </row>
    <row r="164" spans="1:12" x14ac:dyDescent="0.25">
      <c r="A164" s="12">
        <v>46080</v>
      </c>
      <c r="B164" s="68" t="s">
        <v>67</v>
      </c>
      <c r="C164" s="13" t="s">
        <v>66</v>
      </c>
      <c r="D164" s="14">
        <v>1</v>
      </c>
      <c r="E164" s="15">
        <v>293.43</v>
      </c>
      <c r="F164" s="15">
        <f>Tabla8[[#This Row],[CANTIDAD]]*Tabla8[[#This Row],[PRECIO]]</f>
        <v>293.43</v>
      </c>
      <c r="G164" s="13" t="s">
        <v>574</v>
      </c>
      <c r="H164" s="13"/>
      <c r="I164" s="13" t="str">
        <f t="shared" ref="I164:I173" si="11">UPPER(TEXT(A164,"MMMM"))</f>
        <v>FEBRERO</v>
      </c>
      <c r="J164" s="13">
        <f t="shared" si="10"/>
        <v>2026</v>
      </c>
      <c r="K164" s="13" t="s">
        <v>27</v>
      </c>
      <c r="L164" s="13"/>
    </row>
    <row r="165" spans="1:12" x14ac:dyDescent="0.25">
      <c r="A165" s="12">
        <v>46080</v>
      </c>
      <c r="B165" s="68" t="s">
        <v>67</v>
      </c>
      <c r="C165" s="13" t="s">
        <v>65</v>
      </c>
      <c r="D165" s="14">
        <v>1</v>
      </c>
      <c r="E165" s="15">
        <v>97</v>
      </c>
      <c r="F165" s="15">
        <f>Tabla8[[#This Row],[CANTIDAD]]*Tabla8[[#This Row],[PRECIO]]</f>
        <v>97</v>
      </c>
      <c r="G165" s="13" t="s">
        <v>581</v>
      </c>
      <c r="H165" s="13"/>
      <c r="I165" s="13" t="str">
        <f t="shared" si="11"/>
        <v>FEBRERO</v>
      </c>
      <c r="J165" s="13">
        <f t="shared" si="10"/>
        <v>2026</v>
      </c>
      <c r="K165" s="13" t="s">
        <v>83</v>
      </c>
      <c r="L165" s="13"/>
    </row>
    <row r="166" spans="1:12" x14ac:dyDescent="0.25">
      <c r="A166" s="12">
        <v>46080</v>
      </c>
      <c r="B166" s="68" t="s">
        <v>25</v>
      </c>
      <c r="C166" s="13" t="s">
        <v>66</v>
      </c>
      <c r="D166" s="14">
        <v>1</v>
      </c>
      <c r="E166" s="15">
        <v>100</v>
      </c>
      <c r="F166" s="15">
        <f>Tabla8[[#This Row],[CANTIDAD]]*Tabla8[[#This Row],[PRECIO]]</f>
        <v>100</v>
      </c>
      <c r="G166" s="13" t="s">
        <v>459</v>
      </c>
      <c r="H166" s="13"/>
      <c r="I166" s="13" t="str">
        <f t="shared" si="11"/>
        <v>FEBRERO</v>
      </c>
      <c r="J166" s="13">
        <f t="shared" si="10"/>
        <v>2026</v>
      </c>
      <c r="K166" s="13" t="s">
        <v>27</v>
      </c>
      <c r="L166" s="13" t="s">
        <v>488</v>
      </c>
    </row>
    <row r="167" spans="1:12" x14ac:dyDescent="0.25">
      <c r="A167" s="12">
        <v>46081</v>
      </c>
      <c r="B167" s="68" t="s">
        <v>67</v>
      </c>
      <c r="C167" s="13" t="s">
        <v>65</v>
      </c>
      <c r="D167" s="14">
        <v>1</v>
      </c>
      <c r="E167" s="15">
        <v>20.3</v>
      </c>
      <c r="F167" s="15">
        <f>Tabla8[[#This Row],[CANTIDAD]]*Tabla8[[#This Row],[PRECIO]]</f>
        <v>20.3</v>
      </c>
      <c r="G167" s="13" t="s">
        <v>549</v>
      </c>
      <c r="H167" s="13"/>
      <c r="I167" s="13" t="str">
        <f t="shared" si="11"/>
        <v>FEBRERO</v>
      </c>
      <c r="J167" s="13">
        <f t="shared" si="10"/>
        <v>2026</v>
      </c>
      <c r="K167" s="13" t="s">
        <v>18</v>
      </c>
      <c r="L167" s="13"/>
    </row>
    <row r="168" spans="1:12" x14ac:dyDescent="0.25">
      <c r="A168" s="12">
        <v>46083</v>
      </c>
      <c r="B168" s="68" t="s">
        <v>22</v>
      </c>
      <c r="C168" s="13" t="s">
        <v>65</v>
      </c>
      <c r="D168" s="14">
        <v>1</v>
      </c>
      <c r="E168" s="15">
        <v>10</v>
      </c>
      <c r="F168" s="15">
        <f>Tabla8[[#This Row],[CANTIDAD]]*Tabla8[[#This Row],[PRECIO]]</f>
        <v>10</v>
      </c>
      <c r="G168" s="13" t="s">
        <v>550</v>
      </c>
      <c r="H168" s="13"/>
      <c r="I168" s="13" t="str">
        <f t="shared" si="11"/>
        <v>MARZO</v>
      </c>
      <c r="J168" s="13">
        <f t="shared" si="10"/>
        <v>2026</v>
      </c>
      <c r="K168" s="13" t="s">
        <v>18</v>
      </c>
      <c r="L168" s="13"/>
    </row>
    <row r="169" spans="1:12" x14ac:dyDescent="0.25">
      <c r="A169" s="12">
        <v>46083</v>
      </c>
      <c r="B169" s="68" t="s">
        <v>69</v>
      </c>
      <c r="C169" s="13" t="s">
        <v>65</v>
      </c>
      <c r="D169" s="14">
        <v>1</v>
      </c>
      <c r="E169" s="15">
        <v>60</v>
      </c>
      <c r="F169" s="15">
        <f>Tabla8[[#This Row],[CANTIDAD]]*Tabla8[[#This Row],[PRECIO]]</f>
        <v>60</v>
      </c>
      <c r="G169" s="13" t="s">
        <v>301</v>
      </c>
      <c r="H169" s="13"/>
      <c r="I169" s="13" t="str">
        <f t="shared" si="11"/>
        <v>MARZO</v>
      </c>
      <c r="J169" s="13">
        <f t="shared" si="10"/>
        <v>2026</v>
      </c>
      <c r="K169" s="13" t="s">
        <v>18</v>
      </c>
      <c r="L169" s="13"/>
    </row>
    <row r="170" spans="1:12" x14ac:dyDescent="0.25">
      <c r="A170" s="12">
        <v>46083</v>
      </c>
      <c r="B170" s="68" t="s">
        <v>22</v>
      </c>
      <c r="C170" s="13" t="s">
        <v>65</v>
      </c>
      <c r="D170" s="14">
        <v>1</v>
      </c>
      <c r="E170" s="15">
        <v>10.5</v>
      </c>
      <c r="F170" s="15">
        <f>Tabla8[[#This Row],[CANTIDAD]]*Tabla8[[#This Row],[PRECIO]]</f>
        <v>10.5</v>
      </c>
      <c r="G170" s="13" t="s">
        <v>454</v>
      </c>
      <c r="H170" s="13"/>
      <c r="I170" s="13" t="str">
        <f t="shared" si="11"/>
        <v>MARZO</v>
      </c>
      <c r="J170" s="13">
        <f t="shared" si="10"/>
        <v>2026</v>
      </c>
      <c r="K170" s="13" t="s">
        <v>27</v>
      </c>
      <c r="L170" s="13"/>
    </row>
    <row r="171" spans="1:12" x14ac:dyDescent="0.25">
      <c r="A171" s="12">
        <v>46083</v>
      </c>
      <c r="B171" s="68" t="s">
        <v>67</v>
      </c>
      <c r="C171" s="13" t="s">
        <v>66</v>
      </c>
      <c r="D171" s="14">
        <v>1</v>
      </c>
      <c r="E171" s="15">
        <v>3.68</v>
      </c>
      <c r="F171" s="15">
        <f>Tabla8[[#This Row],[CANTIDAD]]*Tabla8[[#This Row],[PRECIO]]</f>
        <v>3.68</v>
      </c>
      <c r="G171" s="13" t="s">
        <v>575</v>
      </c>
      <c r="H171" s="13"/>
      <c r="I171" s="13" t="str">
        <f t="shared" si="11"/>
        <v>MARZO</v>
      </c>
      <c r="J171" s="13">
        <f t="shared" si="10"/>
        <v>2026</v>
      </c>
      <c r="K171" s="13" t="s">
        <v>27</v>
      </c>
      <c r="L171" s="13"/>
    </row>
    <row r="172" spans="1:12" x14ac:dyDescent="0.25">
      <c r="A172" s="12">
        <v>46083</v>
      </c>
      <c r="B172" s="68" t="s">
        <v>67</v>
      </c>
      <c r="C172" s="13" t="s">
        <v>571</v>
      </c>
      <c r="D172" s="14">
        <v>1</v>
      </c>
      <c r="E172" s="15">
        <v>47.15</v>
      </c>
      <c r="F172" s="15">
        <f>Tabla8[[#This Row],[CANTIDAD]]*Tabla8[[#This Row],[PRECIO]]</f>
        <v>47.15</v>
      </c>
      <c r="G172" s="13" t="s">
        <v>576</v>
      </c>
      <c r="H172" s="13"/>
      <c r="I172" s="13" t="str">
        <f t="shared" si="11"/>
        <v>MARZO</v>
      </c>
      <c r="J172" s="13">
        <f t="shared" si="10"/>
        <v>2026</v>
      </c>
      <c r="K172" s="13" t="s">
        <v>27</v>
      </c>
      <c r="L172" s="13"/>
    </row>
    <row r="173" spans="1:12" x14ac:dyDescent="0.25">
      <c r="A173" s="12">
        <v>46084</v>
      </c>
      <c r="B173" s="68" t="s">
        <v>67</v>
      </c>
      <c r="C173" s="13" t="s">
        <v>66</v>
      </c>
      <c r="D173" s="14">
        <v>1</v>
      </c>
      <c r="E173" s="15">
        <v>6</v>
      </c>
      <c r="F173" s="15">
        <f>Tabla8[[#This Row],[CANTIDAD]]*Tabla8[[#This Row],[PRECIO]]</f>
        <v>6</v>
      </c>
      <c r="G173" s="13" t="s">
        <v>572</v>
      </c>
      <c r="H173" s="13"/>
      <c r="I173" s="13" t="str">
        <f t="shared" si="11"/>
        <v>MARZO</v>
      </c>
      <c r="J173" s="13">
        <f t="shared" si="10"/>
        <v>2026</v>
      </c>
      <c r="K173" s="13" t="s">
        <v>27</v>
      </c>
      <c r="L173" s="13"/>
    </row>
    <row r="174" spans="1:12" x14ac:dyDescent="0.25">
      <c r="A174" s="12">
        <v>46084</v>
      </c>
      <c r="B174" s="68" t="s">
        <v>67</v>
      </c>
      <c r="C174" s="13" t="s">
        <v>66</v>
      </c>
      <c r="D174" s="14">
        <v>1</v>
      </c>
      <c r="E174" s="15">
        <v>2.5</v>
      </c>
      <c r="F174" s="15">
        <f>Tabla8[[#This Row],[CANTIDAD]]*Tabla8[[#This Row],[PRECIO]]</f>
        <v>2.5</v>
      </c>
      <c r="G174" s="13" t="s">
        <v>311</v>
      </c>
      <c r="H174" s="13"/>
      <c r="I174" s="13" t="s">
        <v>42</v>
      </c>
      <c r="J174" s="13">
        <v>2026</v>
      </c>
      <c r="K174" s="13" t="s">
        <v>18</v>
      </c>
      <c r="L174" s="13"/>
    </row>
    <row r="175" spans="1:12" x14ac:dyDescent="0.25">
      <c r="A175" s="12">
        <v>46085</v>
      </c>
      <c r="B175" s="68" t="s">
        <v>68</v>
      </c>
      <c r="C175" s="13" t="s">
        <v>65</v>
      </c>
      <c r="D175" s="14">
        <v>1</v>
      </c>
      <c r="E175" s="15">
        <v>200</v>
      </c>
      <c r="F175" s="15">
        <f>Tabla8[[#This Row],[CANTIDAD]]*Tabla8[[#This Row],[PRECIO]]</f>
        <v>200</v>
      </c>
      <c r="G175" s="13" t="s">
        <v>551</v>
      </c>
      <c r="H175" s="13"/>
      <c r="I175" s="13" t="str">
        <f t="shared" ref="I175:I238" si="12">UPPER(TEXT(A175,"MMMM"))</f>
        <v>MARZO</v>
      </c>
      <c r="J175" s="13">
        <f t="shared" ref="J175:J238" si="13">+YEAR(A175)</f>
        <v>2026</v>
      </c>
      <c r="K175" s="13" t="s">
        <v>18</v>
      </c>
      <c r="L175" s="13"/>
    </row>
    <row r="176" spans="1:12" x14ac:dyDescent="0.25">
      <c r="A176" s="12">
        <v>46085</v>
      </c>
      <c r="B176" s="68" t="s">
        <v>22</v>
      </c>
      <c r="C176" s="13" t="s">
        <v>65</v>
      </c>
      <c r="D176" s="14">
        <v>1</v>
      </c>
      <c r="E176" s="15">
        <v>4</v>
      </c>
      <c r="F176" s="15">
        <f>Tabla8[[#This Row],[CANTIDAD]]*Tabla8[[#This Row],[PRECIO]]</f>
        <v>4</v>
      </c>
      <c r="G176" s="13" t="s">
        <v>552</v>
      </c>
      <c r="H176" s="13"/>
      <c r="I176" s="13" t="str">
        <f t="shared" si="12"/>
        <v>MARZO</v>
      </c>
      <c r="J176" s="13">
        <f t="shared" si="13"/>
        <v>2026</v>
      </c>
      <c r="K176" s="13" t="s">
        <v>18</v>
      </c>
      <c r="L176" s="13"/>
    </row>
    <row r="177" spans="1:12" x14ac:dyDescent="0.25">
      <c r="A177" s="12">
        <v>46085</v>
      </c>
      <c r="B177" s="68" t="s">
        <v>67</v>
      </c>
      <c r="C177" s="13" t="s">
        <v>65</v>
      </c>
      <c r="D177" s="14">
        <v>1</v>
      </c>
      <c r="E177" s="15">
        <v>20</v>
      </c>
      <c r="F177" s="15">
        <f>Tabla8[[#This Row],[CANTIDAD]]*Tabla8[[#This Row],[PRECIO]]</f>
        <v>20</v>
      </c>
      <c r="G177" s="13" t="s">
        <v>553</v>
      </c>
      <c r="H177" s="13"/>
      <c r="I177" s="13" t="str">
        <f t="shared" si="12"/>
        <v>MARZO</v>
      </c>
      <c r="J177" s="13">
        <f t="shared" si="13"/>
        <v>2026</v>
      </c>
      <c r="K177" s="13" t="s">
        <v>18</v>
      </c>
      <c r="L177" s="13"/>
    </row>
    <row r="178" spans="1:12" x14ac:dyDescent="0.25">
      <c r="A178" s="12">
        <v>46085</v>
      </c>
      <c r="B178" s="68" t="s">
        <v>67</v>
      </c>
      <c r="C178" s="13" t="s">
        <v>65</v>
      </c>
      <c r="D178" s="14">
        <v>1</v>
      </c>
      <c r="E178" s="15">
        <v>200</v>
      </c>
      <c r="F178" s="15">
        <f>Tabla8[[#This Row],[CANTIDAD]]*Tabla8[[#This Row],[PRECIO]]</f>
        <v>200</v>
      </c>
      <c r="G178" s="13" t="s">
        <v>582</v>
      </c>
      <c r="H178" s="13"/>
      <c r="I178" s="13" t="str">
        <f t="shared" si="12"/>
        <v>MARZO</v>
      </c>
      <c r="J178" s="13">
        <f t="shared" si="13"/>
        <v>2026</v>
      </c>
      <c r="K178" s="13" t="s">
        <v>83</v>
      </c>
      <c r="L178" s="13"/>
    </row>
    <row r="179" spans="1:12" x14ac:dyDescent="0.25">
      <c r="A179" s="12">
        <v>46086</v>
      </c>
      <c r="B179" s="68" t="s">
        <v>67</v>
      </c>
      <c r="C179" s="13" t="s">
        <v>65</v>
      </c>
      <c r="D179" s="14">
        <v>1</v>
      </c>
      <c r="E179" s="15">
        <v>5</v>
      </c>
      <c r="F179" s="15">
        <f>Tabla8[[#This Row],[CANTIDAD]]*Tabla8[[#This Row],[PRECIO]]</f>
        <v>5</v>
      </c>
      <c r="G179" s="13" t="s">
        <v>553</v>
      </c>
      <c r="H179" s="13"/>
      <c r="I179" s="13" t="str">
        <f t="shared" si="12"/>
        <v>MARZO</v>
      </c>
      <c r="J179" s="13">
        <f t="shared" si="13"/>
        <v>2026</v>
      </c>
      <c r="K179" s="13" t="s">
        <v>18</v>
      </c>
      <c r="L179" s="13"/>
    </row>
    <row r="180" spans="1:12" x14ac:dyDescent="0.25">
      <c r="A180" s="12">
        <v>46086</v>
      </c>
      <c r="B180" s="68" t="s">
        <v>22</v>
      </c>
      <c r="C180" s="13" t="s">
        <v>65</v>
      </c>
      <c r="D180" s="14">
        <v>1</v>
      </c>
      <c r="E180" s="15">
        <v>10</v>
      </c>
      <c r="F180" s="15">
        <f>Tabla8[[#This Row],[CANTIDAD]]*Tabla8[[#This Row],[PRECIO]]</f>
        <v>10</v>
      </c>
      <c r="G180" s="13" t="s">
        <v>454</v>
      </c>
      <c r="H180" s="13"/>
      <c r="I180" s="13" t="str">
        <f t="shared" si="12"/>
        <v>MARZO</v>
      </c>
      <c r="J180" s="13">
        <f t="shared" si="13"/>
        <v>2026</v>
      </c>
      <c r="K180" s="13" t="s">
        <v>18</v>
      </c>
      <c r="L180" s="13"/>
    </row>
    <row r="181" spans="1:12" x14ac:dyDescent="0.25">
      <c r="A181" s="12">
        <v>46086</v>
      </c>
      <c r="B181" s="68" t="s">
        <v>19</v>
      </c>
      <c r="C181" s="13" t="s">
        <v>66</v>
      </c>
      <c r="D181" s="14">
        <v>1</v>
      </c>
      <c r="E181" s="15">
        <v>2.5</v>
      </c>
      <c r="F181" s="15">
        <f>Tabla8[[#This Row],[CANTIDAD]]*Tabla8[[#This Row],[PRECIO]]</f>
        <v>2.5</v>
      </c>
      <c r="G181" s="13" t="s">
        <v>19</v>
      </c>
      <c r="H181" s="13"/>
      <c r="I181" s="13" t="str">
        <f t="shared" si="12"/>
        <v>MARZO</v>
      </c>
      <c r="J181" s="13">
        <f t="shared" si="13"/>
        <v>2026</v>
      </c>
      <c r="K181" s="13" t="s">
        <v>18</v>
      </c>
      <c r="L181" s="13"/>
    </row>
    <row r="182" spans="1:12" x14ac:dyDescent="0.25">
      <c r="A182" s="12">
        <v>46086</v>
      </c>
      <c r="B182" s="68" t="s">
        <v>67</v>
      </c>
      <c r="C182" s="13" t="s">
        <v>66</v>
      </c>
      <c r="D182" s="14">
        <v>1</v>
      </c>
      <c r="E182" s="15">
        <v>70.23</v>
      </c>
      <c r="F182" s="15">
        <f>Tabla8[[#This Row],[CANTIDAD]]*Tabla8[[#This Row],[PRECIO]]</f>
        <v>70.23</v>
      </c>
      <c r="G182" s="13" t="s">
        <v>573</v>
      </c>
      <c r="H182" s="13"/>
      <c r="I182" s="13" t="str">
        <f t="shared" si="12"/>
        <v>MARZO</v>
      </c>
      <c r="J182" s="13">
        <f t="shared" si="13"/>
        <v>2026</v>
      </c>
      <c r="K182" s="13" t="s">
        <v>27</v>
      </c>
      <c r="L182" s="13"/>
    </row>
    <row r="183" spans="1:12" x14ac:dyDescent="0.25">
      <c r="A183" s="12">
        <v>46086</v>
      </c>
      <c r="B183" s="68" t="s">
        <v>67</v>
      </c>
      <c r="C183" s="13" t="s">
        <v>66</v>
      </c>
      <c r="D183" s="14">
        <v>1</v>
      </c>
      <c r="E183" s="15">
        <v>5.99</v>
      </c>
      <c r="F183" s="15">
        <f>Tabla8[[#This Row],[CANTIDAD]]*Tabla8[[#This Row],[PRECIO]]</f>
        <v>5.99</v>
      </c>
      <c r="G183" s="13" t="s">
        <v>572</v>
      </c>
      <c r="H183" s="13"/>
      <c r="I183" s="13" t="str">
        <f t="shared" si="12"/>
        <v>MARZO</v>
      </c>
      <c r="J183" s="13">
        <f t="shared" si="13"/>
        <v>2026</v>
      </c>
      <c r="K183" s="13" t="s">
        <v>27</v>
      </c>
      <c r="L183" s="13"/>
    </row>
    <row r="184" spans="1:12" x14ac:dyDescent="0.25">
      <c r="A184" s="12">
        <v>46086</v>
      </c>
      <c r="B184" s="68" t="s">
        <v>25</v>
      </c>
      <c r="C184" s="13" t="s">
        <v>66</v>
      </c>
      <c r="D184" s="14">
        <v>1</v>
      </c>
      <c r="E184" s="15">
        <v>5</v>
      </c>
      <c r="F184" s="15">
        <f>Tabla8[[#This Row],[CANTIDAD]]*Tabla8[[#This Row],[PRECIO]]</f>
        <v>5</v>
      </c>
      <c r="G184" s="13" t="s">
        <v>449</v>
      </c>
      <c r="H184" s="13"/>
      <c r="I184" s="13" t="str">
        <f t="shared" si="12"/>
        <v>MARZO</v>
      </c>
      <c r="J184" s="13">
        <f t="shared" si="13"/>
        <v>2026</v>
      </c>
      <c r="K184" s="13" t="s">
        <v>30</v>
      </c>
      <c r="L184" s="13"/>
    </row>
    <row r="185" spans="1:12" x14ac:dyDescent="0.25">
      <c r="A185" s="12">
        <v>46086</v>
      </c>
      <c r="B185" s="68" t="s">
        <v>25</v>
      </c>
      <c r="C185" s="13" t="s">
        <v>66</v>
      </c>
      <c r="D185" s="14">
        <v>1</v>
      </c>
      <c r="E185" s="15">
        <v>100</v>
      </c>
      <c r="F185" s="15">
        <f>Tabla8[[#This Row],[CANTIDAD]]*Tabla8[[#This Row],[PRECIO]]</f>
        <v>100</v>
      </c>
      <c r="G185" s="13" t="s">
        <v>459</v>
      </c>
      <c r="H185" s="13"/>
      <c r="I185" s="13" t="str">
        <f t="shared" si="12"/>
        <v>MARZO</v>
      </c>
      <c r="J185" s="13">
        <f t="shared" si="13"/>
        <v>2026</v>
      </c>
      <c r="K185" s="13" t="s">
        <v>27</v>
      </c>
      <c r="L185" s="13" t="s">
        <v>488</v>
      </c>
    </row>
    <row r="186" spans="1:12" x14ac:dyDescent="0.25">
      <c r="A186" s="12">
        <v>46087</v>
      </c>
      <c r="B186" s="68" t="s">
        <v>22</v>
      </c>
      <c r="C186" s="13" t="s">
        <v>65</v>
      </c>
      <c r="D186" s="14">
        <v>1</v>
      </c>
      <c r="E186" s="15">
        <v>36</v>
      </c>
      <c r="F186" s="15">
        <f>Tabla8[[#This Row],[CANTIDAD]]*Tabla8[[#This Row],[PRECIO]]</f>
        <v>36</v>
      </c>
      <c r="G186" s="13" t="s">
        <v>549</v>
      </c>
      <c r="H186" s="13"/>
      <c r="I186" s="13" t="str">
        <f t="shared" si="12"/>
        <v>MARZO</v>
      </c>
      <c r="J186" s="13">
        <f t="shared" si="13"/>
        <v>2026</v>
      </c>
      <c r="K186" s="13" t="s">
        <v>18</v>
      </c>
      <c r="L186" s="13"/>
    </row>
    <row r="187" spans="1:12" x14ac:dyDescent="0.25">
      <c r="A187" s="12">
        <v>46087</v>
      </c>
      <c r="B187" s="68" t="s">
        <v>67</v>
      </c>
      <c r="C187" s="13" t="s">
        <v>571</v>
      </c>
      <c r="D187" s="14">
        <v>1</v>
      </c>
      <c r="E187" s="15">
        <v>5</v>
      </c>
      <c r="F187" s="15">
        <f>Tabla8[[#This Row],[CANTIDAD]]*Tabla8[[#This Row],[PRECIO]]</f>
        <v>5</v>
      </c>
      <c r="G187" s="13" t="s">
        <v>577</v>
      </c>
      <c r="H187" s="13"/>
      <c r="I187" s="13" t="str">
        <f t="shared" si="12"/>
        <v>MARZO</v>
      </c>
      <c r="J187" s="13">
        <f t="shared" si="13"/>
        <v>2026</v>
      </c>
      <c r="K187" s="13" t="s">
        <v>27</v>
      </c>
      <c r="L187" s="13"/>
    </row>
    <row r="188" spans="1:12" x14ac:dyDescent="0.25">
      <c r="A188" s="12">
        <v>46087</v>
      </c>
      <c r="B188" s="68" t="s">
        <v>69</v>
      </c>
      <c r="C188" s="13" t="s">
        <v>65</v>
      </c>
      <c r="D188" s="14">
        <v>1</v>
      </c>
      <c r="E188" s="15">
        <v>5</v>
      </c>
      <c r="F188" s="15">
        <f>Tabla8[[#This Row],[CANTIDAD]]*Tabla8[[#This Row],[PRECIO]]</f>
        <v>5</v>
      </c>
      <c r="G188" s="13" t="s">
        <v>301</v>
      </c>
      <c r="H188" s="13"/>
      <c r="I188" s="13" t="str">
        <f t="shared" si="12"/>
        <v>MARZO</v>
      </c>
      <c r="J188" s="13">
        <f t="shared" si="13"/>
        <v>2026</v>
      </c>
      <c r="K188" s="13" t="s">
        <v>27</v>
      </c>
      <c r="L188" s="13"/>
    </row>
    <row r="189" spans="1:12" x14ac:dyDescent="0.25">
      <c r="A189" s="12">
        <v>46090</v>
      </c>
      <c r="B189" s="68" t="s">
        <v>22</v>
      </c>
      <c r="C189" s="13" t="s">
        <v>65</v>
      </c>
      <c r="D189" s="14">
        <v>1</v>
      </c>
      <c r="E189" s="15">
        <v>3</v>
      </c>
      <c r="F189" s="15">
        <f>Tabla8[[#This Row],[CANTIDAD]]*Tabla8[[#This Row],[PRECIO]]</f>
        <v>3</v>
      </c>
      <c r="G189" s="13" t="s">
        <v>568</v>
      </c>
      <c r="H189" s="13"/>
      <c r="I189" s="13" t="str">
        <f t="shared" si="12"/>
        <v>MARZO</v>
      </c>
      <c r="J189" s="13">
        <f t="shared" si="13"/>
        <v>2026</v>
      </c>
      <c r="K189" s="13" t="s">
        <v>18</v>
      </c>
      <c r="L189" s="13"/>
    </row>
    <row r="190" spans="1:12" x14ac:dyDescent="0.25">
      <c r="A190" s="12">
        <v>46090</v>
      </c>
      <c r="B190" s="68" t="s">
        <v>68</v>
      </c>
      <c r="C190" s="13" t="s">
        <v>65</v>
      </c>
      <c r="D190" s="14">
        <v>1</v>
      </c>
      <c r="E190" s="15">
        <v>5</v>
      </c>
      <c r="F190" s="15">
        <f>Tabla8[[#This Row],[CANTIDAD]]*Tabla8[[#This Row],[PRECIO]]</f>
        <v>5</v>
      </c>
      <c r="G190" s="13" t="s">
        <v>569</v>
      </c>
      <c r="H190" s="13"/>
      <c r="I190" s="13" t="str">
        <f t="shared" si="12"/>
        <v>MARZO</v>
      </c>
      <c r="J190" s="13">
        <f t="shared" si="13"/>
        <v>2026</v>
      </c>
      <c r="K190" s="13" t="s">
        <v>18</v>
      </c>
      <c r="L190" s="13"/>
    </row>
    <row r="191" spans="1:12" x14ac:dyDescent="0.25">
      <c r="A191" s="12">
        <v>46091</v>
      </c>
      <c r="B191" s="68" t="s">
        <v>69</v>
      </c>
      <c r="C191" s="13" t="s">
        <v>65</v>
      </c>
      <c r="D191" s="14">
        <v>1</v>
      </c>
      <c r="E191" s="15">
        <v>20</v>
      </c>
      <c r="F191" s="15">
        <f>Tabla8[[#This Row],[CANTIDAD]]*Tabla8[[#This Row],[PRECIO]]</f>
        <v>20</v>
      </c>
      <c r="G191" s="13" t="s">
        <v>301</v>
      </c>
      <c r="H191" s="13"/>
      <c r="I191" s="13" t="str">
        <f t="shared" si="12"/>
        <v>MARZO</v>
      </c>
      <c r="J191" s="13">
        <f t="shared" si="13"/>
        <v>2026</v>
      </c>
      <c r="K191" s="13" t="s">
        <v>18</v>
      </c>
      <c r="L191" s="13"/>
    </row>
    <row r="192" spans="1:12" x14ac:dyDescent="0.25">
      <c r="A192" s="12">
        <v>46091</v>
      </c>
      <c r="B192" s="68" t="s">
        <v>67</v>
      </c>
      <c r="C192" s="13" t="s">
        <v>66</v>
      </c>
      <c r="D192" s="14">
        <v>1</v>
      </c>
      <c r="E192" s="15">
        <v>422.47</v>
      </c>
      <c r="F192" s="15">
        <f>Tabla8[[#This Row],[CANTIDAD]]*Tabla8[[#This Row],[PRECIO]]</f>
        <v>422.47</v>
      </c>
      <c r="G192" s="13" t="s">
        <v>578</v>
      </c>
      <c r="H192" s="13"/>
      <c r="I192" s="13" t="str">
        <f t="shared" si="12"/>
        <v>MARZO</v>
      </c>
      <c r="J192" s="13">
        <f t="shared" si="13"/>
        <v>2026</v>
      </c>
      <c r="K192" s="13" t="s">
        <v>27</v>
      </c>
      <c r="L192" s="13"/>
    </row>
    <row r="193" spans="1:12" x14ac:dyDescent="0.25">
      <c r="A193" s="12">
        <v>46091</v>
      </c>
      <c r="B193" s="68" t="s">
        <v>67</v>
      </c>
      <c r="C193" s="13" t="s">
        <v>66</v>
      </c>
      <c r="D193" s="14">
        <v>1</v>
      </c>
      <c r="E193" s="15">
        <v>35.25</v>
      </c>
      <c r="F193" s="15">
        <f>Tabla8[[#This Row],[CANTIDAD]]*Tabla8[[#This Row],[PRECIO]]</f>
        <v>35.25</v>
      </c>
      <c r="G193" s="13" t="s">
        <v>579</v>
      </c>
      <c r="H193" s="13"/>
      <c r="I193" s="13" t="str">
        <f t="shared" si="12"/>
        <v>MARZO</v>
      </c>
      <c r="J193" s="13">
        <f t="shared" si="13"/>
        <v>2026</v>
      </c>
      <c r="K193" s="13" t="s">
        <v>27</v>
      </c>
      <c r="L193" s="13"/>
    </row>
    <row r="194" spans="1:12" x14ac:dyDescent="0.25">
      <c r="A194" s="12">
        <v>46091</v>
      </c>
      <c r="B194" s="68" t="s">
        <v>67</v>
      </c>
      <c r="C194" s="13" t="s">
        <v>66</v>
      </c>
      <c r="D194" s="14">
        <v>1</v>
      </c>
      <c r="E194" s="15">
        <v>10</v>
      </c>
      <c r="F194" s="15">
        <f>Tabla8[[#This Row],[CANTIDAD]]*Tabla8[[#This Row],[PRECIO]]</f>
        <v>10</v>
      </c>
      <c r="G194" s="13" t="s">
        <v>572</v>
      </c>
      <c r="H194" s="13"/>
      <c r="I194" s="13" t="str">
        <f t="shared" si="12"/>
        <v>MARZO</v>
      </c>
      <c r="J194" s="13">
        <f t="shared" si="13"/>
        <v>2026</v>
      </c>
      <c r="K194" s="13" t="s">
        <v>27</v>
      </c>
      <c r="L194" s="13"/>
    </row>
    <row r="195" spans="1:12" x14ac:dyDescent="0.25">
      <c r="A195" s="12">
        <v>46091</v>
      </c>
      <c r="B195" s="68" t="s">
        <v>67</v>
      </c>
      <c r="C195" s="13" t="s">
        <v>66</v>
      </c>
      <c r="D195" s="14">
        <v>1</v>
      </c>
      <c r="E195" s="15">
        <v>35.5</v>
      </c>
      <c r="F195" s="15">
        <f>Tabla8[[#This Row],[CANTIDAD]]*Tabla8[[#This Row],[PRECIO]]</f>
        <v>35.5</v>
      </c>
      <c r="G195" s="13" t="s">
        <v>580</v>
      </c>
      <c r="H195" s="13"/>
      <c r="I195" s="13" t="str">
        <f t="shared" si="12"/>
        <v>MARZO</v>
      </c>
      <c r="J195" s="13">
        <f t="shared" si="13"/>
        <v>2026</v>
      </c>
      <c r="K195" s="13" t="s">
        <v>27</v>
      </c>
      <c r="L195" s="13"/>
    </row>
    <row r="196" spans="1:12" x14ac:dyDescent="0.25">
      <c r="A196" s="12">
        <v>46091</v>
      </c>
      <c r="B196" s="68" t="s">
        <v>25</v>
      </c>
      <c r="C196" s="13" t="s">
        <v>66</v>
      </c>
      <c r="D196" s="14">
        <v>1</v>
      </c>
      <c r="E196" s="15">
        <v>420.41</v>
      </c>
      <c r="F196" s="15">
        <f>Tabla8[[#This Row],[CANTIDAD]]*Tabla8[[#This Row],[PRECIO]]</f>
        <v>420.41</v>
      </c>
      <c r="G196" s="13" t="s">
        <v>459</v>
      </c>
      <c r="H196" s="13"/>
      <c r="I196" s="13" t="str">
        <f t="shared" si="12"/>
        <v>MARZO</v>
      </c>
      <c r="J196" s="13">
        <f t="shared" si="13"/>
        <v>2026</v>
      </c>
      <c r="K196" s="13" t="s">
        <v>83</v>
      </c>
      <c r="L196" s="13"/>
    </row>
    <row r="197" spans="1:12" x14ac:dyDescent="0.25">
      <c r="A197" s="12">
        <v>46092</v>
      </c>
      <c r="B197" s="68" t="s">
        <v>22</v>
      </c>
      <c r="C197" s="13" t="s">
        <v>66</v>
      </c>
      <c r="D197" s="14">
        <v>1</v>
      </c>
      <c r="E197" s="15">
        <v>60</v>
      </c>
      <c r="F197" s="15">
        <f>Tabla8[[#This Row],[CANTIDAD]]*Tabla8[[#This Row],[PRECIO]]</f>
        <v>60</v>
      </c>
      <c r="G197" s="13" t="s">
        <v>570</v>
      </c>
      <c r="H197" s="13"/>
      <c r="I197" s="13" t="str">
        <f t="shared" si="12"/>
        <v>MARZO</v>
      </c>
      <c r="J197" s="13">
        <f t="shared" si="13"/>
        <v>2026</v>
      </c>
      <c r="K197" s="13" t="s">
        <v>18</v>
      </c>
      <c r="L197" s="13"/>
    </row>
    <row r="198" spans="1:12" x14ac:dyDescent="0.25">
      <c r="A198" s="12">
        <v>46092</v>
      </c>
      <c r="B198" s="68" t="s">
        <v>22</v>
      </c>
      <c r="C198" s="13" t="s">
        <v>65</v>
      </c>
      <c r="D198" s="14">
        <v>1</v>
      </c>
      <c r="E198" s="15">
        <v>1.25</v>
      </c>
      <c r="F198" s="15">
        <f>Tabla8[[#This Row],[CANTIDAD]]*Tabla8[[#This Row],[PRECIO]]</f>
        <v>1.25</v>
      </c>
      <c r="G198" s="13" t="s">
        <v>454</v>
      </c>
      <c r="H198" s="13"/>
      <c r="I198" s="13" t="str">
        <f t="shared" si="12"/>
        <v>MARZO</v>
      </c>
      <c r="J198" s="13">
        <f t="shared" si="13"/>
        <v>2026</v>
      </c>
      <c r="K198" s="13" t="s">
        <v>27</v>
      </c>
      <c r="L198" s="13"/>
    </row>
    <row r="199" spans="1:12" x14ac:dyDescent="0.25">
      <c r="A199" s="12">
        <v>46092</v>
      </c>
      <c r="B199" s="68" t="s">
        <v>67</v>
      </c>
      <c r="C199" s="13" t="s">
        <v>66</v>
      </c>
      <c r="D199" s="14">
        <v>1</v>
      </c>
      <c r="E199" s="15">
        <v>27</v>
      </c>
      <c r="F199" s="15">
        <f>Tabla8[[#This Row],[CANTIDAD]]*Tabla8[[#This Row],[PRECIO]]</f>
        <v>27</v>
      </c>
      <c r="G199" s="13" t="s">
        <v>583</v>
      </c>
      <c r="H199" s="13"/>
      <c r="I199" s="13" t="str">
        <f t="shared" si="12"/>
        <v>MARZO</v>
      </c>
      <c r="J199" s="13">
        <f t="shared" si="13"/>
        <v>2026</v>
      </c>
      <c r="K199" s="13" t="s">
        <v>27</v>
      </c>
      <c r="L199" s="13"/>
    </row>
    <row r="200" spans="1:12" x14ac:dyDescent="0.25">
      <c r="A200" s="12">
        <v>46092</v>
      </c>
      <c r="B200" s="68" t="s">
        <v>22</v>
      </c>
      <c r="C200" s="13" t="s">
        <v>65</v>
      </c>
      <c r="D200" s="14">
        <v>1</v>
      </c>
      <c r="E200" s="15">
        <v>3.75</v>
      </c>
      <c r="F200" s="15">
        <f>Tabla8[[#This Row],[CANTIDAD]]*Tabla8[[#This Row],[PRECIO]]</f>
        <v>3.75</v>
      </c>
      <c r="G200" s="13" t="s">
        <v>22</v>
      </c>
      <c r="H200" s="13"/>
      <c r="I200" s="13" t="str">
        <f t="shared" si="12"/>
        <v>MARZO</v>
      </c>
      <c r="J200" s="13">
        <f t="shared" si="13"/>
        <v>2026</v>
      </c>
      <c r="K200" s="13" t="s">
        <v>27</v>
      </c>
      <c r="L200" s="13"/>
    </row>
    <row r="201" spans="1:12" x14ac:dyDescent="0.25">
      <c r="A201" s="12">
        <v>46093</v>
      </c>
      <c r="B201" s="68" t="s">
        <v>19</v>
      </c>
      <c r="C201" s="13" t="s">
        <v>66</v>
      </c>
      <c r="D201" s="14">
        <v>1</v>
      </c>
      <c r="E201" s="15">
        <v>5</v>
      </c>
      <c r="F201" s="15">
        <f>Tabla8[[#This Row],[CANTIDAD]]*Tabla8[[#This Row],[PRECIO]]</f>
        <v>5</v>
      </c>
      <c r="G201" s="13" t="s">
        <v>19</v>
      </c>
      <c r="H201" s="13"/>
      <c r="I201" s="13" t="str">
        <f t="shared" si="12"/>
        <v>MARZO</v>
      </c>
      <c r="J201" s="13">
        <f t="shared" si="13"/>
        <v>2026</v>
      </c>
      <c r="K201" s="13" t="s">
        <v>18</v>
      </c>
      <c r="L201" s="13"/>
    </row>
    <row r="202" spans="1:12" x14ac:dyDescent="0.25">
      <c r="A202" s="12">
        <v>46093</v>
      </c>
      <c r="B202" s="68" t="s">
        <v>22</v>
      </c>
      <c r="C202" s="13" t="s">
        <v>65</v>
      </c>
      <c r="D202" s="14">
        <v>1</v>
      </c>
      <c r="E202" s="15">
        <v>5</v>
      </c>
      <c r="F202" s="15">
        <f>Tabla8[[#This Row],[CANTIDAD]]*Tabla8[[#This Row],[PRECIO]]</f>
        <v>5</v>
      </c>
      <c r="G202" s="13" t="s">
        <v>154</v>
      </c>
      <c r="H202" s="13"/>
      <c r="I202" s="13" t="str">
        <f t="shared" si="12"/>
        <v>MARZO</v>
      </c>
      <c r="J202" s="13">
        <f t="shared" si="13"/>
        <v>2026</v>
      </c>
      <c r="K202" s="13" t="s">
        <v>18</v>
      </c>
      <c r="L202" s="13"/>
    </row>
    <row r="203" spans="1:12" x14ac:dyDescent="0.25">
      <c r="A203" s="12">
        <v>46093</v>
      </c>
      <c r="B203" s="68" t="s">
        <v>69</v>
      </c>
      <c r="C203" s="13" t="s">
        <v>65</v>
      </c>
      <c r="D203" s="14">
        <v>1</v>
      </c>
      <c r="E203" s="15">
        <v>35</v>
      </c>
      <c r="F203" s="15">
        <f>Tabla8[[#This Row],[CANTIDAD]]*Tabla8[[#This Row],[PRECIO]]</f>
        <v>35</v>
      </c>
      <c r="G203" s="13" t="s">
        <v>599</v>
      </c>
      <c r="H203" s="13"/>
      <c r="I203" s="13" t="str">
        <f t="shared" si="12"/>
        <v>MARZO</v>
      </c>
      <c r="J203" s="13">
        <f t="shared" si="13"/>
        <v>2026</v>
      </c>
      <c r="K203" s="13" t="s">
        <v>18</v>
      </c>
      <c r="L203" s="13"/>
    </row>
    <row r="204" spans="1:12" x14ac:dyDescent="0.25">
      <c r="A204" s="12">
        <v>46094</v>
      </c>
      <c r="B204" s="68" t="s">
        <v>22</v>
      </c>
      <c r="C204" s="13" t="s">
        <v>65</v>
      </c>
      <c r="D204" s="14">
        <v>1</v>
      </c>
      <c r="E204" s="15">
        <v>8.8000000000000007</v>
      </c>
      <c r="F204" s="15">
        <f>Tabla8[[#This Row],[CANTIDAD]]*Tabla8[[#This Row],[PRECIO]]</f>
        <v>8.8000000000000007</v>
      </c>
      <c r="G204" s="13" t="s">
        <v>454</v>
      </c>
      <c r="H204" s="13"/>
      <c r="I204" s="13" t="str">
        <f t="shared" si="12"/>
        <v>MARZO</v>
      </c>
      <c r="J204" s="13">
        <f t="shared" si="13"/>
        <v>2026</v>
      </c>
      <c r="K204" s="13" t="s">
        <v>18</v>
      </c>
      <c r="L204" s="13"/>
    </row>
    <row r="205" spans="1:12" x14ac:dyDescent="0.25">
      <c r="A205" s="12">
        <v>46094</v>
      </c>
      <c r="B205" s="68" t="s">
        <v>22</v>
      </c>
      <c r="C205" s="13" t="s">
        <v>65</v>
      </c>
      <c r="D205" s="14">
        <v>1</v>
      </c>
      <c r="E205" s="15">
        <v>1.2</v>
      </c>
      <c r="F205" s="15">
        <f>Tabla8[[#This Row],[CANTIDAD]]*Tabla8[[#This Row],[PRECIO]]</f>
        <v>1.2</v>
      </c>
      <c r="G205" s="13" t="s">
        <v>154</v>
      </c>
      <c r="H205" s="13"/>
      <c r="I205" s="13" t="str">
        <f t="shared" si="12"/>
        <v>MARZO</v>
      </c>
      <c r="J205" s="13">
        <f t="shared" si="13"/>
        <v>2026</v>
      </c>
      <c r="K205" s="13" t="s">
        <v>18</v>
      </c>
      <c r="L205" s="13"/>
    </row>
    <row r="206" spans="1:12" x14ac:dyDescent="0.25">
      <c r="A206" s="12">
        <v>46094</v>
      </c>
      <c r="B206" s="68" t="s">
        <v>22</v>
      </c>
      <c r="C206" s="13" t="s">
        <v>65</v>
      </c>
      <c r="D206" s="14">
        <v>1</v>
      </c>
      <c r="E206" s="15">
        <v>20</v>
      </c>
      <c r="F206" s="15">
        <f>Tabla8[[#This Row],[CANTIDAD]]*Tabla8[[#This Row],[PRECIO]]</f>
        <v>20</v>
      </c>
      <c r="G206" s="13" t="s">
        <v>454</v>
      </c>
      <c r="H206" s="13"/>
      <c r="I206" s="13" t="str">
        <f t="shared" si="12"/>
        <v>MARZO</v>
      </c>
      <c r="J206" s="13">
        <f t="shared" si="13"/>
        <v>2026</v>
      </c>
      <c r="K206" s="13" t="s">
        <v>18</v>
      </c>
      <c r="L206" s="13"/>
    </row>
    <row r="207" spans="1:12" x14ac:dyDescent="0.25">
      <c r="A207" s="12">
        <v>46094</v>
      </c>
      <c r="B207" s="68" t="s">
        <v>22</v>
      </c>
      <c r="C207" s="13" t="s">
        <v>65</v>
      </c>
      <c r="D207" s="14">
        <v>1</v>
      </c>
      <c r="E207" s="15">
        <v>10</v>
      </c>
      <c r="F207" s="15">
        <f>Tabla8[[#This Row],[CANTIDAD]]*Tabla8[[#This Row],[PRECIO]]</f>
        <v>10</v>
      </c>
      <c r="G207" s="13" t="s">
        <v>454</v>
      </c>
      <c r="H207" s="13"/>
      <c r="I207" s="13" t="str">
        <f t="shared" si="12"/>
        <v>MARZO</v>
      </c>
      <c r="J207" s="13">
        <f t="shared" si="13"/>
        <v>2026</v>
      </c>
      <c r="K207" s="13" t="s">
        <v>18</v>
      </c>
      <c r="L207" s="13"/>
    </row>
    <row r="208" spans="1:12" x14ac:dyDescent="0.25">
      <c r="A208" s="12">
        <v>46095</v>
      </c>
      <c r="B208" s="68" t="s">
        <v>33</v>
      </c>
      <c r="C208" s="13" t="s">
        <v>66</v>
      </c>
      <c r="D208" s="14">
        <v>1</v>
      </c>
      <c r="E208" s="15">
        <v>10</v>
      </c>
      <c r="F208" s="15">
        <f>Tabla8[[#This Row],[CANTIDAD]]*Tabla8[[#This Row],[PRECIO]]</f>
        <v>10</v>
      </c>
      <c r="G208" s="13" t="s">
        <v>669</v>
      </c>
      <c r="H208" s="13"/>
      <c r="I208" s="13" t="str">
        <f t="shared" si="12"/>
        <v>MARZO</v>
      </c>
      <c r="J208" s="13">
        <f t="shared" si="13"/>
        <v>2026</v>
      </c>
      <c r="K208" s="13" t="s">
        <v>83</v>
      </c>
      <c r="L208" s="13"/>
    </row>
    <row r="209" spans="1:12" x14ac:dyDescent="0.25">
      <c r="A209" s="12">
        <v>46096</v>
      </c>
      <c r="B209" s="68" t="s">
        <v>22</v>
      </c>
      <c r="C209" s="13" t="s">
        <v>65</v>
      </c>
      <c r="D209" s="14">
        <v>1</v>
      </c>
      <c r="E209" s="15">
        <v>8.5</v>
      </c>
      <c r="F209" s="15">
        <f>Tabla8[[#This Row],[CANTIDAD]]*Tabla8[[#This Row],[PRECIO]]</f>
        <v>8.5</v>
      </c>
      <c r="G209" s="13" t="s">
        <v>22</v>
      </c>
      <c r="H209" s="13"/>
      <c r="I209" s="13" t="str">
        <f t="shared" si="12"/>
        <v>MARZO</v>
      </c>
      <c r="J209" s="13">
        <f t="shared" si="13"/>
        <v>2026</v>
      </c>
      <c r="K209" s="13" t="s">
        <v>83</v>
      </c>
      <c r="L209" s="13"/>
    </row>
    <row r="210" spans="1:12" x14ac:dyDescent="0.25">
      <c r="A210" s="12">
        <v>46096</v>
      </c>
      <c r="B210" s="68" t="s">
        <v>67</v>
      </c>
      <c r="C210" s="13" t="s">
        <v>65</v>
      </c>
      <c r="D210" s="14">
        <v>1</v>
      </c>
      <c r="E210" s="15">
        <v>5.23</v>
      </c>
      <c r="F210" s="15">
        <f>Tabla8[[#This Row],[CANTIDAD]]*Tabla8[[#This Row],[PRECIO]]</f>
        <v>5.23</v>
      </c>
      <c r="G210" s="13" t="s">
        <v>691</v>
      </c>
      <c r="H210" s="13"/>
      <c r="I210" s="13" t="str">
        <f t="shared" si="12"/>
        <v>MARZO</v>
      </c>
      <c r="J210" s="13">
        <f t="shared" si="13"/>
        <v>2026</v>
      </c>
      <c r="K210" s="13" t="s">
        <v>30</v>
      </c>
      <c r="L210" s="13"/>
    </row>
    <row r="211" spans="1:12" x14ac:dyDescent="0.25">
      <c r="A211" s="12">
        <v>46097</v>
      </c>
      <c r="B211" s="68" t="s">
        <v>25</v>
      </c>
      <c r="C211" s="13" t="s">
        <v>66</v>
      </c>
      <c r="D211" s="14">
        <v>1</v>
      </c>
      <c r="E211" s="15">
        <v>25</v>
      </c>
      <c r="F211" s="15">
        <f>Tabla8[[#This Row],[CANTIDAD]]*Tabla8[[#This Row],[PRECIO]]</f>
        <v>25</v>
      </c>
      <c r="G211" s="13" t="s">
        <v>553</v>
      </c>
      <c r="H211" s="13"/>
      <c r="I211" s="13" t="str">
        <f t="shared" si="12"/>
        <v>MARZO</v>
      </c>
      <c r="J211" s="13">
        <f t="shared" si="13"/>
        <v>2026</v>
      </c>
      <c r="K211" s="13" t="s">
        <v>27</v>
      </c>
      <c r="L211" s="13"/>
    </row>
    <row r="212" spans="1:12" x14ac:dyDescent="0.25">
      <c r="A212" s="12">
        <v>46097</v>
      </c>
      <c r="B212" s="68" t="s">
        <v>22</v>
      </c>
      <c r="C212" s="13" t="s">
        <v>65</v>
      </c>
      <c r="D212" s="14">
        <v>1</v>
      </c>
      <c r="E212" s="15">
        <v>8</v>
      </c>
      <c r="F212" s="15">
        <f>Tabla8[[#This Row],[CANTIDAD]]*Tabla8[[#This Row],[PRECIO]]</f>
        <v>8</v>
      </c>
      <c r="G212" s="13" t="s">
        <v>22</v>
      </c>
      <c r="H212" s="13"/>
      <c r="I212" s="13" t="str">
        <f t="shared" si="12"/>
        <v>MARZO</v>
      </c>
      <c r="J212" s="13">
        <f t="shared" si="13"/>
        <v>2026</v>
      </c>
      <c r="K212" s="13" t="s">
        <v>27</v>
      </c>
      <c r="L212" s="13"/>
    </row>
    <row r="213" spans="1:12" x14ac:dyDescent="0.25">
      <c r="A213" s="12">
        <v>46097</v>
      </c>
      <c r="B213" s="68" t="s">
        <v>67</v>
      </c>
      <c r="C213" s="13" t="s">
        <v>66</v>
      </c>
      <c r="D213" s="14">
        <v>1</v>
      </c>
      <c r="E213" s="15">
        <v>189.25</v>
      </c>
      <c r="F213" s="15">
        <f>Tabla8[[#This Row],[CANTIDAD]]*Tabla8[[#This Row],[PRECIO]]</f>
        <v>189.25</v>
      </c>
      <c r="G213" s="13" t="s">
        <v>450</v>
      </c>
      <c r="H213" s="13"/>
      <c r="I213" s="13" t="str">
        <f t="shared" si="12"/>
        <v>MARZO</v>
      </c>
      <c r="J213" s="13">
        <f t="shared" si="13"/>
        <v>2026</v>
      </c>
      <c r="K213" s="13" t="s">
        <v>30</v>
      </c>
      <c r="L213" s="13"/>
    </row>
    <row r="214" spans="1:12" x14ac:dyDescent="0.25">
      <c r="A214" s="12">
        <v>46098</v>
      </c>
      <c r="B214" s="68" t="s">
        <v>68</v>
      </c>
      <c r="C214" s="13" t="s">
        <v>65</v>
      </c>
      <c r="D214" s="14">
        <v>1</v>
      </c>
      <c r="E214" s="15">
        <v>1</v>
      </c>
      <c r="F214" s="15">
        <f>Tabla8[[#This Row],[CANTIDAD]]*Tabla8[[#This Row],[PRECIO]]</f>
        <v>1</v>
      </c>
      <c r="G214" s="13" t="s">
        <v>68</v>
      </c>
      <c r="H214" s="13"/>
      <c r="I214" s="13" t="str">
        <f t="shared" si="12"/>
        <v>MARZO</v>
      </c>
      <c r="J214" s="13">
        <f t="shared" si="13"/>
        <v>2026</v>
      </c>
      <c r="K214" s="13" t="s">
        <v>18</v>
      </c>
      <c r="L214" s="13"/>
    </row>
    <row r="215" spans="1:12" x14ac:dyDescent="0.25">
      <c r="A215" s="12">
        <v>46098</v>
      </c>
      <c r="B215" s="68" t="s">
        <v>22</v>
      </c>
      <c r="C215" s="13" t="s">
        <v>65</v>
      </c>
      <c r="D215" s="14">
        <v>1</v>
      </c>
      <c r="E215" s="15">
        <v>5</v>
      </c>
      <c r="F215" s="15">
        <f>Tabla8[[#This Row],[CANTIDAD]]*Tabla8[[#This Row],[PRECIO]]</f>
        <v>5</v>
      </c>
      <c r="G215" s="13" t="s">
        <v>454</v>
      </c>
      <c r="H215" s="13"/>
      <c r="I215" s="13" t="str">
        <f t="shared" si="12"/>
        <v>MARZO</v>
      </c>
      <c r="J215" s="13">
        <f t="shared" si="13"/>
        <v>2026</v>
      </c>
      <c r="K215" s="13" t="s">
        <v>18</v>
      </c>
      <c r="L215" s="13"/>
    </row>
    <row r="216" spans="1:12" x14ac:dyDescent="0.25">
      <c r="A216" s="12">
        <v>46098</v>
      </c>
      <c r="B216" s="68" t="s">
        <v>22</v>
      </c>
      <c r="C216" s="13" t="s">
        <v>65</v>
      </c>
      <c r="D216" s="14">
        <v>1</v>
      </c>
      <c r="E216" s="15">
        <v>0.35</v>
      </c>
      <c r="F216" s="15">
        <f>Tabla8[[#This Row],[CANTIDAD]]*Tabla8[[#This Row],[PRECIO]]</f>
        <v>0.35</v>
      </c>
      <c r="G216" s="13" t="s">
        <v>22</v>
      </c>
      <c r="H216" s="13"/>
      <c r="I216" s="13" t="str">
        <f t="shared" si="12"/>
        <v>MARZO</v>
      </c>
      <c r="J216" s="13">
        <f t="shared" si="13"/>
        <v>2026</v>
      </c>
      <c r="K216" s="13" t="s">
        <v>18</v>
      </c>
      <c r="L216" s="13"/>
    </row>
    <row r="217" spans="1:12" x14ac:dyDescent="0.25">
      <c r="A217" s="12">
        <v>46099</v>
      </c>
      <c r="B217" s="68" t="s">
        <v>22</v>
      </c>
      <c r="C217" s="13" t="s">
        <v>65</v>
      </c>
      <c r="D217" s="14">
        <v>1</v>
      </c>
      <c r="E217" s="15">
        <v>2.2000000000000002</v>
      </c>
      <c r="F217" s="15">
        <f>Tabla8[[#This Row],[CANTIDAD]]*Tabla8[[#This Row],[PRECIO]]</f>
        <v>2.2000000000000002</v>
      </c>
      <c r="G217" s="13" t="s">
        <v>22</v>
      </c>
      <c r="H217" s="13"/>
      <c r="I217" s="13" t="str">
        <f t="shared" si="12"/>
        <v>MARZO</v>
      </c>
      <c r="J217" s="13">
        <f t="shared" si="13"/>
        <v>2026</v>
      </c>
      <c r="K217" s="13" t="s">
        <v>18</v>
      </c>
      <c r="L217" s="13"/>
    </row>
    <row r="218" spans="1:12" x14ac:dyDescent="0.25">
      <c r="A218" s="12">
        <v>46099</v>
      </c>
      <c r="B218" s="68" t="s">
        <v>67</v>
      </c>
      <c r="C218" s="13" t="s">
        <v>66</v>
      </c>
      <c r="D218" s="14">
        <v>1</v>
      </c>
      <c r="E218" s="15">
        <v>20</v>
      </c>
      <c r="F218" s="15">
        <f>Tabla8[[#This Row],[CANTIDAD]]*Tabla8[[#This Row],[PRECIO]]</f>
        <v>20</v>
      </c>
      <c r="G218" s="13" t="s">
        <v>618</v>
      </c>
      <c r="H218" s="13"/>
      <c r="I218" s="13" t="str">
        <f t="shared" si="12"/>
        <v>MARZO</v>
      </c>
      <c r="J218" s="13">
        <f t="shared" si="13"/>
        <v>2026</v>
      </c>
      <c r="K218" s="13" t="s">
        <v>18</v>
      </c>
      <c r="L218" s="13"/>
    </row>
    <row r="219" spans="1:12" x14ac:dyDescent="0.25">
      <c r="A219" s="12">
        <v>46099</v>
      </c>
      <c r="B219" s="68" t="s">
        <v>67</v>
      </c>
      <c r="C219" s="13" t="s">
        <v>66</v>
      </c>
      <c r="D219" s="14">
        <v>1</v>
      </c>
      <c r="E219" s="15">
        <v>130.41</v>
      </c>
      <c r="F219" s="15">
        <f>Tabla8[[#This Row],[CANTIDAD]]*Tabla8[[#This Row],[PRECIO]]</f>
        <v>130.41</v>
      </c>
      <c r="G219" s="13" t="s">
        <v>480</v>
      </c>
      <c r="H219" s="13"/>
      <c r="I219" s="13" t="str">
        <f t="shared" si="12"/>
        <v>MARZO</v>
      </c>
      <c r="J219" s="13">
        <f t="shared" si="13"/>
        <v>2026</v>
      </c>
      <c r="K219" s="13" t="s">
        <v>30</v>
      </c>
      <c r="L219" s="13"/>
    </row>
    <row r="220" spans="1:12" x14ac:dyDescent="0.25">
      <c r="A220" s="12">
        <v>46099</v>
      </c>
      <c r="B220" s="68" t="s">
        <v>67</v>
      </c>
      <c r="C220" s="13" t="s">
        <v>66</v>
      </c>
      <c r="D220" s="14">
        <v>1</v>
      </c>
      <c r="E220" s="15">
        <v>800.41</v>
      </c>
      <c r="F220" s="15">
        <f>Tabla8[[#This Row],[CANTIDAD]]*Tabla8[[#This Row],[PRECIO]]</f>
        <v>800.41</v>
      </c>
      <c r="G220" s="13" t="s">
        <v>480</v>
      </c>
      <c r="H220" s="13"/>
      <c r="I220" s="13" t="str">
        <f t="shared" si="12"/>
        <v>MARZO</v>
      </c>
      <c r="J220" s="13">
        <f t="shared" si="13"/>
        <v>2026</v>
      </c>
      <c r="K220" s="13" t="s">
        <v>30</v>
      </c>
      <c r="L220" s="13"/>
    </row>
    <row r="221" spans="1:12" x14ac:dyDescent="0.25">
      <c r="A221" s="12">
        <v>46100</v>
      </c>
      <c r="B221" s="68" t="s">
        <v>67</v>
      </c>
      <c r="C221" s="13" t="s">
        <v>66</v>
      </c>
      <c r="D221" s="14">
        <v>1</v>
      </c>
      <c r="E221" s="15">
        <v>5.5</v>
      </c>
      <c r="F221" s="15">
        <f>Tabla8[[#This Row],[CANTIDAD]]*Tabla8[[#This Row],[PRECIO]]</f>
        <v>5.5</v>
      </c>
      <c r="G221" s="13" t="s">
        <v>619</v>
      </c>
      <c r="H221" s="13"/>
      <c r="I221" s="13" t="str">
        <f t="shared" si="12"/>
        <v>MARZO</v>
      </c>
      <c r="J221" s="13">
        <f t="shared" si="13"/>
        <v>2026</v>
      </c>
      <c r="K221" s="13" t="s">
        <v>18</v>
      </c>
      <c r="L221" s="13"/>
    </row>
    <row r="222" spans="1:12" x14ac:dyDescent="0.25">
      <c r="A222" s="12">
        <v>46100</v>
      </c>
      <c r="B222" s="68" t="s">
        <v>16</v>
      </c>
      <c r="C222" s="13" t="s">
        <v>66</v>
      </c>
      <c r="D222" s="14">
        <v>1</v>
      </c>
      <c r="E222" s="15">
        <v>761.19</v>
      </c>
      <c r="F222" s="15">
        <f>Tabla8[[#This Row],[CANTIDAD]]*Tabla8[[#This Row],[PRECIO]]</f>
        <v>761.19</v>
      </c>
      <c r="G222" s="13" t="s">
        <v>680</v>
      </c>
      <c r="H222" s="13"/>
      <c r="I222" s="13" t="str">
        <f t="shared" si="12"/>
        <v>MARZO</v>
      </c>
      <c r="J222" s="13">
        <f t="shared" si="13"/>
        <v>2026</v>
      </c>
      <c r="K222" s="13" t="s">
        <v>27</v>
      </c>
      <c r="L222" s="13"/>
    </row>
    <row r="223" spans="1:12" x14ac:dyDescent="0.25">
      <c r="A223" s="12">
        <v>46100</v>
      </c>
      <c r="B223" s="68" t="s">
        <v>22</v>
      </c>
      <c r="C223" s="13" t="s">
        <v>65</v>
      </c>
      <c r="D223" s="14">
        <v>1</v>
      </c>
      <c r="E223" s="15">
        <v>7.25</v>
      </c>
      <c r="F223" s="15">
        <f>Tabla8[[#This Row],[CANTIDAD]]*Tabla8[[#This Row],[PRECIO]]</f>
        <v>7.25</v>
      </c>
      <c r="G223" s="13" t="s">
        <v>22</v>
      </c>
      <c r="H223" s="13"/>
      <c r="I223" s="13" t="str">
        <f t="shared" si="12"/>
        <v>MARZO</v>
      </c>
      <c r="J223" s="13">
        <f t="shared" si="13"/>
        <v>2026</v>
      </c>
      <c r="K223" s="13" t="s">
        <v>27</v>
      </c>
      <c r="L223" s="13"/>
    </row>
    <row r="224" spans="1:12" x14ac:dyDescent="0.25">
      <c r="A224" s="12">
        <v>46101</v>
      </c>
      <c r="B224" s="68" t="s">
        <v>69</v>
      </c>
      <c r="C224" s="13" t="s">
        <v>65</v>
      </c>
      <c r="D224" s="14">
        <v>1</v>
      </c>
      <c r="E224" s="15">
        <v>7</v>
      </c>
      <c r="F224" s="15">
        <f>Tabla8[[#This Row],[CANTIDAD]]*Tabla8[[#This Row],[PRECIO]]</f>
        <v>7</v>
      </c>
      <c r="G224" s="13" t="s">
        <v>620</v>
      </c>
      <c r="H224" s="13"/>
      <c r="I224" s="13" t="str">
        <f t="shared" si="12"/>
        <v>MARZO</v>
      </c>
      <c r="J224" s="13">
        <f t="shared" si="13"/>
        <v>2026</v>
      </c>
      <c r="K224" s="13" t="s">
        <v>18</v>
      </c>
      <c r="L224" s="13"/>
    </row>
    <row r="225" spans="1:12" x14ac:dyDescent="0.25">
      <c r="A225" s="12">
        <v>46101</v>
      </c>
      <c r="B225" s="68" t="s">
        <v>68</v>
      </c>
      <c r="C225" s="13" t="s">
        <v>65</v>
      </c>
      <c r="D225" s="14">
        <v>1</v>
      </c>
      <c r="E225" s="15">
        <v>3</v>
      </c>
      <c r="F225" s="15">
        <f>Tabla8[[#This Row],[CANTIDAD]]*Tabla8[[#This Row],[PRECIO]]</f>
        <v>3</v>
      </c>
      <c r="G225" s="13" t="s">
        <v>621</v>
      </c>
      <c r="H225" s="13"/>
      <c r="I225" s="13" t="str">
        <f t="shared" si="12"/>
        <v>MARZO</v>
      </c>
      <c r="J225" s="13">
        <f t="shared" si="13"/>
        <v>2026</v>
      </c>
      <c r="K225" s="13" t="s">
        <v>18</v>
      </c>
      <c r="L225" s="13"/>
    </row>
    <row r="226" spans="1:12" x14ac:dyDescent="0.25">
      <c r="A226" s="12">
        <v>46101</v>
      </c>
      <c r="B226" s="68" t="s">
        <v>68</v>
      </c>
      <c r="C226" s="13" t="s">
        <v>65</v>
      </c>
      <c r="D226" s="14">
        <v>1</v>
      </c>
      <c r="E226" s="15">
        <v>30</v>
      </c>
      <c r="F226" s="15">
        <f>Tabla8[[#This Row],[CANTIDAD]]*Tabla8[[#This Row],[PRECIO]]</f>
        <v>30</v>
      </c>
      <c r="G226" s="13" t="s">
        <v>622</v>
      </c>
      <c r="H226" s="13"/>
      <c r="I226" s="13" t="str">
        <f t="shared" si="12"/>
        <v>MARZO</v>
      </c>
      <c r="J226" s="13">
        <f t="shared" si="13"/>
        <v>2026</v>
      </c>
      <c r="K226" s="13" t="s">
        <v>18</v>
      </c>
      <c r="L226" s="13"/>
    </row>
    <row r="227" spans="1:12" x14ac:dyDescent="0.25">
      <c r="A227" s="12">
        <v>46101</v>
      </c>
      <c r="B227" s="68" t="s">
        <v>22</v>
      </c>
      <c r="C227" s="13" t="s">
        <v>65</v>
      </c>
      <c r="D227" s="14">
        <v>1</v>
      </c>
      <c r="E227" s="15">
        <v>21.85</v>
      </c>
      <c r="F227" s="15">
        <f>Tabla8[[#This Row],[CANTIDAD]]*Tabla8[[#This Row],[PRECIO]]</f>
        <v>21.85</v>
      </c>
      <c r="G227" s="13" t="s">
        <v>642</v>
      </c>
      <c r="H227" s="13"/>
      <c r="I227" s="13" t="str">
        <f t="shared" si="12"/>
        <v>MARZO</v>
      </c>
      <c r="J227" s="13">
        <f t="shared" si="13"/>
        <v>2026</v>
      </c>
      <c r="K227" s="13" t="s">
        <v>27</v>
      </c>
      <c r="L227" s="13"/>
    </row>
    <row r="228" spans="1:12" x14ac:dyDescent="0.25">
      <c r="A228" s="12">
        <v>46101</v>
      </c>
      <c r="B228" s="68" t="s">
        <v>16</v>
      </c>
      <c r="C228" s="13" t="s">
        <v>66</v>
      </c>
      <c r="D228" s="14">
        <v>1</v>
      </c>
      <c r="E228" s="15">
        <v>12.5</v>
      </c>
      <c r="F228" s="15">
        <f>Tabla8[[#This Row],[CANTIDAD]]*Tabla8[[#This Row],[PRECIO]]</f>
        <v>12.5</v>
      </c>
      <c r="G228" s="13" t="s">
        <v>446</v>
      </c>
      <c r="H228" s="13"/>
      <c r="I228" s="13" t="str">
        <f t="shared" si="12"/>
        <v>MARZO</v>
      </c>
      <c r="J228" s="13">
        <f t="shared" si="13"/>
        <v>2026</v>
      </c>
      <c r="K228" s="13" t="s">
        <v>27</v>
      </c>
      <c r="L228" s="13"/>
    </row>
    <row r="229" spans="1:12" x14ac:dyDescent="0.25">
      <c r="A229" s="12">
        <v>46101</v>
      </c>
      <c r="B229" s="68" t="s">
        <v>16</v>
      </c>
      <c r="C229" s="13" t="s">
        <v>66</v>
      </c>
      <c r="D229" s="14">
        <v>1</v>
      </c>
      <c r="E229" s="15">
        <v>20.49</v>
      </c>
      <c r="F229" s="15">
        <f>Tabla8[[#This Row],[CANTIDAD]]*Tabla8[[#This Row],[PRECIO]]</f>
        <v>20.49</v>
      </c>
      <c r="G229" s="13" t="s">
        <v>483</v>
      </c>
      <c r="H229" s="13"/>
      <c r="I229" s="13" t="str">
        <f t="shared" si="12"/>
        <v>MARZO</v>
      </c>
      <c r="J229" s="13">
        <f t="shared" si="13"/>
        <v>2026</v>
      </c>
      <c r="K229" s="13" t="s">
        <v>27</v>
      </c>
      <c r="L229" s="13"/>
    </row>
    <row r="230" spans="1:12" x14ac:dyDescent="0.25">
      <c r="A230" s="12">
        <v>46101</v>
      </c>
      <c r="B230" s="68" t="s">
        <v>16</v>
      </c>
      <c r="C230" s="13" t="s">
        <v>66</v>
      </c>
      <c r="D230" s="14">
        <v>1</v>
      </c>
      <c r="E230" s="15">
        <v>6.99</v>
      </c>
      <c r="F230" s="15">
        <f>Tabla8[[#This Row],[CANTIDAD]]*Tabla8[[#This Row],[PRECIO]]</f>
        <v>6.99</v>
      </c>
      <c r="G230" s="13" t="s">
        <v>446</v>
      </c>
      <c r="H230" s="13"/>
      <c r="I230" s="13" t="str">
        <f t="shared" si="12"/>
        <v>MARZO</v>
      </c>
      <c r="J230" s="13">
        <f t="shared" si="13"/>
        <v>2026</v>
      </c>
      <c r="K230" s="13" t="s">
        <v>27</v>
      </c>
      <c r="L230" s="13"/>
    </row>
    <row r="231" spans="1:12" x14ac:dyDescent="0.25">
      <c r="A231" s="12">
        <v>46102</v>
      </c>
      <c r="B231" s="68" t="s">
        <v>22</v>
      </c>
      <c r="C231" s="13" t="s">
        <v>65</v>
      </c>
      <c r="D231" s="14">
        <v>1</v>
      </c>
      <c r="E231" s="15">
        <v>30</v>
      </c>
      <c r="F231" s="15">
        <f>Tabla8[[#This Row],[CANTIDAD]]*Tabla8[[#This Row],[PRECIO]]</f>
        <v>30</v>
      </c>
      <c r="G231" s="13" t="s">
        <v>454</v>
      </c>
      <c r="H231" s="13"/>
      <c r="I231" s="13" t="str">
        <f t="shared" si="12"/>
        <v>MARZO</v>
      </c>
      <c r="J231" s="13">
        <f t="shared" si="13"/>
        <v>2026</v>
      </c>
      <c r="K231" s="13" t="s">
        <v>18</v>
      </c>
      <c r="L231" s="13"/>
    </row>
    <row r="232" spans="1:12" x14ac:dyDescent="0.25">
      <c r="A232" s="12">
        <v>46102</v>
      </c>
      <c r="B232" s="68" t="s">
        <v>69</v>
      </c>
      <c r="C232" s="13" t="s">
        <v>65</v>
      </c>
      <c r="D232" s="14">
        <v>1</v>
      </c>
      <c r="E232" s="15">
        <v>20</v>
      </c>
      <c r="F232" s="15">
        <f>Tabla8[[#This Row],[CANTIDAD]]*Tabla8[[#This Row],[PRECIO]]</f>
        <v>20</v>
      </c>
      <c r="G232" s="13" t="s">
        <v>301</v>
      </c>
      <c r="H232" s="13"/>
      <c r="I232" s="13" t="str">
        <f t="shared" si="12"/>
        <v>MARZO</v>
      </c>
      <c r="J232" s="13">
        <f t="shared" si="13"/>
        <v>2026</v>
      </c>
      <c r="K232" s="13" t="s">
        <v>18</v>
      </c>
      <c r="L232" s="13"/>
    </row>
    <row r="233" spans="1:12" x14ac:dyDescent="0.25">
      <c r="A233" s="12">
        <v>46104</v>
      </c>
      <c r="B233" s="68" t="s">
        <v>68</v>
      </c>
      <c r="C233" s="13" t="s">
        <v>65</v>
      </c>
      <c r="D233" s="14">
        <v>1</v>
      </c>
      <c r="E233" s="15">
        <v>1</v>
      </c>
      <c r="F233" s="15">
        <f>Tabla8[[#This Row],[CANTIDAD]]*Tabla8[[#This Row],[PRECIO]]</f>
        <v>1</v>
      </c>
      <c r="G233" s="13" t="s">
        <v>623</v>
      </c>
      <c r="H233" s="13"/>
      <c r="I233" s="13" t="str">
        <f t="shared" si="12"/>
        <v>MARZO</v>
      </c>
      <c r="J233" s="13">
        <f t="shared" si="13"/>
        <v>2026</v>
      </c>
      <c r="K233" s="13" t="s">
        <v>18</v>
      </c>
      <c r="L233" s="13"/>
    </row>
    <row r="234" spans="1:12" x14ac:dyDescent="0.25">
      <c r="A234" s="12">
        <v>46104</v>
      </c>
      <c r="B234" s="68" t="s">
        <v>19</v>
      </c>
      <c r="C234" s="13" t="s">
        <v>66</v>
      </c>
      <c r="D234" s="14">
        <v>1</v>
      </c>
      <c r="E234" s="15">
        <v>2.5</v>
      </c>
      <c r="F234" s="15">
        <f>Tabla8[[#This Row],[CANTIDAD]]*Tabla8[[#This Row],[PRECIO]]</f>
        <v>2.5</v>
      </c>
      <c r="G234" s="13" t="s">
        <v>19</v>
      </c>
      <c r="H234" s="13"/>
      <c r="I234" s="13" t="str">
        <f t="shared" si="12"/>
        <v>MARZO</v>
      </c>
      <c r="J234" s="13">
        <f t="shared" si="13"/>
        <v>2026</v>
      </c>
      <c r="K234" s="13" t="s">
        <v>18</v>
      </c>
      <c r="L234" s="13"/>
    </row>
    <row r="235" spans="1:12" x14ac:dyDescent="0.25">
      <c r="A235" s="12">
        <v>46104</v>
      </c>
      <c r="B235" s="68" t="s">
        <v>22</v>
      </c>
      <c r="C235" s="13" t="s">
        <v>65</v>
      </c>
      <c r="D235" s="14">
        <v>1</v>
      </c>
      <c r="E235" s="15">
        <v>2</v>
      </c>
      <c r="F235" s="15">
        <f>Tabla8[[#This Row],[CANTIDAD]]*Tabla8[[#This Row],[PRECIO]]</f>
        <v>2</v>
      </c>
      <c r="G235" s="13" t="s">
        <v>22</v>
      </c>
      <c r="H235" s="13"/>
      <c r="I235" s="13" t="str">
        <f t="shared" si="12"/>
        <v>MARZO</v>
      </c>
      <c r="J235" s="13">
        <f t="shared" si="13"/>
        <v>2026</v>
      </c>
      <c r="K235" s="13" t="s">
        <v>18</v>
      </c>
      <c r="L235" s="13"/>
    </row>
    <row r="236" spans="1:12" x14ac:dyDescent="0.25">
      <c r="A236" s="12">
        <v>46104</v>
      </c>
      <c r="B236" s="68" t="s">
        <v>67</v>
      </c>
      <c r="C236" s="13" t="s">
        <v>66</v>
      </c>
      <c r="D236" s="14">
        <v>1</v>
      </c>
      <c r="E236" s="15">
        <v>34.5</v>
      </c>
      <c r="F236" s="15">
        <f>Tabla8[[#This Row],[CANTIDAD]]*Tabla8[[#This Row],[PRECIO]]</f>
        <v>34.5</v>
      </c>
      <c r="G236" s="13" t="s">
        <v>576</v>
      </c>
      <c r="H236" s="13"/>
      <c r="I236" s="13" t="str">
        <f t="shared" si="12"/>
        <v>MARZO</v>
      </c>
      <c r="J236" s="13">
        <f t="shared" si="13"/>
        <v>2026</v>
      </c>
      <c r="K236" s="13" t="s">
        <v>18</v>
      </c>
      <c r="L236" s="13"/>
    </row>
    <row r="237" spans="1:12" x14ac:dyDescent="0.25">
      <c r="A237" s="12">
        <v>46104</v>
      </c>
      <c r="B237" s="68" t="s">
        <v>67</v>
      </c>
      <c r="C237" s="13" t="s">
        <v>65</v>
      </c>
      <c r="D237" s="14">
        <v>1</v>
      </c>
      <c r="E237" s="15">
        <v>0.5</v>
      </c>
      <c r="F237" s="15">
        <f>Tabla8[[#This Row],[CANTIDAD]]*Tabla8[[#This Row],[PRECIO]]</f>
        <v>0.5</v>
      </c>
      <c r="G237" s="13" t="s">
        <v>341</v>
      </c>
      <c r="H237" s="13"/>
      <c r="I237" s="13" t="str">
        <f t="shared" si="12"/>
        <v>MARZO</v>
      </c>
      <c r="J237" s="13">
        <f t="shared" si="13"/>
        <v>2026</v>
      </c>
      <c r="K237" s="13" t="s">
        <v>18</v>
      </c>
      <c r="L237" s="13"/>
    </row>
    <row r="238" spans="1:12" x14ac:dyDescent="0.25">
      <c r="A238" s="12">
        <v>46104</v>
      </c>
      <c r="B238" s="68" t="s">
        <v>19</v>
      </c>
      <c r="C238" s="13" t="s">
        <v>66</v>
      </c>
      <c r="D238" s="14">
        <v>1</v>
      </c>
      <c r="E238" s="15">
        <v>5</v>
      </c>
      <c r="F238" s="15">
        <f>Tabla8[[#This Row],[CANTIDAD]]*Tabla8[[#This Row],[PRECIO]]</f>
        <v>5</v>
      </c>
      <c r="G238" s="13" t="s">
        <v>19</v>
      </c>
      <c r="H238" s="13"/>
      <c r="I238" s="13" t="str">
        <f t="shared" si="12"/>
        <v>MARZO</v>
      </c>
      <c r="J238" s="13">
        <f t="shared" si="13"/>
        <v>2026</v>
      </c>
      <c r="K238" s="13" t="s">
        <v>18</v>
      </c>
      <c r="L238" s="13"/>
    </row>
    <row r="239" spans="1:12" x14ac:dyDescent="0.25">
      <c r="A239" s="12">
        <v>46104</v>
      </c>
      <c r="B239" s="68" t="s">
        <v>22</v>
      </c>
      <c r="C239" s="13" t="s">
        <v>65</v>
      </c>
      <c r="D239" s="14">
        <v>1</v>
      </c>
      <c r="E239" s="15">
        <v>31.5</v>
      </c>
      <c r="F239" s="15">
        <f>Tabla8[[#This Row],[CANTIDAD]]*Tabla8[[#This Row],[PRECIO]]</f>
        <v>31.5</v>
      </c>
      <c r="G239" s="13" t="s">
        <v>624</v>
      </c>
      <c r="H239" s="13"/>
      <c r="I239" s="13" t="str">
        <f t="shared" ref="I239:I302" si="14">UPPER(TEXT(A239,"MMMM"))</f>
        <v>MARZO</v>
      </c>
      <c r="J239" s="13">
        <f t="shared" ref="J239:J302" si="15">+YEAR(A239)</f>
        <v>2026</v>
      </c>
      <c r="K239" s="13" t="s">
        <v>18</v>
      </c>
      <c r="L239" s="13"/>
    </row>
    <row r="240" spans="1:12" x14ac:dyDescent="0.25">
      <c r="A240" s="12">
        <v>46104</v>
      </c>
      <c r="B240" s="68" t="s">
        <v>22</v>
      </c>
      <c r="C240" s="13" t="s">
        <v>65</v>
      </c>
      <c r="D240" s="14">
        <v>1</v>
      </c>
      <c r="E240" s="15">
        <v>7</v>
      </c>
      <c r="F240" s="15">
        <f>Tabla8[[#This Row],[CANTIDAD]]*Tabla8[[#This Row],[PRECIO]]</f>
        <v>7</v>
      </c>
      <c r="G240" s="13" t="s">
        <v>22</v>
      </c>
      <c r="H240" s="13"/>
      <c r="I240" s="13" t="str">
        <f t="shared" si="14"/>
        <v>MARZO</v>
      </c>
      <c r="J240" s="13">
        <f t="shared" si="15"/>
        <v>2026</v>
      </c>
      <c r="K240" s="13" t="s">
        <v>27</v>
      </c>
      <c r="L240" s="13"/>
    </row>
    <row r="241" spans="1:12" x14ac:dyDescent="0.25">
      <c r="A241" s="12">
        <v>46104</v>
      </c>
      <c r="B241" s="68" t="s">
        <v>16</v>
      </c>
      <c r="C241" s="13" t="s">
        <v>66</v>
      </c>
      <c r="D241" s="14">
        <v>1</v>
      </c>
      <c r="E241" s="15">
        <v>10</v>
      </c>
      <c r="F241" s="15">
        <f>Tabla8[[#This Row],[CANTIDAD]]*Tabla8[[#This Row],[PRECIO]]</f>
        <v>10</v>
      </c>
      <c r="G241" s="13" t="s">
        <v>681</v>
      </c>
      <c r="H241" s="13"/>
      <c r="I241" s="13" t="str">
        <f t="shared" si="14"/>
        <v>MARZO</v>
      </c>
      <c r="J241" s="13">
        <f t="shared" si="15"/>
        <v>2026</v>
      </c>
      <c r="K241" s="13" t="s">
        <v>27</v>
      </c>
      <c r="L241" s="13"/>
    </row>
    <row r="242" spans="1:12" x14ac:dyDescent="0.25">
      <c r="A242" s="12">
        <v>46104</v>
      </c>
      <c r="B242" s="68" t="s">
        <v>67</v>
      </c>
      <c r="C242" s="13" t="s">
        <v>66</v>
      </c>
      <c r="D242" s="14">
        <v>1</v>
      </c>
      <c r="E242" s="15">
        <v>43.99</v>
      </c>
      <c r="F242" s="15">
        <f>Tabla8[[#This Row],[CANTIDAD]]*Tabla8[[#This Row],[PRECIO]]</f>
        <v>43.99</v>
      </c>
      <c r="G242" s="13" t="s">
        <v>682</v>
      </c>
      <c r="H242" s="13"/>
      <c r="I242" s="13" t="str">
        <f t="shared" si="14"/>
        <v>MARZO</v>
      </c>
      <c r="J242" s="13">
        <f t="shared" si="15"/>
        <v>2026</v>
      </c>
      <c r="K242" s="13" t="s">
        <v>27</v>
      </c>
      <c r="L242" s="13"/>
    </row>
    <row r="243" spans="1:12" x14ac:dyDescent="0.25">
      <c r="A243" s="12">
        <v>46104</v>
      </c>
      <c r="B243" s="68" t="s">
        <v>16</v>
      </c>
      <c r="C243" s="13" t="s">
        <v>66</v>
      </c>
      <c r="D243" s="14">
        <v>1</v>
      </c>
      <c r="E243" s="15">
        <v>9.5</v>
      </c>
      <c r="F243" s="15">
        <f>Tabla8[[#This Row],[CANTIDAD]]*Tabla8[[#This Row],[PRECIO]]</f>
        <v>9.5</v>
      </c>
      <c r="G243" s="13" t="s">
        <v>446</v>
      </c>
      <c r="H243" s="13"/>
      <c r="I243" s="13" t="str">
        <f t="shared" si="14"/>
        <v>MARZO</v>
      </c>
      <c r="J243" s="13">
        <f t="shared" si="15"/>
        <v>2026</v>
      </c>
      <c r="K243" s="13" t="s">
        <v>27</v>
      </c>
      <c r="L243" s="13"/>
    </row>
    <row r="244" spans="1:12" x14ac:dyDescent="0.25">
      <c r="A244" s="12">
        <v>46104</v>
      </c>
      <c r="B244" s="68" t="s">
        <v>16</v>
      </c>
      <c r="C244" s="13" t="s">
        <v>66</v>
      </c>
      <c r="D244" s="14">
        <v>1</v>
      </c>
      <c r="E244" s="15">
        <v>56.51</v>
      </c>
      <c r="F244" s="15">
        <f>Tabla8[[#This Row],[CANTIDAD]]*Tabla8[[#This Row],[PRECIO]]</f>
        <v>56.51</v>
      </c>
      <c r="G244" s="13" t="s">
        <v>483</v>
      </c>
      <c r="H244" s="13"/>
      <c r="I244" s="13" t="str">
        <f t="shared" si="14"/>
        <v>MARZO</v>
      </c>
      <c r="J244" s="13">
        <f t="shared" si="15"/>
        <v>2026</v>
      </c>
      <c r="K244" s="13" t="s">
        <v>27</v>
      </c>
      <c r="L244" s="13"/>
    </row>
    <row r="245" spans="1:12" x14ac:dyDescent="0.25">
      <c r="A245" s="12">
        <v>46106</v>
      </c>
      <c r="B245" s="68" t="s">
        <v>67</v>
      </c>
      <c r="C245" s="13" t="s">
        <v>65</v>
      </c>
      <c r="D245" s="14">
        <v>1</v>
      </c>
      <c r="E245" s="15">
        <v>8.5</v>
      </c>
      <c r="F245" s="15">
        <f>Tabla8[[#This Row],[CANTIDAD]]*Tabla8[[#This Row],[PRECIO]]</f>
        <v>8.5</v>
      </c>
      <c r="G245" s="13" t="s">
        <v>67</v>
      </c>
      <c r="H245" s="13"/>
      <c r="I245" s="13" t="str">
        <f t="shared" si="14"/>
        <v>MARZO</v>
      </c>
      <c r="J245" s="13">
        <f t="shared" si="15"/>
        <v>2026</v>
      </c>
      <c r="K245" s="13" t="s">
        <v>18</v>
      </c>
      <c r="L245" s="13"/>
    </row>
    <row r="246" spans="1:12" x14ac:dyDescent="0.25">
      <c r="A246" s="12">
        <v>46106</v>
      </c>
      <c r="B246" s="68" t="s">
        <v>19</v>
      </c>
      <c r="C246" s="13" t="s">
        <v>66</v>
      </c>
      <c r="D246" s="14">
        <v>1</v>
      </c>
      <c r="E246" s="15">
        <v>2.5</v>
      </c>
      <c r="F246" s="15">
        <f>Tabla8[[#This Row],[CANTIDAD]]*Tabla8[[#This Row],[PRECIO]]</f>
        <v>2.5</v>
      </c>
      <c r="G246" s="13" t="s">
        <v>19</v>
      </c>
      <c r="H246" s="13"/>
      <c r="I246" s="13" t="str">
        <f t="shared" si="14"/>
        <v>MARZO</v>
      </c>
      <c r="J246" s="13">
        <f t="shared" si="15"/>
        <v>2026</v>
      </c>
      <c r="K246" s="13" t="s">
        <v>18</v>
      </c>
      <c r="L246" s="13"/>
    </row>
    <row r="247" spans="1:12" x14ac:dyDescent="0.25">
      <c r="A247" s="12">
        <v>46106</v>
      </c>
      <c r="B247" s="68" t="s">
        <v>67</v>
      </c>
      <c r="C247" s="13" t="s">
        <v>65</v>
      </c>
      <c r="D247" s="14">
        <v>1</v>
      </c>
      <c r="E247" s="15">
        <v>5</v>
      </c>
      <c r="F247" s="15">
        <f>Tabla8[[#This Row],[CANTIDAD]]*Tabla8[[#This Row],[PRECIO]]</f>
        <v>5</v>
      </c>
      <c r="G247" s="13" t="s">
        <v>625</v>
      </c>
      <c r="H247" s="13"/>
      <c r="I247" s="13" t="str">
        <f t="shared" si="14"/>
        <v>MARZO</v>
      </c>
      <c r="J247" s="13">
        <f t="shared" si="15"/>
        <v>2026</v>
      </c>
      <c r="K247" s="13" t="s">
        <v>18</v>
      </c>
      <c r="L247" s="13"/>
    </row>
    <row r="248" spans="1:12" x14ac:dyDescent="0.25">
      <c r="A248" s="12">
        <v>46106</v>
      </c>
      <c r="B248" s="68" t="s">
        <v>16</v>
      </c>
      <c r="C248" s="13" t="s">
        <v>66</v>
      </c>
      <c r="D248" s="14">
        <v>1</v>
      </c>
      <c r="E248" s="15">
        <v>51.21</v>
      </c>
      <c r="F248" s="15">
        <f>Tabla8[[#This Row],[CANTIDAD]]*Tabla8[[#This Row],[PRECIO]]</f>
        <v>51.21</v>
      </c>
      <c r="G248" s="13" t="s">
        <v>389</v>
      </c>
      <c r="H248" s="13"/>
      <c r="I248" s="13" t="str">
        <f t="shared" si="14"/>
        <v>MARZO</v>
      </c>
      <c r="J248" s="13">
        <f t="shared" si="15"/>
        <v>2026</v>
      </c>
      <c r="K248" s="13" t="s">
        <v>27</v>
      </c>
      <c r="L248" s="13"/>
    </row>
    <row r="249" spans="1:12" x14ac:dyDescent="0.25">
      <c r="A249" s="12">
        <v>46106</v>
      </c>
      <c r="B249" s="68" t="s">
        <v>16</v>
      </c>
      <c r="C249" s="13" t="s">
        <v>66</v>
      </c>
      <c r="D249" s="14">
        <v>1</v>
      </c>
      <c r="E249" s="15">
        <v>12.5</v>
      </c>
      <c r="F249" s="15">
        <f>Tabla8[[#This Row],[CANTIDAD]]*Tabla8[[#This Row],[PRECIO]]</f>
        <v>12.5</v>
      </c>
      <c r="G249" s="13" t="s">
        <v>446</v>
      </c>
      <c r="H249" s="13"/>
      <c r="I249" s="13" t="str">
        <f t="shared" si="14"/>
        <v>MARZO</v>
      </c>
      <c r="J249" s="13">
        <f t="shared" si="15"/>
        <v>2026</v>
      </c>
      <c r="K249" s="13" t="s">
        <v>27</v>
      </c>
      <c r="L249" s="13"/>
    </row>
    <row r="250" spans="1:12" x14ac:dyDescent="0.25">
      <c r="A250" s="12">
        <v>46108</v>
      </c>
      <c r="B250" s="68" t="s">
        <v>25</v>
      </c>
      <c r="C250" s="13" t="s">
        <v>66</v>
      </c>
      <c r="D250" s="14">
        <v>1</v>
      </c>
      <c r="E250" s="15">
        <v>100</v>
      </c>
      <c r="F250" s="15">
        <f>Tabla8[[#This Row],[CANTIDAD]]*Tabla8[[#This Row],[PRECIO]]</f>
        <v>100</v>
      </c>
      <c r="G250" s="13" t="s">
        <v>310</v>
      </c>
      <c r="H250" s="13"/>
      <c r="I250" s="13" t="str">
        <f t="shared" si="14"/>
        <v>MARZO</v>
      </c>
      <c r="J250" s="13">
        <f t="shared" si="15"/>
        <v>2026</v>
      </c>
      <c r="K250" s="13" t="s">
        <v>18</v>
      </c>
      <c r="L250" s="13"/>
    </row>
    <row r="251" spans="1:12" x14ac:dyDescent="0.25">
      <c r="A251" s="12">
        <v>46108</v>
      </c>
      <c r="B251" s="68" t="s">
        <v>68</v>
      </c>
      <c r="C251" s="13" t="s">
        <v>65</v>
      </c>
      <c r="D251" s="14">
        <v>1</v>
      </c>
      <c r="E251" s="15">
        <v>5</v>
      </c>
      <c r="F251" s="15">
        <f>Tabla8[[#This Row],[CANTIDAD]]*Tabla8[[#This Row],[PRECIO]]</f>
        <v>5</v>
      </c>
      <c r="G251" s="13" t="s">
        <v>639</v>
      </c>
      <c r="H251" s="13"/>
      <c r="I251" s="13" t="str">
        <f t="shared" si="14"/>
        <v>MARZO</v>
      </c>
      <c r="J251" s="13">
        <f t="shared" si="15"/>
        <v>2026</v>
      </c>
      <c r="K251" s="13" t="s">
        <v>18</v>
      </c>
      <c r="L251" s="13"/>
    </row>
    <row r="252" spans="1:12" x14ac:dyDescent="0.25">
      <c r="A252" s="12">
        <v>46108</v>
      </c>
      <c r="B252" s="68" t="s">
        <v>22</v>
      </c>
      <c r="C252" s="13" t="s">
        <v>65</v>
      </c>
      <c r="D252" s="14">
        <v>1</v>
      </c>
      <c r="E252" s="15">
        <v>23.05</v>
      </c>
      <c r="F252" s="15">
        <f>Tabla8[[#This Row],[CANTIDAD]]*Tabla8[[#This Row],[PRECIO]]</f>
        <v>23.05</v>
      </c>
      <c r="G252" s="13" t="s">
        <v>454</v>
      </c>
      <c r="H252" s="13"/>
      <c r="I252" s="13" t="str">
        <f t="shared" si="14"/>
        <v>MARZO</v>
      </c>
      <c r="J252" s="13">
        <f t="shared" si="15"/>
        <v>2026</v>
      </c>
      <c r="K252" s="13" t="s">
        <v>18</v>
      </c>
      <c r="L252" s="13"/>
    </row>
    <row r="253" spans="1:12" x14ac:dyDescent="0.25">
      <c r="A253" s="12">
        <v>46108</v>
      </c>
      <c r="B253" s="68" t="s">
        <v>19</v>
      </c>
      <c r="C253" s="13" t="s">
        <v>66</v>
      </c>
      <c r="D253" s="14">
        <v>1</v>
      </c>
      <c r="E253" s="15">
        <v>4</v>
      </c>
      <c r="F253" s="15">
        <f>Tabla8[[#This Row],[CANTIDAD]]*Tabla8[[#This Row],[PRECIO]]</f>
        <v>4</v>
      </c>
      <c r="G253" s="13" t="s">
        <v>19</v>
      </c>
      <c r="H253" s="13"/>
      <c r="I253" s="13" t="str">
        <f t="shared" si="14"/>
        <v>MARZO</v>
      </c>
      <c r="J253" s="13">
        <f t="shared" si="15"/>
        <v>2026</v>
      </c>
      <c r="K253" s="13" t="s">
        <v>18</v>
      </c>
      <c r="L253" s="13"/>
    </row>
    <row r="254" spans="1:12" x14ac:dyDescent="0.25">
      <c r="A254" s="12">
        <v>46108</v>
      </c>
      <c r="B254" s="68" t="s">
        <v>16</v>
      </c>
      <c r="C254" s="13" t="s">
        <v>66</v>
      </c>
      <c r="D254" s="14">
        <v>1</v>
      </c>
      <c r="E254" s="15">
        <v>7.95</v>
      </c>
      <c r="F254" s="15">
        <f>Tabla8[[#This Row],[CANTIDAD]]*Tabla8[[#This Row],[PRECIO]]</f>
        <v>7.95</v>
      </c>
      <c r="G254" s="13" t="s">
        <v>483</v>
      </c>
      <c r="H254" s="13"/>
      <c r="I254" s="13" t="str">
        <f t="shared" si="14"/>
        <v>MARZO</v>
      </c>
      <c r="J254" s="13">
        <f t="shared" si="15"/>
        <v>2026</v>
      </c>
      <c r="K254" s="13" t="s">
        <v>27</v>
      </c>
      <c r="L254" s="13"/>
    </row>
    <row r="255" spans="1:12" x14ac:dyDescent="0.25">
      <c r="A255" s="12">
        <v>46108</v>
      </c>
      <c r="B255" s="68" t="s">
        <v>67</v>
      </c>
      <c r="C255" s="13" t="s">
        <v>66</v>
      </c>
      <c r="D255" s="14">
        <v>1</v>
      </c>
      <c r="E255" s="15">
        <v>47.15</v>
      </c>
      <c r="F255" s="15">
        <f>Tabla8[[#This Row],[CANTIDAD]]*Tabla8[[#This Row],[PRECIO]]</f>
        <v>47.15</v>
      </c>
      <c r="G255" s="13" t="s">
        <v>430</v>
      </c>
      <c r="H255" s="13"/>
      <c r="I255" s="13" t="str">
        <f t="shared" si="14"/>
        <v>MARZO</v>
      </c>
      <c r="J255" s="13">
        <f t="shared" si="15"/>
        <v>2026</v>
      </c>
      <c r="K255" s="13" t="s">
        <v>27</v>
      </c>
      <c r="L255" s="13"/>
    </row>
    <row r="256" spans="1:12" x14ac:dyDescent="0.25">
      <c r="A256" s="12">
        <v>46109</v>
      </c>
      <c r="B256" s="68" t="s">
        <v>22</v>
      </c>
      <c r="C256" s="13" t="s">
        <v>65</v>
      </c>
      <c r="D256" s="14">
        <v>1</v>
      </c>
      <c r="E256" s="15">
        <v>28.75</v>
      </c>
      <c r="F256" s="15">
        <f>Tabla8[[#This Row],[CANTIDAD]]*Tabla8[[#This Row],[PRECIO]]</f>
        <v>28.75</v>
      </c>
      <c r="G256" s="13" t="s">
        <v>454</v>
      </c>
      <c r="H256" s="13"/>
      <c r="I256" s="13" t="str">
        <f t="shared" si="14"/>
        <v>MARZO</v>
      </c>
      <c r="J256" s="13">
        <f t="shared" si="15"/>
        <v>2026</v>
      </c>
      <c r="K256" s="13" t="s">
        <v>18</v>
      </c>
      <c r="L256" s="13"/>
    </row>
    <row r="257" spans="1:12" x14ac:dyDescent="0.25">
      <c r="A257" s="12">
        <v>46111</v>
      </c>
      <c r="B257" s="68" t="s">
        <v>22</v>
      </c>
      <c r="C257" s="13" t="s">
        <v>65</v>
      </c>
      <c r="D257" s="14">
        <v>1</v>
      </c>
      <c r="E257" s="15">
        <v>5.7</v>
      </c>
      <c r="F257" s="15">
        <f>Tabla8[[#This Row],[CANTIDAD]]*Tabla8[[#This Row],[PRECIO]]</f>
        <v>5.7</v>
      </c>
      <c r="G257" s="13" t="s">
        <v>454</v>
      </c>
      <c r="H257" s="13"/>
      <c r="I257" s="13" t="str">
        <f t="shared" si="14"/>
        <v>MARZO</v>
      </c>
      <c r="J257" s="13">
        <f t="shared" si="15"/>
        <v>2026</v>
      </c>
      <c r="K257" s="13" t="s">
        <v>18</v>
      </c>
      <c r="L257" s="13"/>
    </row>
    <row r="258" spans="1:12" x14ac:dyDescent="0.25">
      <c r="A258" s="12">
        <v>46111</v>
      </c>
      <c r="B258" s="68" t="s">
        <v>19</v>
      </c>
      <c r="C258" s="13" t="s">
        <v>66</v>
      </c>
      <c r="D258" s="14">
        <v>1</v>
      </c>
      <c r="E258" s="15">
        <v>2.5</v>
      </c>
      <c r="F258" s="15">
        <f>Tabla8[[#This Row],[CANTIDAD]]*Tabla8[[#This Row],[PRECIO]]</f>
        <v>2.5</v>
      </c>
      <c r="G258" s="13" t="s">
        <v>19</v>
      </c>
      <c r="H258" s="13"/>
      <c r="I258" s="13" t="str">
        <f t="shared" si="14"/>
        <v>MARZO</v>
      </c>
      <c r="J258" s="13">
        <f t="shared" si="15"/>
        <v>2026</v>
      </c>
      <c r="K258" s="13" t="s">
        <v>18</v>
      </c>
      <c r="L258" s="13"/>
    </row>
    <row r="259" spans="1:12" x14ac:dyDescent="0.25">
      <c r="A259" s="12">
        <v>46111</v>
      </c>
      <c r="B259" s="68" t="s">
        <v>16</v>
      </c>
      <c r="C259" s="13" t="s">
        <v>66</v>
      </c>
      <c r="D259" s="14">
        <v>1</v>
      </c>
      <c r="E259" s="15">
        <v>341.31</v>
      </c>
      <c r="F259" s="15">
        <f>Tabla8[[#This Row],[CANTIDAD]]*Tabla8[[#This Row],[PRECIO]]</f>
        <v>341.31</v>
      </c>
      <c r="G259" s="13" t="s">
        <v>483</v>
      </c>
      <c r="H259" s="13"/>
      <c r="I259" s="13" t="str">
        <f t="shared" si="14"/>
        <v>MARZO</v>
      </c>
      <c r="J259" s="13">
        <f t="shared" si="15"/>
        <v>2026</v>
      </c>
      <c r="K259" s="13" t="s">
        <v>27</v>
      </c>
      <c r="L259" s="13"/>
    </row>
    <row r="260" spans="1:12" x14ac:dyDescent="0.25">
      <c r="A260" s="12">
        <v>46112</v>
      </c>
      <c r="B260" s="68" t="s">
        <v>22</v>
      </c>
      <c r="C260" s="13" t="s">
        <v>65</v>
      </c>
      <c r="D260" s="14">
        <v>1</v>
      </c>
      <c r="E260" s="15">
        <v>6.9</v>
      </c>
      <c r="F260" s="15">
        <f>Tabla8[[#This Row],[CANTIDAD]]*Tabla8[[#This Row],[PRECIO]]</f>
        <v>6.9</v>
      </c>
      <c r="G260" s="13" t="s">
        <v>454</v>
      </c>
      <c r="H260" s="13"/>
      <c r="I260" s="13" t="str">
        <f t="shared" si="14"/>
        <v>MARZO</v>
      </c>
      <c r="J260" s="13">
        <f t="shared" si="15"/>
        <v>2026</v>
      </c>
      <c r="K260" s="13" t="s">
        <v>18</v>
      </c>
      <c r="L260" s="13"/>
    </row>
    <row r="261" spans="1:12" x14ac:dyDescent="0.25">
      <c r="A261" s="12">
        <v>46112</v>
      </c>
      <c r="B261" s="68" t="s">
        <v>67</v>
      </c>
      <c r="C261" s="13" t="s">
        <v>65</v>
      </c>
      <c r="D261" s="14">
        <v>1</v>
      </c>
      <c r="E261" s="15">
        <v>30</v>
      </c>
      <c r="F261" s="15">
        <f>Tabla8[[#This Row],[CANTIDAD]]*Tabla8[[#This Row],[PRECIO]]</f>
        <v>30</v>
      </c>
      <c r="G261" s="13" t="s">
        <v>640</v>
      </c>
      <c r="H261" s="13"/>
      <c r="I261" s="13" t="str">
        <f t="shared" si="14"/>
        <v>MARZO</v>
      </c>
      <c r="J261" s="13">
        <f t="shared" si="15"/>
        <v>2026</v>
      </c>
      <c r="K261" s="13" t="s">
        <v>18</v>
      </c>
      <c r="L261" s="13"/>
    </row>
    <row r="262" spans="1:12" x14ac:dyDescent="0.25">
      <c r="A262" s="12">
        <v>46112</v>
      </c>
      <c r="B262" s="68" t="s">
        <v>16</v>
      </c>
      <c r="C262" s="13" t="s">
        <v>66</v>
      </c>
      <c r="D262" s="14">
        <v>1</v>
      </c>
      <c r="E262" s="15">
        <v>5</v>
      </c>
      <c r="F262" s="15">
        <f>Tabla8[[#This Row],[CANTIDAD]]*Tabla8[[#This Row],[PRECIO]]</f>
        <v>5</v>
      </c>
      <c r="G262" s="13" t="s">
        <v>612</v>
      </c>
      <c r="H262" s="13"/>
      <c r="I262" s="13" t="str">
        <f t="shared" si="14"/>
        <v>MARZO</v>
      </c>
      <c r="J262" s="13">
        <f t="shared" si="15"/>
        <v>2026</v>
      </c>
      <c r="K262" s="13" t="s">
        <v>18</v>
      </c>
      <c r="L262" s="13"/>
    </row>
    <row r="263" spans="1:12" x14ac:dyDescent="0.25">
      <c r="A263" s="12">
        <v>46112</v>
      </c>
      <c r="B263" s="68" t="s">
        <v>67</v>
      </c>
      <c r="C263" s="13" t="s">
        <v>65</v>
      </c>
      <c r="D263" s="14">
        <v>1</v>
      </c>
      <c r="E263" s="15">
        <v>70</v>
      </c>
      <c r="F263" s="15">
        <f>Tabla8[[#This Row],[CANTIDAD]]*Tabla8[[#This Row],[PRECIO]]</f>
        <v>70</v>
      </c>
      <c r="G263" s="13" t="s">
        <v>683</v>
      </c>
      <c r="H263" s="13"/>
      <c r="I263" s="13" t="str">
        <f t="shared" si="14"/>
        <v>MARZO</v>
      </c>
      <c r="J263" s="13">
        <f t="shared" si="15"/>
        <v>2026</v>
      </c>
      <c r="K263" s="13" t="s">
        <v>27</v>
      </c>
      <c r="L263" s="13"/>
    </row>
    <row r="264" spans="1:12" x14ac:dyDescent="0.25">
      <c r="A264" s="12">
        <v>46112</v>
      </c>
      <c r="B264" s="68" t="s">
        <v>16</v>
      </c>
      <c r="C264" s="13" t="s">
        <v>66</v>
      </c>
      <c r="D264" s="14">
        <v>1</v>
      </c>
      <c r="E264" s="15">
        <v>47</v>
      </c>
      <c r="F264" s="15">
        <f>Tabla8[[#This Row],[CANTIDAD]]*Tabla8[[#This Row],[PRECIO]]</f>
        <v>47</v>
      </c>
      <c r="G264" s="13" t="s">
        <v>428</v>
      </c>
      <c r="H264" s="13"/>
      <c r="I264" s="13" t="str">
        <f t="shared" si="14"/>
        <v>MARZO</v>
      </c>
      <c r="J264" s="13">
        <f t="shared" si="15"/>
        <v>2026</v>
      </c>
      <c r="K264" s="13" t="s">
        <v>27</v>
      </c>
      <c r="L264" s="13"/>
    </row>
    <row r="265" spans="1:12" x14ac:dyDescent="0.25">
      <c r="A265" s="12">
        <v>46113</v>
      </c>
      <c r="B265" s="68" t="s">
        <v>67</v>
      </c>
      <c r="C265" s="13" t="s">
        <v>66</v>
      </c>
      <c r="D265" s="14">
        <v>1</v>
      </c>
      <c r="E265" s="15">
        <v>600</v>
      </c>
      <c r="F265" s="15">
        <f>Tabla8[[#This Row],[CANTIDAD]]*Tabla8[[#This Row],[PRECIO]]</f>
        <v>600</v>
      </c>
      <c r="G265" s="13" t="s">
        <v>641</v>
      </c>
      <c r="H265" s="13"/>
      <c r="I265" s="13" t="str">
        <f t="shared" si="14"/>
        <v>ABRIL</v>
      </c>
      <c r="J265" s="13">
        <f t="shared" si="15"/>
        <v>2026</v>
      </c>
      <c r="K265" s="13" t="s">
        <v>18</v>
      </c>
      <c r="L265" s="13"/>
    </row>
    <row r="266" spans="1:12" x14ac:dyDescent="0.25">
      <c r="A266" s="12">
        <v>46113</v>
      </c>
      <c r="B266" s="68" t="s">
        <v>67</v>
      </c>
      <c r="C266" s="13" t="s">
        <v>65</v>
      </c>
      <c r="D266" s="14">
        <v>1</v>
      </c>
      <c r="E266" s="15">
        <v>12.75</v>
      </c>
      <c r="F266" s="15">
        <f>Tabla8[[#This Row],[CANTIDAD]]*Tabla8[[#This Row],[PRECIO]]</f>
        <v>12.75</v>
      </c>
      <c r="G266" s="13" t="s">
        <v>642</v>
      </c>
      <c r="H266" s="13"/>
      <c r="I266" s="13" t="str">
        <f t="shared" si="14"/>
        <v>ABRIL</v>
      </c>
      <c r="J266" s="13">
        <f t="shared" si="15"/>
        <v>2026</v>
      </c>
      <c r="K266" s="13" t="s">
        <v>18</v>
      </c>
      <c r="L266" s="13"/>
    </row>
    <row r="267" spans="1:12" x14ac:dyDescent="0.25">
      <c r="A267" s="12">
        <v>46113</v>
      </c>
      <c r="B267" s="68" t="s">
        <v>67</v>
      </c>
      <c r="C267" s="13" t="s">
        <v>65</v>
      </c>
      <c r="D267" s="14">
        <v>1</v>
      </c>
      <c r="E267" s="15">
        <v>10</v>
      </c>
      <c r="F267" s="15">
        <f>Tabla8[[#This Row],[CANTIDAD]]*Tabla8[[#This Row],[PRECIO]]</f>
        <v>10</v>
      </c>
      <c r="G267" s="13" t="s">
        <v>68</v>
      </c>
      <c r="H267" s="13"/>
      <c r="I267" s="13" t="str">
        <f t="shared" si="14"/>
        <v>ABRIL</v>
      </c>
      <c r="J267" s="13">
        <f t="shared" si="15"/>
        <v>2026</v>
      </c>
      <c r="K267" s="13" t="s">
        <v>18</v>
      </c>
      <c r="L267" s="13"/>
    </row>
    <row r="268" spans="1:12" x14ac:dyDescent="0.25">
      <c r="A268" s="12">
        <v>46114</v>
      </c>
      <c r="B268" s="68" t="s">
        <v>25</v>
      </c>
      <c r="C268" s="13" t="s">
        <v>65</v>
      </c>
      <c r="D268" s="14">
        <v>1</v>
      </c>
      <c r="E268" s="15">
        <v>200</v>
      </c>
      <c r="F268" s="15">
        <f>Tabla8[[#This Row],[CANTIDAD]]*Tabla8[[#This Row],[PRECIO]]</f>
        <v>200</v>
      </c>
      <c r="G268" s="13" t="s">
        <v>643</v>
      </c>
      <c r="H268" s="13"/>
      <c r="I268" s="13" t="str">
        <f t="shared" si="14"/>
        <v>ABRIL</v>
      </c>
      <c r="J268" s="13">
        <f t="shared" si="15"/>
        <v>2026</v>
      </c>
      <c r="K268" s="13" t="s">
        <v>18</v>
      </c>
      <c r="L268" s="13"/>
    </row>
    <row r="269" spans="1:12" x14ac:dyDescent="0.25">
      <c r="A269" s="12">
        <v>46114</v>
      </c>
      <c r="B269" s="68" t="s">
        <v>69</v>
      </c>
      <c r="C269" s="13" t="s">
        <v>65</v>
      </c>
      <c r="D269" s="14">
        <v>1</v>
      </c>
      <c r="E269" s="15">
        <v>20</v>
      </c>
      <c r="F269" s="15">
        <f>Tabla8[[#This Row],[CANTIDAD]]*Tabla8[[#This Row],[PRECIO]]</f>
        <v>20</v>
      </c>
      <c r="G269" s="13" t="s">
        <v>301</v>
      </c>
      <c r="H269" s="13"/>
      <c r="I269" s="13" t="str">
        <f t="shared" si="14"/>
        <v>ABRIL</v>
      </c>
      <c r="J269" s="13">
        <f t="shared" si="15"/>
        <v>2026</v>
      </c>
      <c r="K269" s="13" t="s">
        <v>18</v>
      </c>
      <c r="L269" s="13"/>
    </row>
    <row r="270" spans="1:12" x14ac:dyDescent="0.25">
      <c r="A270" s="12">
        <v>46116</v>
      </c>
      <c r="B270" s="68" t="s">
        <v>22</v>
      </c>
      <c r="C270" s="13" t="s">
        <v>65</v>
      </c>
      <c r="D270" s="14">
        <v>1</v>
      </c>
      <c r="E270" s="15">
        <v>30</v>
      </c>
      <c r="F270" s="15">
        <f>Tabla8[[#This Row],[CANTIDAD]]*Tabla8[[#This Row],[PRECIO]]</f>
        <v>30</v>
      </c>
      <c r="G270" s="13" t="s">
        <v>549</v>
      </c>
      <c r="H270" s="13"/>
      <c r="I270" s="13" t="str">
        <f t="shared" si="14"/>
        <v>ABRIL</v>
      </c>
      <c r="J270" s="13">
        <f t="shared" si="15"/>
        <v>2026</v>
      </c>
      <c r="K270" s="13" t="s">
        <v>18</v>
      </c>
      <c r="L270" s="13"/>
    </row>
    <row r="271" spans="1:12" x14ac:dyDescent="0.25">
      <c r="A271" s="12">
        <v>46116</v>
      </c>
      <c r="B271" s="68" t="s">
        <v>22</v>
      </c>
      <c r="C271" s="13" t="s">
        <v>65</v>
      </c>
      <c r="D271" s="14">
        <v>1</v>
      </c>
      <c r="E271" s="15">
        <v>2.7</v>
      </c>
      <c r="F271" s="15">
        <f>Tabla8[[#This Row],[CANTIDAD]]*Tabla8[[#This Row],[PRECIO]]</f>
        <v>2.7</v>
      </c>
      <c r="G271" s="13" t="s">
        <v>22</v>
      </c>
      <c r="H271" s="13"/>
      <c r="I271" s="13" t="str">
        <f t="shared" si="14"/>
        <v>ABRIL</v>
      </c>
      <c r="J271" s="13">
        <f t="shared" si="15"/>
        <v>2026</v>
      </c>
      <c r="K271" s="13" t="s">
        <v>18</v>
      </c>
      <c r="L271" s="13"/>
    </row>
    <row r="272" spans="1:12" x14ac:dyDescent="0.25">
      <c r="A272" s="12">
        <v>46118</v>
      </c>
      <c r="B272" s="68" t="s">
        <v>67</v>
      </c>
      <c r="C272" s="13" t="s">
        <v>65</v>
      </c>
      <c r="D272" s="14">
        <v>1</v>
      </c>
      <c r="E272" s="15">
        <v>2</v>
      </c>
      <c r="F272" s="15">
        <f>Tabla8[[#This Row],[CANTIDAD]]*Tabla8[[#This Row],[PRECIO]]</f>
        <v>2</v>
      </c>
      <c r="G272" s="13" t="s">
        <v>684</v>
      </c>
      <c r="H272" s="13"/>
      <c r="I272" s="13" t="str">
        <f t="shared" si="14"/>
        <v>ABRIL</v>
      </c>
      <c r="J272" s="13">
        <f t="shared" si="15"/>
        <v>2026</v>
      </c>
      <c r="K272" s="13" t="s">
        <v>27</v>
      </c>
      <c r="L272" s="13"/>
    </row>
    <row r="273" spans="1:12" x14ac:dyDescent="0.25">
      <c r="A273" s="12">
        <v>46118</v>
      </c>
      <c r="B273" s="68" t="s">
        <v>67</v>
      </c>
      <c r="C273" s="13" t="s">
        <v>65</v>
      </c>
      <c r="D273" s="14">
        <v>1</v>
      </c>
      <c r="E273" s="15">
        <v>1</v>
      </c>
      <c r="F273" s="15">
        <f>Tabla8[[#This Row],[CANTIDAD]]*Tabla8[[#This Row],[PRECIO]]</f>
        <v>1</v>
      </c>
      <c r="G273" s="13" t="s">
        <v>22</v>
      </c>
      <c r="H273" s="13"/>
      <c r="I273" s="13" t="str">
        <f t="shared" si="14"/>
        <v>ABRIL</v>
      </c>
      <c r="J273" s="13">
        <f t="shared" si="15"/>
        <v>2026</v>
      </c>
      <c r="K273" s="13" t="s">
        <v>27</v>
      </c>
      <c r="L273" s="13"/>
    </row>
    <row r="274" spans="1:12" x14ac:dyDescent="0.25">
      <c r="A274" s="12">
        <v>46118</v>
      </c>
      <c r="B274" s="68" t="s">
        <v>67</v>
      </c>
      <c r="C274" s="13" t="s">
        <v>66</v>
      </c>
      <c r="D274" s="14">
        <v>1</v>
      </c>
      <c r="E274" s="15">
        <v>500.41</v>
      </c>
      <c r="F274" s="15">
        <f>Tabla8[[#This Row],[CANTIDAD]]*Tabla8[[#This Row],[PRECIO]]</f>
        <v>500.41</v>
      </c>
      <c r="G274" s="13" t="s">
        <v>480</v>
      </c>
      <c r="H274" s="13"/>
      <c r="I274" s="13" t="str">
        <f t="shared" si="14"/>
        <v>ABRIL</v>
      </c>
      <c r="J274" s="13">
        <f t="shared" si="15"/>
        <v>2026</v>
      </c>
      <c r="K274" s="13" t="s">
        <v>30</v>
      </c>
      <c r="L274" s="13"/>
    </row>
    <row r="275" spans="1:12" x14ac:dyDescent="0.25">
      <c r="A275" s="12">
        <v>46118</v>
      </c>
      <c r="B275" s="68" t="s">
        <v>25</v>
      </c>
      <c r="C275" s="13" t="s">
        <v>66</v>
      </c>
      <c r="D275" s="14">
        <v>1</v>
      </c>
      <c r="E275" s="15">
        <v>500.41</v>
      </c>
      <c r="F275" s="15">
        <f>Tabla8[[#This Row],[CANTIDAD]]*Tabla8[[#This Row],[PRECIO]]</f>
        <v>500.41</v>
      </c>
      <c r="G275" s="13" t="s">
        <v>459</v>
      </c>
      <c r="H275" s="13"/>
      <c r="I275" s="13" t="str">
        <f t="shared" si="14"/>
        <v>ABRIL</v>
      </c>
      <c r="J275" s="13">
        <f t="shared" si="15"/>
        <v>2026</v>
      </c>
      <c r="K275" s="13" t="s">
        <v>30</v>
      </c>
      <c r="L275" s="13"/>
    </row>
    <row r="276" spans="1:12" x14ac:dyDescent="0.25">
      <c r="A276" s="12">
        <v>46119</v>
      </c>
      <c r="B276" s="68" t="s">
        <v>22</v>
      </c>
      <c r="C276" s="13" t="s">
        <v>65</v>
      </c>
      <c r="D276" s="14">
        <v>1</v>
      </c>
      <c r="E276" s="15">
        <v>3.5</v>
      </c>
      <c r="F276" s="15">
        <f>Tabla8[[#This Row],[CANTIDAD]]*Tabla8[[#This Row],[PRECIO]]</f>
        <v>3.5</v>
      </c>
      <c r="G276" s="13" t="s">
        <v>22</v>
      </c>
      <c r="H276" s="13"/>
      <c r="I276" s="13" t="str">
        <f t="shared" si="14"/>
        <v>ABRIL</v>
      </c>
      <c r="J276" s="13">
        <f t="shared" si="15"/>
        <v>2026</v>
      </c>
      <c r="K276" s="13" t="s">
        <v>18</v>
      </c>
      <c r="L276" s="13"/>
    </row>
    <row r="277" spans="1:12" x14ac:dyDescent="0.25">
      <c r="A277" s="12">
        <v>46119</v>
      </c>
      <c r="B277" s="68" t="s">
        <v>16</v>
      </c>
      <c r="C277" s="13" t="s">
        <v>66</v>
      </c>
      <c r="D277" s="14">
        <v>1</v>
      </c>
      <c r="E277" s="15">
        <v>17.5</v>
      </c>
      <c r="F277" s="15">
        <f>Tabla8[[#This Row],[CANTIDAD]]*Tabla8[[#This Row],[PRECIO]]</f>
        <v>17.5</v>
      </c>
      <c r="G277" s="13" t="s">
        <v>446</v>
      </c>
      <c r="H277" s="13"/>
      <c r="I277" s="13" t="str">
        <f t="shared" si="14"/>
        <v>ABRIL</v>
      </c>
      <c r="J277" s="13">
        <f t="shared" si="15"/>
        <v>2026</v>
      </c>
      <c r="K277" s="13" t="s">
        <v>27</v>
      </c>
      <c r="L277" s="13"/>
    </row>
    <row r="278" spans="1:12" x14ac:dyDescent="0.25">
      <c r="A278" s="12">
        <v>46119</v>
      </c>
      <c r="B278" s="68" t="s">
        <v>16</v>
      </c>
      <c r="C278" s="13" t="s">
        <v>66</v>
      </c>
      <c r="D278" s="14">
        <v>1</v>
      </c>
      <c r="E278" s="15">
        <v>51.7</v>
      </c>
      <c r="F278" s="15">
        <f>Tabla8[[#This Row],[CANTIDAD]]*Tabla8[[#This Row],[PRECIO]]</f>
        <v>51.7</v>
      </c>
      <c r="G278" s="13" t="s">
        <v>389</v>
      </c>
      <c r="H278" s="13"/>
      <c r="I278" s="13" t="str">
        <f t="shared" si="14"/>
        <v>ABRIL</v>
      </c>
      <c r="J278" s="13">
        <f t="shared" si="15"/>
        <v>2026</v>
      </c>
      <c r="K278" s="13" t="s">
        <v>27</v>
      </c>
      <c r="L278" s="13"/>
    </row>
    <row r="279" spans="1:12" x14ac:dyDescent="0.25">
      <c r="A279" s="12">
        <v>46120</v>
      </c>
      <c r="B279" s="68" t="s">
        <v>67</v>
      </c>
      <c r="C279" s="13" t="s">
        <v>66</v>
      </c>
      <c r="D279" s="14">
        <v>1</v>
      </c>
      <c r="E279" s="15">
        <v>189.25</v>
      </c>
      <c r="F279" s="15">
        <f>Tabla8[[#This Row],[CANTIDAD]]*Tabla8[[#This Row],[PRECIO]]</f>
        <v>189.25</v>
      </c>
      <c r="G279" s="13" t="s">
        <v>685</v>
      </c>
      <c r="H279" s="13"/>
      <c r="I279" s="13" t="str">
        <f t="shared" si="14"/>
        <v>ABRIL</v>
      </c>
      <c r="J279" s="13">
        <f t="shared" si="15"/>
        <v>2026</v>
      </c>
      <c r="K279" s="13" t="s">
        <v>27</v>
      </c>
      <c r="L279" s="13"/>
    </row>
    <row r="280" spans="1:12" x14ac:dyDescent="0.25">
      <c r="A280" s="12">
        <v>46121</v>
      </c>
      <c r="B280" s="68" t="s">
        <v>22</v>
      </c>
      <c r="C280" s="13" t="s">
        <v>65</v>
      </c>
      <c r="D280" s="14">
        <v>1</v>
      </c>
      <c r="E280" s="15">
        <v>1.85</v>
      </c>
      <c r="F280" s="15">
        <f>Tabla8[[#This Row],[CANTIDAD]]*Tabla8[[#This Row],[PRECIO]]</f>
        <v>1.85</v>
      </c>
      <c r="G280" s="13" t="s">
        <v>22</v>
      </c>
      <c r="H280" s="13"/>
      <c r="I280" s="13" t="str">
        <f t="shared" si="14"/>
        <v>ABRIL</v>
      </c>
      <c r="J280" s="13">
        <f t="shared" si="15"/>
        <v>2026</v>
      </c>
      <c r="K280" s="13" t="s">
        <v>18</v>
      </c>
      <c r="L280" s="13"/>
    </row>
    <row r="281" spans="1:12" x14ac:dyDescent="0.25">
      <c r="A281" s="12">
        <v>46121</v>
      </c>
      <c r="B281" s="68" t="s">
        <v>25</v>
      </c>
      <c r="C281" s="13" t="s">
        <v>65</v>
      </c>
      <c r="D281" s="14">
        <v>1</v>
      </c>
      <c r="E281" s="15">
        <v>1300</v>
      </c>
      <c r="F281" s="15">
        <f>Tabla8[[#This Row],[CANTIDAD]]*Tabla8[[#This Row],[PRECIO]]</f>
        <v>1300</v>
      </c>
      <c r="G281" s="13" t="s">
        <v>668</v>
      </c>
      <c r="H281" s="13"/>
      <c r="I281" s="13" t="str">
        <f t="shared" si="14"/>
        <v>ABRIL</v>
      </c>
      <c r="J281" s="13">
        <f t="shared" si="15"/>
        <v>2026</v>
      </c>
      <c r="K281" s="13" t="s">
        <v>18</v>
      </c>
      <c r="L281" s="13"/>
    </row>
    <row r="282" spans="1:12" x14ac:dyDescent="0.25">
      <c r="A282" s="12">
        <v>46121</v>
      </c>
      <c r="B282" s="68" t="s">
        <v>33</v>
      </c>
      <c r="C282" s="13" t="s">
        <v>65</v>
      </c>
      <c r="D282" s="14">
        <v>1</v>
      </c>
      <c r="E282" s="15">
        <v>830</v>
      </c>
      <c r="F282" s="15">
        <f>Tabla8[[#This Row],[CANTIDAD]]*Tabla8[[#This Row],[PRECIO]]</f>
        <v>830</v>
      </c>
      <c r="G282" s="13" t="s">
        <v>669</v>
      </c>
      <c r="H282" s="13"/>
      <c r="I282" s="13" t="str">
        <f t="shared" si="14"/>
        <v>ABRIL</v>
      </c>
      <c r="J282" s="13">
        <f t="shared" si="15"/>
        <v>2026</v>
      </c>
      <c r="K282" s="13" t="s">
        <v>18</v>
      </c>
      <c r="L282" s="13"/>
    </row>
    <row r="283" spans="1:12" x14ac:dyDescent="0.25">
      <c r="A283" s="12">
        <v>46122</v>
      </c>
      <c r="B283" s="68" t="s">
        <v>67</v>
      </c>
      <c r="C283" s="13" t="s">
        <v>65</v>
      </c>
      <c r="D283" s="14">
        <v>1</v>
      </c>
      <c r="E283" s="15">
        <v>41.5</v>
      </c>
      <c r="F283" s="15">
        <f>Tabla8[[#This Row],[CANTIDAD]]*Tabla8[[#This Row],[PRECIO]]</f>
        <v>41.5</v>
      </c>
      <c r="G283" s="13" t="s">
        <v>670</v>
      </c>
      <c r="H283" s="13"/>
      <c r="I283" s="13" t="str">
        <f t="shared" si="14"/>
        <v>ABRIL</v>
      </c>
      <c r="J283" s="13">
        <f t="shared" si="15"/>
        <v>2026</v>
      </c>
      <c r="K283" s="13" t="s">
        <v>18</v>
      </c>
      <c r="L283" s="13"/>
    </row>
    <row r="284" spans="1:12" x14ac:dyDescent="0.25">
      <c r="A284" s="12">
        <v>46122</v>
      </c>
      <c r="B284" s="68" t="s">
        <v>67</v>
      </c>
      <c r="C284" s="13" t="s">
        <v>66</v>
      </c>
      <c r="D284" s="14">
        <v>1</v>
      </c>
      <c r="E284" s="15">
        <v>49.3</v>
      </c>
      <c r="F284" s="15">
        <f>Tabla8[[#This Row],[CANTIDAD]]*Tabla8[[#This Row],[PRECIO]]</f>
        <v>49.3</v>
      </c>
      <c r="G284" s="13" t="s">
        <v>430</v>
      </c>
      <c r="H284" s="13"/>
      <c r="I284" s="13" t="str">
        <f t="shared" si="14"/>
        <v>ABRIL</v>
      </c>
      <c r="J284" s="13">
        <f t="shared" si="15"/>
        <v>2026</v>
      </c>
      <c r="K284" s="13" t="s">
        <v>27</v>
      </c>
      <c r="L284" s="13"/>
    </row>
    <row r="285" spans="1:12" x14ac:dyDescent="0.25">
      <c r="A285" s="12">
        <v>46122</v>
      </c>
      <c r="B285" s="68" t="s">
        <v>67</v>
      </c>
      <c r="C285" s="13" t="s">
        <v>66</v>
      </c>
      <c r="D285" s="14">
        <v>1</v>
      </c>
      <c r="E285" s="15">
        <v>0.09</v>
      </c>
      <c r="F285" s="15">
        <f>Tabla8[[#This Row],[CANTIDAD]]*Tabla8[[#This Row],[PRECIO]]</f>
        <v>0.09</v>
      </c>
      <c r="G285" s="13" t="s">
        <v>430</v>
      </c>
      <c r="H285" s="13"/>
      <c r="I285" s="13" t="str">
        <f t="shared" si="14"/>
        <v>ABRIL</v>
      </c>
      <c r="J285" s="13">
        <f t="shared" si="15"/>
        <v>2026</v>
      </c>
      <c r="K285" s="13" t="s">
        <v>27</v>
      </c>
      <c r="L285" s="13"/>
    </row>
    <row r="286" spans="1:12" x14ac:dyDescent="0.25">
      <c r="A286" s="12">
        <v>46124</v>
      </c>
      <c r="B286" s="68" t="s">
        <v>67</v>
      </c>
      <c r="C286" s="13" t="s">
        <v>65</v>
      </c>
      <c r="D286" s="14">
        <v>1</v>
      </c>
      <c r="E286" s="15">
        <v>2.5</v>
      </c>
      <c r="F286" s="15">
        <f>Tabla8[[#This Row],[CANTIDAD]]*Tabla8[[#This Row],[PRECIO]]</f>
        <v>2.5</v>
      </c>
      <c r="G286" s="13" t="s">
        <v>671</v>
      </c>
      <c r="H286" s="13"/>
      <c r="I286" s="13" t="str">
        <f t="shared" si="14"/>
        <v>ABRIL</v>
      </c>
      <c r="J286" s="13">
        <f t="shared" si="15"/>
        <v>2026</v>
      </c>
      <c r="K286" s="13" t="s">
        <v>18</v>
      </c>
      <c r="L286" s="13"/>
    </row>
    <row r="287" spans="1:12" x14ac:dyDescent="0.25">
      <c r="A287" s="12">
        <v>46125</v>
      </c>
      <c r="B287" s="68" t="s">
        <v>67</v>
      </c>
      <c r="C287" s="13" t="s">
        <v>66</v>
      </c>
      <c r="D287" s="14">
        <v>1</v>
      </c>
      <c r="E287" s="15">
        <v>34.5</v>
      </c>
      <c r="F287" s="15">
        <f>Tabla8[[#This Row],[CANTIDAD]]*Tabla8[[#This Row],[PRECIO]]</f>
        <v>34.5</v>
      </c>
      <c r="G287" s="13" t="s">
        <v>430</v>
      </c>
      <c r="H287" s="13"/>
      <c r="I287" s="13" t="str">
        <f t="shared" si="14"/>
        <v>ABRIL</v>
      </c>
      <c r="J287" s="13">
        <f t="shared" si="15"/>
        <v>2026</v>
      </c>
      <c r="K287" s="13" t="s">
        <v>27</v>
      </c>
      <c r="L287" s="13"/>
    </row>
    <row r="288" spans="1:12" x14ac:dyDescent="0.25">
      <c r="A288" s="12">
        <v>46126</v>
      </c>
      <c r="B288" s="68" t="s">
        <v>67</v>
      </c>
      <c r="C288" s="13" t="s">
        <v>65</v>
      </c>
      <c r="D288" s="14">
        <v>1</v>
      </c>
      <c r="E288" s="15">
        <v>9.6</v>
      </c>
      <c r="F288" s="15">
        <f>Tabla8[[#This Row],[CANTIDAD]]*Tabla8[[#This Row],[PRECIO]]</f>
        <v>9.6</v>
      </c>
      <c r="G288" s="13" t="s">
        <v>67</v>
      </c>
      <c r="H288" s="13"/>
      <c r="I288" s="13" t="str">
        <f t="shared" si="14"/>
        <v>ABRIL</v>
      </c>
      <c r="J288" s="13">
        <f t="shared" si="15"/>
        <v>2026</v>
      </c>
      <c r="K288" s="13" t="s">
        <v>18</v>
      </c>
      <c r="L288" s="13"/>
    </row>
    <row r="289" spans="1:12" x14ac:dyDescent="0.25">
      <c r="A289" s="12">
        <v>46126</v>
      </c>
      <c r="B289" s="68" t="s">
        <v>19</v>
      </c>
      <c r="C289" s="13" t="s">
        <v>66</v>
      </c>
      <c r="D289" s="14">
        <v>1</v>
      </c>
      <c r="E289" s="15">
        <v>2.5</v>
      </c>
      <c r="F289" s="15">
        <f>Tabla8[[#This Row],[CANTIDAD]]*Tabla8[[#This Row],[PRECIO]]</f>
        <v>2.5</v>
      </c>
      <c r="G289" s="13" t="s">
        <v>19</v>
      </c>
      <c r="H289" s="13"/>
      <c r="I289" s="13" t="str">
        <f t="shared" si="14"/>
        <v>ABRIL</v>
      </c>
      <c r="J289" s="13">
        <f t="shared" si="15"/>
        <v>2026</v>
      </c>
      <c r="K289" s="13" t="s">
        <v>18</v>
      </c>
      <c r="L289" s="13"/>
    </row>
    <row r="290" spans="1:12" x14ac:dyDescent="0.25">
      <c r="A290" s="12">
        <v>46127</v>
      </c>
      <c r="B290" s="68" t="s">
        <v>16</v>
      </c>
      <c r="C290" s="13" t="s">
        <v>66</v>
      </c>
      <c r="D290" s="14">
        <v>1</v>
      </c>
      <c r="E290" s="15">
        <v>3.2</v>
      </c>
      <c r="F290" s="15">
        <f>Tabla8[[#This Row],[CANTIDAD]]*Tabla8[[#This Row],[PRECIO]]</f>
        <v>3.2</v>
      </c>
      <c r="G290" s="13" t="s">
        <v>686</v>
      </c>
      <c r="H290" s="13"/>
      <c r="I290" s="13" t="str">
        <f t="shared" si="14"/>
        <v>ABRIL</v>
      </c>
      <c r="J290" s="13">
        <f t="shared" si="15"/>
        <v>2026</v>
      </c>
      <c r="K290" s="13" t="s">
        <v>27</v>
      </c>
      <c r="L290" s="13"/>
    </row>
    <row r="291" spans="1:12" x14ac:dyDescent="0.25">
      <c r="A291" s="12">
        <v>46127</v>
      </c>
      <c r="B291" s="68" t="s">
        <v>67</v>
      </c>
      <c r="C291" s="13" t="s">
        <v>65</v>
      </c>
      <c r="D291" s="14">
        <v>1</v>
      </c>
      <c r="E291" s="15">
        <v>40</v>
      </c>
      <c r="F291" s="15">
        <f>Tabla8[[#This Row],[CANTIDAD]]*Tabla8[[#This Row],[PRECIO]]</f>
        <v>40</v>
      </c>
      <c r="G291" s="13" t="s">
        <v>553</v>
      </c>
      <c r="H291" s="13"/>
      <c r="I291" s="13" t="str">
        <f t="shared" si="14"/>
        <v>ABRIL</v>
      </c>
      <c r="J291" s="13">
        <f t="shared" si="15"/>
        <v>2026</v>
      </c>
      <c r="K291" s="13" t="s">
        <v>27</v>
      </c>
      <c r="L291" s="13"/>
    </row>
    <row r="292" spans="1:12" x14ac:dyDescent="0.25">
      <c r="A292" s="12">
        <v>46128</v>
      </c>
      <c r="B292" s="68" t="s">
        <v>16</v>
      </c>
      <c r="C292" s="13" t="s">
        <v>66</v>
      </c>
      <c r="D292" s="14">
        <v>1</v>
      </c>
      <c r="E292" s="15">
        <v>12.01</v>
      </c>
      <c r="F292" s="15">
        <f>Tabla8[[#This Row],[CANTIDAD]]*Tabla8[[#This Row],[PRECIO]]</f>
        <v>12.01</v>
      </c>
      <c r="G292" s="13" t="s">
        <v>446</v>
      </c>
      <c r="H292" s="13"/>
      <c r="I292" s="13" t="str">
        <f t="shared" si="14"/>
        <v>ABRIL</v>
      </c>
      <c r="J292" s="13">
        <f t="shared" si="15"/>
        <v>2026</v>
      </c>
      <c r="K292" s="13" t="s">
        <v>27</v>
      </c>
      <c r="L292" s="13"/>
    </row>
    <row r="293" spans="1:12" x14ac:dyDescent="0.25">
      <c r="A293" s="12">
        <v>46129</v>
      </c>
      <c r="B293" s="68" t="s">
        <v>69</v>
      </c>
      <c r="C293" s="13" t="s">
        <v>65</v>
      </c>
      <c r="D293" s="14">
        <v>1</v>
      </c>
      <c r="E293" s="15">
        <v>20</v>
      </c>
      <c r="F293" s="15">
        <f>Tabla8[[#This Row],[CANTIDAD]]*Tabla8[[#This Row],[PRECIO]]</f>
        <v>20</v>
      </c>
      <c r="G293" s="13" t="s">
        <v>672</v>
      </c>
      <c r="H293" s="13"/>
      <c r="I293" s="13" t="str">
        <f t="shared" si="14"/>
        <v>ABRIL</v>
      </c>
      <c r="J293" s="13">
        <f t="shared" si="15"/>
        <v>2026</v>
      </c>
      <c r="K293" s="13" t="s">
        <v>18</v>
      </c>
      <c r="L293" s="13"/>
    </row>
    <row r="294" spans="1:12" x14ac:dyDescent="0.25">
      <c r="A294" s="12">
        <v>46129</v>
      </c>
      <c r="B294" s="68" t="s">
        <v>67</v>
      </c>
      <c r="C294" s="13" t="s">
        <v>65</v>
      </c>
      <c r="D294" s="14">
        <v>1</v>
      </c>
      <c r="E294" s="15">
        <v>30.5</v>
      </c>
      <c r="F294" s="15">
        <f>Tabla8[[#This Row],[CANTIDAD]]*Tabla8[[#This Row],[PRECIO]]</f>
        <v>30.5</v>
      </c>
      <c r="G294" s="13" t="s">
        <v>549</v>
      </c>
      <c r="H294" s="13"/>
      <c r="I294" s="13" t="str">
        <f t="shared" si="14"/>
        <v>ABRIL</v>
      </c>
      <c r="J294" s="13">
        <f t="shared" si="15"/>
        <v>2026</v>
      </c>
      <c r="K294" s="13" t="s">
        <v>18</v>
      </c>
      <c r="L294" s="13"/>
    </row>
    <row r="295" spans="1:12" x14ac:dyDescent="0.25">
      <c r="A295" s="12">
        <v>46129</v>
      </c>
      <c r="B295" s="68" t="s">
        <v>22</v>
      </c>
      <c r="C295" s="13" t="s">
        <v>66</v>
      </c>
      <c r="D295" s="14">
        <v>1</v>
      </c>
      <c r="E295" s="15">
        <v>92</v>
      </c>
      <c r="F295" s="15">
        <f>Tabla8[[#This Row],[CANTIDAD]]*Tabla8[[#This Row],[PRECIO]]</f>
        <v>92</v>
      </c>
      <c r="G295" s="13" t="s">
        <v>570</v>
      </c>
      <c r="H295" s="13"/>
      <c r="I295" s="13" t="str">
        <f t="shared" si="14"/>
        <v>ABRIL</v>
      </c>
      <c r="J295" s="13">
        <f t="shared" si="15"/>
        <v>2026</v>
      </c>
      <c r="K295" s="13" t="s">
        <v>18</v>
      </c>
      <c r="L295" s="13"/>
    </row>
    <row r="296" spans="1:12" x14ac:dyDescent="0.25">
      <c r="A296" s="12">
        <v>46129</v>
      </c>
      <c r="B296" s="68" t="s">
        <v>22</v>
      </c>
      <c r="C296" s="13" t="s">
        <v>66</v>
      </c>
      <c r="D296" s="14">
        <v>1</v>
      </c>
      <c r="E296" s="15">
        <v>30</v>
      </c>
      <c r="F296" s="15">
        <f>Tabla8[[#This Row],[CANTIDAD]]*Tabla8[[#This Row],[PRECIO]]</f>
        <v>30</v>
      </c>
      <c r="G296" s="13" t="s">
        <v>22</v>
      </c>
      <c r="H296" s="13"/>
      <c r="I296" s="13" t="str">
        <f t="shared" si="14"/>
        <v>ABRIL</v>
      </c>
      <c r="J296" s="13">
        <f t="shared" si="15"/>
        <v>2026</v>
      </c>
      <c r="K296" s="13" t="s">
        <v>18</v>
      </c>
      <c r="L296" s="13"/>
    </row>
    <row r="297" spans="1:12" x14ac:dyDescent="0.25">
      <c r="A297" s="12">
        <v>46129</v>
      </c>
      <c r="B297" s="68" t="s">
        <v>16</v>
      </c>
      <c r="C297" s="13" t="s">
        <v>66</v>
      </c>
      <c r="D297" s="14">
        <v>1</v>
      </c>
      <c r="E297" s="15">
        <v>12.5</v>
      </c>
      <c r="F297" s="15">
        <f>Tabla8[[#This Row],[CANTIDAD]]*Tabla8[[#This Row],[PRECIO]]</f>
        <v>12.5</v>
      </c>
      <c r="G297" s="13" t="s">
        <v>446</v>
      </c>
      <c r="H297" s="13"/>
      <c r="I297" s="13" t="str">
        <f t="shared" si="14"/>
        <v>ABRIL</v>
      </c>
      <c r="J297" s="13">
        <f t="shared" si="15"/>
        <v>2026</v>
      </c>
      <c r="K297" s="13" t="s">
        <v>27</v>
      </c>
      <c r="L297" s="13"/>
    </row>
    <row r="298" spans="1:12" x14ac:dyDescent="0.25">
      <c r="A298" s="12">
        <v>46133</v>
      </c>
      <c r="B298" s="68" t="s">
        <v>16</v>
      </c>
      <c r="C298" s="13" t="s">
        <v>66</v>
      </c>
      <c r="D298" s="14">
        <v>1</v>
      </c>
      <c r="E298" s="15">
        <v>18.5</v>
      </c>
      <c r="F298" s="15">
        <f>Tabla8[[#This Row],[CANTIDAD]]*Tabla8[[#This Row],[PRECIO]]</f>
        <v>18.5</v>
      </c>
      <c r="G298" s="13" t="s">
        <v>446</v>
      </c>
      <c r="H298" s="13"/>
      <c r="I298" s="13" t="str">
        <f t="shared" si="14"/>
        <v>ABRIL</v>
      </c>
      <c r="J298" s="13">
        <f t="shared" si="15"/>
        <v>2026</v>
      </c>
      <c r="K298" s="13" t="s">
        <v>27</v>
      </c>
      <c r="L298" s="13"/>
    </row>
    <row r="299" spans="1:12" x14ac:dyDescent="0.25">
      <c r="A299" s="12">
        <v>46133</v>
      </c>
      <c r="B299" s="68" t="s">
        <v>16</v>
      </c>
      <c r="C299" s="13" t="s">
        <v>66</v>
      </c>
      <c r="D299" s="14">
        <v>1</v>
      </c>
      <c r="E299" s="15">
        <v>20</v>
      </c>
      <c r="F299" s="15">
        <f>Tabla8[[#This Row],[CANTIDAD]]*Tabla8[[#This Row],[PRECIO]]</f>
        <v>20</v>
      </c>
      <c r="G299" s="13" t="s">
        <v>620</v>
      </c>
      <c r="H299" s="13"/>
      <c r="I299" s="13" t="str">
        <f t="shared" si="14"/>
        <v>ABRIL</v>
      </c>
      <c r="J299" s="13">
        <f t="shared" si="15"/>
        <v>2026</v>
      </c>
      <c r="K299" s="13" t="s">
        <v>27</v>
      </c>
      <c r="L299" s="13"/>
    </row>
    <row r="300" spans="1:12" x14ac:dyDescent="0.25">
      <c r="A300" s="12">
        <v>46134</v>
      </c>
      <c r="B300" s="68" t="s">
        <v>16</v>
      </c>
      <c r="C300" s="13" t="s">
        <v>66</v>
      </c>
      <c r="D300" s="14">
        <v>1</v>
      </c>
      <c r="E300" s="15">
        <v>6</v>
      </c>
      <c r="F300" s="15">
        <f>Tabla8[[#This Row],[CANTIDAD]]*Tabla8[[#This Row],[PRECIO]]</f>
        <v>6</v>
      </c>
      <c r="G300" s="13" t="s">
        <v>446</v>
      </c>
      <c r="H300" s="13"/>
      <c r="I300" s="13" t="str">
        <f t="shared" si="14"/>
        <v>ABRIL</v>
      </c>
      <c r="J300" s="13">
        <f t="shared" si="15"/>
        <v>2026</v>
      </c>
      <c r="K300" s="13" t="s">
        <v>27</v>
      </c>
      <c r="L300" s="13"/>
    </row>
    <row r="301" spans="1:12" x14ac:dyDescent="0.25">
      <c r="A301" s="12">
        <v>46134</v>
      </c>
      <c r="B301" s="68" t="s">
        <v>22</v>
      </c>
      <c r="C301" s="13" t="s">
        <v>66</v>
      </c>
      <c r="D301" s="14">
        <v>1</v>
      </c>
      <c r="E301" s="15">
        <v>5.75</v>
      </c>
      <c r="F301" s="15">
        <f>Tabla8[[#This Row],[CANTIDAD]]*Tabla8[[#This Row],[PRECIO]]</f>
        <v>5.75</v>
      </c>
      <c r="G301" s="13" t="s">
        <v>704</v>
      </c>
      <c r="H301" s="13"/>
      <c r="I301" s="13" t="str">
        <f t="shared" si="14"/>
        <v>ABRIL</v>
      </c>
      <c r="J301" s="13">
        <f t="shared" si="15"/>
        <v>2026</v>
      </c>
      <c r="K301" s="13" t="s">
        <v>18</v>
      </c>
      <c r="L301" s="13"/>
    </row>
    <row r="302" spans="1:12" x14ac:dyDescent="0.25">
      <c r="A302" s="12">
        <v>46135</v>
      </c>
      <c r="B302" s="68" t="s">
        <v>67</v>
      </c>
      <c r="C302" s="13" t="s">
        <v>66</v>
      </c>
      <c r="D302" s="14">
        <v>1</v>
      </c>
      <c r="E302" s="15">
        <v>6.34</v>
      </c>
      <c r="F302" s="15">
        <f>Tabla8[[#This Row],[CANTIDAD]]*Tabla8[[#This Row],[PRECIO]]</f>
        <v>6.34</v>
      </c>
      <c r="G302" s="13" t="s">
        <v>705</v>
      </c>
      <c r="H302" s="13"/>
      <c r="I302" s="13" t="str">
        <f t="shared" si="14"/>
        <v>ABRIL</v>
      </c>
      <c r="J302" s="13">
        <f t="shared" si="15"/>
        <v>2026</v>
      </c>
      <c r="K302" s="13" t="s">
        <v>18</v>
      </c>
      <c r="L302" s="13"/>
    </row>
    <row r="303" spans="1:12" x14ac:dyDescent="0.25">
      <c r="A303" s="12">
        <v>46135</v>
      </c>
      <c r="B303" s="68" t="s">
        <v>69</v>
      </c>
      <c r="C303" s="13" t="s">
        <v>65</v>
      </c>
      <c r="D303" s="14">
        <v>1</v>
      </c>
      <c r="E303" s="15">
        <v>30</v>
      </c>
      <c r="F303" s="15">
        <f>Tabla8[[#This Row],[CANTIDAD]]*Tabla8[[#This Row],[PRECIO]]</f>
        <v>30</v>
      </c>
      <c r="G303" s="13" t="s">
        <v>301</v>
      </c>
      <c r="H303" s="13"/>
      <c r="I303" s="13" t="str">
        <f t="shared" ref="I303:I366" si="16">UPPER(TEXT(A303,"MMMM"))</f>
        <v>ABRIL</v>
      </c>
      <c r="J303" s="13">
        <f t="shared" ref="J303:J366" si="17">+YEAR(A303)</f>
        <v>2026</v>
      </c>
      <c r="K303" s="13" t="s">
        <v>18</v>
      </c>
      <c r="L303" s="13"/>
    </row>
    <row r="304" spans="1:12" x14ac:dyDescent="0.25">
      <c r="A304" s="12">
        <v>46135</v>
      </c>
      <c r="B304" s="68" t="s">
        <v>22</v>
      </c>
      <c r="C304" s="13" t="s">
        <v>65</v>
      </c>
      <c r="D304" s="14">
        <v>1</v>
      </c>
      <c r="E304" s="15">
        <v>20</v>
      </c>
      <c r="F304" s="15">
        <f>Tabla8[[#This Row],[CANTIDAD]]*Tabla8[[#This Row],[PRECIO]]</f>
        <v>20</v>
      </c>
      <c r="G304" s="13" t="s">
        <v>454</v>
      </c>
      <c r="H304" s="13"/>
      <c r="I304" s="13" t="str">
        <f t="shared" si="16"/>
        <v>ABRIL</v>
      </c>
      <c r="J304" s="13">
        <f t="shared" si="17"/>
        <v>2026</v>
      </c>
      <c r="K304" s="13" t="s">
        <v>18</v>
      </c>
      <c r="L304" s="13"/>
    </row>
    <row r="305" spans="1:12" x14ac:dyDescent="0.25">
      <c r="A305" s="12">
        <v>46135</v>
      </c>
      <c r="B305" s="68" t="s">
        <v>25</v>
      </c>
      <c r="C305" s="13" t="s">
        <v>66</v>
      </c>
      <c r="D305" s="14">
        <v>1</v>
      </c>
      <c r="E305" s="15">
        <v>200</v>
      </c>
      <c r="F305" s="15">
        <f>Tabla8[[#This Row],[CANTIDAD]]*Tabla8[[#This Row],[PRECIO]]</f>
        <v>200</v>
      </c>
      <c r="G305" s="13" t="s">
        <v>310</v>
      </c>
      <c r="H305" s="13"/>
      <c r="I305" s="13" t="str">
        <f t="shared" si="16"/>
        <v>ABRIL</v>
      </c>
      <c r="J305" s="13">
        <f t="shared" si="17"/>
        <v>2026</v>
      </c>
      <c r="K305" s="13" t="s">
        <v>18</v>
      </c>
      <c r="L305" s="13"/>
    </row>
    <row r="306" spans="1:12" x14ac:dyDescent="0.25">
      <c r="A306" s="12">
        <v>46135</v>
      </c>
      <c r="B306" s="68" t="s">
        <v>68</v>
      </c>
      <c r="C306" s="13" t="s">
        <v>65</v>
      </c>
      <c r="D306" s="14">
        <v>1</v>
      </c>
      <c r="E306" s="15">
        <v>150</v>
      </c>
      <c r="F306" s="15">
        <f>Tabla8[[#This Row],[CANTIDAD]]*Tabla8[[#This Row],[PRECIO]]</f>
        <v>150</v>
      </c>
      <c r="G306" s="13" t="s">
        <v>706</v>
      </c>
      <c r="H306" s="13"/>
      <c r="I306" s="13" t="str">
        <f t="shared" si="16"/>
        <v>ABRIL</v>
      </c>
      <c r="J306" s="13">
        <f t="shared" si="17"/>
        <v>2026</v>
      </c>
      <c r="K306" s="13" t="s">
        <v>18</v>
      </c>
      <c r="L306" s="13"/>
    </row>
    <row r="307" spans="1:12" x14ac:dyDescent="0.25">
      <c r="A307" s="12">
        <v>46135</v>
      </c>
      <c r="B307" s="68" t="s">
        <v>22</v>
      </c>
      <c r="C307" s="13" t="s">
        <v>65</v>
      </c>
      <c r="D307" s="14">
        <v>1</v>
      </c>
      <c r="E307" s="15">
        <v>12.55</v>
      </c>
      <c r="F307" s="15">
        <f>Tabla8[[#This Row],[CANTIDAD]]*Tabla8[[#This Row],[PRECIO]]</f>
        <v>12.55</v>
      </c>
      <c r="G307" s="13" t="s">
        <v>22</v>
      </c>
      <c r="H307" s="13"/>
      <c r="I307" s="13" t="str">
        <f t="shared" si="16"/>
        <v>ABRIL</v>
      </c>
      <c r="J307" s="13">
        <f t="shared" si="17"/>
        <v>2026</v>
      </c>
      <c r="K307" s="13" t="s">
        <v>18</v>
      </c>
      <c r="L307" s="13"/>
    </row>
    <row r="308" spans="1:12" x14ac:dyDescent="0.25">
      <c r="A308" s="12">
        <v>46135</v>
      </c>
      <c r="B308" s="68" t="s">
        <v>67</v>
      </c>
      <c r="C308" s="13" t="s">
        <v>66</v>
      </c>
      <c r="D308" s="14">
        <v>1</v>
      </c>
      <c r="E308" s="15">
        <v>12</v>
      </c>
      <c r="F308" s="15">
        <f>Tabla8[[#This Row],[CANTIDAD]]*Tabla8[[#This Row],[PRECIO]]</f>
        <v>12</v>
      </c>
      <c r="G308" s="13" t="s">
        <v>446</v>
      </c>
      <c r="H308" s="13"/>
      <c r="I308" s="13" t="str">
        <f t="shared" si="16"/>
        <v>ABRIL</v>
      </c>
      <c r="J308" s="13">
        <f t="shared" si="17"/>
        <v>2026</v>
      </c>
      <c r="K308" s="13" t="s">
        <v>27</v>
      </c>
      <c r="L308" s="13"/>
    </row>
    <row r="309" spans="1:12" x14ac:dyDescent="0.25">
      <c r="A309" s="12">
        <v>46136</v>
      </c>
      <c r="B309" s="68" t="s">
        <v>16</v>
      </c>
      <c r="C309" s="13" t="s">
        <v>66</v>
      </c>
      <c r="D309" s="14">
        <v>1</v>
      </c>
      <c r="E309" s="15">
        <v>13</v>
      </c>
      <c r="F309" s="15">
        <f>Tabla8[[#This Row],[CANTIDAD]]*Tabla8[[#This Row],[PRECIO]]</f>
        <v>13</v>
      </c>
      <c r="G309" s="13" t="s">
        <v>446</v>
      </c>
      <c r="H309" s="13"/>
      <c r="I309" s="13" t="str">
        <f t="shared" si="16"/>
        <v>ABRIL</v>
      </c>
      <c r="J309" s="13">
        <f t="shared" si="17"/>
        <v>2026</v>
      </c>
      <c r="K309" s="13" t="s">
        <v>27</v>
      </c>
      <c r="L309" s="13"/>
    </row>
    <row r="310" spans="1:12" x14ac:dyDescent="0.25">
      <c r="A310" s="12">
        <v>46136</v>
      </c>
      <c r="B310" s="68" t="s">
        <v>67</v>
      </c>
      <c r="C310" s="13" t="s">
        <v>66</v>
      </c>
      <c r="D310" s="14">
        <v>1</v>
      </c>
      <c r="E310" s="15">
        <v>7</v>
      </c>
      <c r="F310" s="15">
        <f>Tabla8[[#This Row],[CANTIDAD]]*Tabla8[[#This Row],[PRECIO]]</f>
        <v>7</v>
      </c>
      <c r="G310" s="13" t="s">
        <v>710</v>
      </c>
      <c r="H310" s="13"/>
      <c r="I310" s="13" t="str">
        <f t="shared" si="16"/>
        <v>ABRIL</v>
      </c>
      <c r="J310" s="13">
        <f t="shared" si="17"/>
        <v>2026</v>
      </c>
      <c r="K310" s="13" t="s">
        <v>27</v>
      </c>
      <c r="L310" s="13"/>
    </row>
    <row r="311" spans="1:12" x14ac:dyDescent="0.25">
      <c r="A311" s="12">
        <v>46136</v>
      </c>
      <c r="B311" s="68" t="s">
        <v>25</v>
      </c>
      <c r="C311" s="13" t="s">
        <v>66</v>
      </c>
      <c r="D311" s="14">
        <v>1</v>
      </c>
      <c r="E311" s="15">
        <v>30.23</v>
      </c>
      <c r="F311" s="15">
        <f>Tabla8[[#This Row],[CANTIDAD]]*Tabla8[[#This Row],[PRECIO]]</f>
        <v>30.23</v>
      </c>
      <c r="G311" s="13" t="s">
        <v>711</v>
      </c>
      <c r="H311" s="13"/>
      <c r="I311" s="13" t="str">
        <f t="shared" si="16"/>
        <v>ABRIL</v>
      </c>
      <c r="J311" s="13">
        <f t="shared" si="17"/>
        <v>2026</v>
      </c>
      <c r="K311" s="13" t="s">
        <v>27</v>
      </c>
      <c r="L311" s="13"/>
    </row>
    <row r="312" spans="1:12" x14ac:dyDescent="0.25">
      <c r="A312" s="12">
        <v>46136</v>
      </c>
      <c r="B312" s="68" t="s">
        <v>25</v>
      </c>
      <c r="C312" s="13" t="s">
        <v>66</v>
      </c>
      <c r="D312" s="14">
        <v>1</v>
      </c>
      <c r="E312" s="15">
        <v>193.04</v>
      </c>
      <c r="F312" s="15">
        <f>Tabla8[[#This Row],[CANTIDAD]]*Tabla8[[#This Row],[PRECIO]]</f>
        <v>193.04</v>
      </c>
      <c r="G312" s="13" t="s">
        <v>712</v>
      </c>
      <c r="H312" s="13"/>
      <c r="I312" s="13" t="str">
        <f t="shared" si="16"/>
        <v>ABRIL</v>
      </c>
      <c r="J312" s="13">
        <f t="shared" si="17"/>
        <v>2026</v>
      </c>
      <c r="K312" s="13" t="s">
        <v>27</v>
      </c>
      <c r="L312" s="13"/>
    </row>
    <row r="313" spans="1:12" x14ac:dyDescent="0.25">
      <c r="A313" s="12">
        <v>46137</v>
      </c>
      <c r="B313" s="68" t="s">
        <v>69</v>
      </c>
      <c r="C313" s="13" t="s">
        <v>65</v>
      </c>
      <c r="D313" s="14">
        <v>1</v>
      </c>
      <c r="E313" s="15">
        <v>30</v>
      </c>
      <c r="F313" s="15">
        <f>Tabla8[[#This Row],[CANTIDAD]]*Tabla8[[#This Row],[PRECIO]]</f>
        <v>30</v>
      </c>
      <c r="G313" s="13" t="s">
        <v>301</v>
      </c>
      <c r="H313" s="13"/>
      <c r="I313" s="13" t="str">
        <f t="shared" si="16"/>
        <v>ABRIL</v>
      </c>
      <c r="J313" s="13">
        <f t="shared" si="17"/>
        <v>2026</v>
      </c>
      <c r="K313" s="13" t="s">
        <v>18</v>
      </c>
      <c r="L313" s="13"/>
    </row>
    <row r="314" spans="1:12" x14ac:dyDescent="0.25">
      <c r="A314" s="12">
        <v>46137</v>
      </c>
      <c r="B314" s="68" t="s">
        <v>67</v>
      </c>
      <c r="C314" s="13" t="s">
        <v>66</v>
      </c>
      <c r="D314" s="14">
        <v>1</v>
      </c>
      <c r="E314" s="15">
        <v>14.96</v>
      </c>
      <c r="F314" s="15">
        <f>Tabla8[[#This Row],[CANTIDAD]]*Tabla8[[#This Row],[PRECIO]]</f>
        <v>14.96</v>
      </c>
      <c r="G314" s="13" t="s">
        <v>707</v>
      </c>
      <c r="H314" s="13"/>
      <c r="I314" s="13" t="str">
        <f t="shared" si="16"/>
        <v>ABRIL</v>
      </c>
      <c r="J314" s="13">
        <f t="shared" si="17"/>
        <v>2026</v>
      </c>
      <c r="K314" s="13" t="s">
        <v>18</v>
      </c>
      <c r="L314" s="13"/>
    </row>
    <row r="315" spans="1:12" x14ac:dyDescent="0.25">
      <c r="A315" s="12">
        <v>46137</v>
      </c>
      <c r="B315" s="68" t="s">
        <v>22</v>
      </c>
      <c r="C315" s="13" t="s">
        <v>65</v>
      </c>
      <c r="D315" s="14">
        <v>1</v>
      </c>
      <c r="E315" s="15">
        <v>24.86</v>
      </c>
      <c r="F315" s="15">
        <f>Tabla8[[#This Row],[CANTIDAD]]*Tabla8[[#This Row],[PRECIO]]</f>
        <v>24.86</v>
      </c>
      <c r="G315" s="13" t="s">
        <v>22</v>
      </c>
      <c r="H315" s="13"/>
      <c r="I315" s="13" t="str">
        <f t="shared" si="16"/>
        <v>ABRIL</v>
      </c>
      <c r="J315" s="13">
        <f t="shared" si="17"/>
        <v>2026</v>
      </c>
      <c r="K315" s="13" t="s">
        <v>18</v>
      </c>
      <c r="L315" s="13"/>
    </row>
    <row r="316" spans="1:12" x14ac:dyDescent="0.25">
      <c r="A316" s="12">
        <v>46138</v>
      </c>
      <c r="B316" s="68" t="s">
        <v>25</v>
      </c>
      <c r="C316" s="13" t="s">
        <v>66</v>
      </c>
      <c r="D316" s="14">
        <v>1</v>
      </c>
      <c r="E316" s="15">
        <v>300</v>
      </c>
      <c r="F316" s="15">
        <f>Tabla8[[#This Row],[CANTIDAD]]*Tabla8[[#This Row],[PRECIO]]</f>
        <v>300</v>
      </c>
      <c r="G316" s="13" t="s">
        <v>310</v>
      </c>
      <c r="H316" s="13"/>
      <c r="I316" s="13" t="str">
        <f t="shared" si="16"/>
        <v>ABRIL</v>
      </c>
      <c r="J316" s="13">
        <f t="shared" si="17"/>
        <v>2026</v>
      </c>
      <c r="K316" s="13" t="s">
        <v>18</v>
      </c>
      <c r="L316" s="13"/>
    </row>
    <row r="317" spans="1:12" x14ac:dyDescent="0.25">
      <c r="A317" s="12">
        <v>46139</v>
      </c>
      <c r="B317" s="68" t="s">
        <v>69</v>
      </c>
      <c r="C317" s="13" t="s">
        <v>65</v>
      </c>
      <c r="D317" s="14">
        <v>1</v>
      </c>
      <c r="E317" s="15">
        <v>20</v>
      </c>
      <c r="F317" s="15">
        <f>Tabla8[[#This Row],[CANTIDAD]]*Tabla8[[#This Row],[PRECIO]]</f>
        <v>20</v>
      </c>
      <c r="G317" s="13" t="s">
        <v>301</v>
      </c>
      <c r="H317" s="13"/>
      <c r="I317" s="13" t="str">
        <f t="shared" si="16"/>
        <v>ABRIL</v>
      </c>
      <c r="J317" s="13">
        <f t="shared" si="17"/>
        <v>2026</v>
      </c>
      <c r="K317" s="13" t="s">
        <v>18</v>
      </c>
      <c r="L317" s="13"/>
    </row>
    <row r="318" spans="1:12" x14ac:dyDescent="0.25">
      <c r="A318" s="12">
        <v>46139</v>
      </c>
      <c r="B318" s="68" t="s">
        <v>22</v>
      </c>
      <c r="C318" s="13" t="s">
        <v>65</v>
      </c>
      <c r="D318" s="14">
        <v>1</v>
      </c>
      <c r="E318" s="15">
        <v>3.75</v>
      </c>
      <c r="F318" s="15">
        <f>Tabla8[[#This Row],[CANTIDAD]]*Tabla8[[#This Row],[PRECIO]]</f>
        <v>3.75</v>
      </c>
      <c r="G318" s="13" t="s">
        <v>22</v>
      </c>
      <c r="H318" s="13"/>
      <c r="I318" s="13" t="str">
        <f t="shared" si="16"/>
        <v>ABRIL</v>
      </c>
      <c r="J318" s="13">
        <f t="shared" si="17"/>
        <v>2026</v>
      </c>
      <c r="K318" s="13" t="s">
        <v>18</v>
      </c>
      <c r="L318" s="13"/>
    </row>
    <row r="319" spans="1:12" x14ac:dyDescent="0.25">
      <c r="A319" s="12">
        <v>46139</v>
      </c>
      <c r="B319" s="68" t="s">
        <v>67</v>
      </c>
      <c r="C319" s="13" t="s">
        <v>66</v>
      </c>
      <c r="D319" s="14">
        <v>1</v>
      </c>
      <c r="E319" s="15">
        <v>329.5</v>
      </c>
      <c r="F319" s="15">
        <f>Tabla8[[#This Row],[CANTIDAD]]*Tabla8[[#This Row],[PRECIO]]</f>
        <v>329.5</v>
      </c>
      <c r="G319" s="13" t="s">
        <v>713</v>
      </c>
      <c r="H319" s="13"/>
      <c r="I319" s="13" t="str">
        <f t="shared" si="16"/>
        <v>ABRIL</v>
      </c>
      <c r="J319" s="13">
        <f t="shared" si="17"/>
        <v>2026</v>
      </c>
      <c r="K319" s="13" t="s">
        <v>27</v>
      </c>
      <c r="L319" s="13"/>
    </row>
    <row r="320" spans="1:12" x14ac:dyDescent="0.25">
      <c r="A320" s="12">
        <v>46139</v>
      </c>
      <c r="B320" s="68" t="s">
        <v>67</v>
      </c>
      <c r="C320" s="13" t="s">
        <v>66</v>
      </c>
      <c r="D320" s="14">
        <v>1</v>
      </c>
      <c r="E320" s="15">
        <v>5.5</v>
      </c>
      <c r="F320" s="15">
        <f>Tabla8[[#This Row],[CANTIDAD]]*Tabla8[[#This Row],[PRECIO]]</f>
        <v>5.5</v>
      </c>
      <c r="G320" s="13" t="s">
        <v>714</v>
      </c>
      <c r="H320" s="13"/>
      <c r="I320" s="13" t="str">
        <f t="shared" si="16"/>
        <v>ABRIL</v>
      </c>
      <c r="J320" s="13">
        <f t="shared" si="17"/>
        <v>2026</v>
      </c>
      <c r="K320" s="13" t="s">
        <v>27</v>
      </c>
      <c r="L320" s="13"/>
    </row>
    <row r="321" spans="1:12" x14ac:dyDescent="0.25">
      <c r="A321" s="12">
        <v>46139</v>
      </c>
      <c r="B321" s="68" t="s">
        <v>16</v>
      </c>
      <c r="C321" s="13" t="s">
        <v>66</v>
      </c>
      <c r="D321" s="14">
        <v>1</v>
      </c>
      <c r="E321" s="15">
        <v>10.99</v>
      </c>
      <c r="F321" s="15">
        <f>Tabla8[[#This Row],[CANTIDAD]]*Tabla8[[#This Row],[PRECIO]]</f>
        <v>10.99</v>
      </c>
      <c r="G321" s="13" t="s">
        <v>446</v>
      </c>
      <c r="H321" s="13"/>
      <c r="I321" s="13" t="str">
        <f t="shared" si="16"/>
        <v>ABRIL</v>
      </c>
      <c r="J321" s="13">
        <f t="shared" si="17"/>
        <v>2026</v>
      </c>
      <c r="K321" s="13" t="s">
        <v>27</v>
      </c>
      <c r="L321" s="13"/>
    </row>
    <row r="322" spans="1:12" x14ac:dyDescent="0.25">
      <c r="A322" s="12">
        <v>46139</v>
      </c>
      <c r="B322" s="68" t="s">
        <v>67</v>
      </c>
      <c r="C322" s="13" t="s">
        <v>66</v>
      </c>
      <c r="D322" s="14">
        <v>1</v>
      </c>
      <c r="E322" s="15">
        <v>34.729999999999997</v>
      </c>
      <c r="F322" s="15">
        <f>Tabla8[[#This Row],[CANTIDAD]]*Tabla8[[#This Row],[PRECIO]]</f>
        <v>34.729999999999997</v>
      </c>
      <c r="G322" s="13" t="s">
        <v>430</v>
      </c>
      <c r="H322" s="13"/>
      <c r="I322" s="13" t="str">
        <f t="shared" si="16"/>
        <v>ABRIL</v>
      </c>
      <c r="J322" s="13">
        <f t="shared" si="17"/>
        <v>2026</v>
      </c>
      <c r="K322" s="13" t="s">
        <v>27</v>
      </c>
      <c r="L322" s="13"/>
    </row>
    <row r="323" spans="1:12" x14ac:dyDescent="0.25">
      <c r="A323" s="12">
        <v>46139</v>
      </c>
      <c r="B323" s="68" t="s">
        <v>67</v>
      </c>
      <c r="C323" s="13" t="s">
        <v>66</v>
      </c>
      <c r="D323" s="14">
        <v>1</v>
      </c>
      <c r="E323" s="15">
        <v>51.21</v>
      </c>
      <c r="F323" s="15">
        <f>Tabla8[[#This Row],[CANTIDAD]]*Tabla8[[#This Row],[PRECIO]]</f>
        <v>51.21</v>
      </c>
      <c r="G323" s="13" t="s">
        <v>389</v>
      </c>
      <c r="H323" s="13"/>
      <c r="I323" s="13" t="str">
        <f t="shared" si="16"/>
        <v>ABRIL</v>
      </c>
      <c r="J323" s="13">
        <f t="shared" si="17"/>
        <v>2026</v>
      </c>
      <c r="K323" s="13" t="s">
        <v>27</v>
      </c>
      <c r="L323" s="13"/>
    </row>
    <row r="324" spans="1:12" x14ac:dyDescent="0.25">
      <c r="A324" s="12">
        <v>46142</v>
      </c>
      <c r="B324" s="68" t="s">
        <v>67</v>
      </c>
      <c r="C324" s="13" t="s">
        <v>65</v>
      </c>
      <c r="D324" s="14">
        <v>1</v>
      </c>
      <c r="E324" s="15">
        <v>32</v>
      </c>
      <c r="F324" s="15">
        <f>Tabla8[[#This Row],[CANTIDAD]]*Tabla8[[#This Row],[PRECIO]]</f>
        <v>32</v>
      </c>
      <c r="G324" s="13" t="s">
        <v>708</v>
      </c>
      <c r="H324" s="13"/>
      <c r="I324" s="13" t="str">
        <f t="shared" si="16"/>
        <v>ABRIL</v>
      </c>
      <c r="J324" s="13">
        <f t="shared" si="17"/>
        <v>2026</v>
      </c>
      <c r="K324" s="13" t="s">
        <v>18</v>
      </c>
      <c r="L324" s="13"/>
    </row>
    <row r="325" spans="1:12" x14ac:dyDescent="0.25">
      <c r="A325" s="12">
        <v>46146</v>
      </c>
      <c r="B325" s="68" t="s">
        <v>67</v>
      </c>
      <c r="C325" s="13" t="s">
        <v>65</v>
      </c>
      <c r="D325" s="14">
        <v>1</v>
      </c>
      <c r="E325" s="15">
        <v>9.99</v>
      </c>
      <c r="F325" s="15">
        <f>Tabla8[[#This Row],[CANTIDAD]]*Tabla8[[#This Row],[PRECIO]]</f>
        <v>9.99</v>
      </c>
      <c r="G325" s="13" t="s">
        <v>715</v>
      </c>
      <c r="H325" s="13"/>
      <c r="I325" s="13" t="str">
        <f t="shared" si="16"/>
        <v>MAYO</v>
      </c>
      <c r="J325" s="13">
        <f t="shared" si="17"/>
        <v>2026</v>
      </c>
      <c r="K325" s="13" t="s">
        <v>27</v>
      </c>
      <c r="L325" s="13"/>
    </row>
    <row r="326" spans="1:12" x14ac:dyDescent="0.25">
      <c r="A326" s="12">
        <v>46146</v>
      </c>
      <c r="B326" s="68" t="s">
        <v>67</v>
      </c>
      <c r="C326" s="13" t="s">
        <v>65</v>
      </c>
      <c r="D326" s="14">
        <v>1</v>
      </c>
      <c r="E326" s="15">
        <v>5.5</v>
      </c>
      <c r="F326" s="15">
        <f>Tabla8[[#This Row],[CANTIDAD]]*Tabla8[[#This Row],[PRECIO]]</f>
        <v>5.5</v>
      </c>
      <c r="G326" s="13" t="s">
        <v>716</v>
      </c>
      <c r="H326" s="13"/>
      <c r="I326" s="13" t="str">
        <f t="shared" si="16"/>
        <v>MAYO</v>
      </c>
      <c r="J326" s="13">
        <f t="shared" si="17"/>
        <v>2026</v>
      </c>
      <c r="K326" s="13" t="s">
        <v>27</v>
      </c>
      <c r="L326" s="13"/>
    </row>
    <row r="327" spans="1:12" x14ac:dyDescent="0.25">
      <c r="A327" s="12">
        <v>46146</v>
      </c>
      <c r="B327" s="68" t="s">
        <v>16</v>
      </c>
      <c r="C327" s="13" t="s">
        <v>66</v>
      </c>
      <c r="D327" s="14">
        <v>1</v>
      </c>
      <c r="E327" s="15">
        <v>110.95</v>
      </c>
      <c r="F327" s="15">
        <f>Tabla8[[#This Row],[CANTIDAD]]*Tabla8[[#This Row],[PRECIO]]</f>
        <v>110.95</v>
      </c>
      <c r="G327" s="13" t="s">
        <v>483</v>
      </c>
      <c r="H327" s="13"/>
      <c r="I327" s="13" t="str">
        <f t="shared" si="16"/>
        <v>MAYO</v>
      </c>
      <c r="J327" s="13">
        <f t="shared" si="17"/>
        <v>2026</v>
      </c>
      <c r="K327" s="13" t="s">
        <v>27</v>
      </c>
      <c r="L327" s="13"/>
    </row>
    <row r="328" spans="1:12" x14ac:dyDescent="0.25">
      <c r="A328" s="12">
        <v>46147</v>
      </c>
      <c r="B328" s="68" t="s">
        <v>69</v>
      </c>
      <c r="C328" s="13" t="s">
        <v>65</v>
      </c>
      <c r="D328" s="14">
        <v>1</v>
      </c>
      <c r="E328" s="15">
        <v>20</v>
      </c>
      <c r="F328" s="15">
        <f>Tabla8[[#This Row],[CANTIDAD]]*Tabla8[[#This Row],[PRECIO]]</f>
        <v>20</v>
      </c>
      <c r="G328" s="13" t="s">
        <v>301</v>
      </c>
      <c r="H328" s="13"/>
      <c r="I328" s="13" t="str">
        <f t="shared" si="16"/>
        <v>MAYO</v>
      </c>
      <c r="J328" s="13">
        <f t="shared" si="17"/>
        <v>2026</v>
      </c>
      <c r="K328" s="13" t="s">
        <v>18</v>
      </c>
      <c r="L328" s="13"/>
    </row>
    <row r="329" spans="1:12" x14ac:dyDescent="0.25">
      <c r="A329" s="12">
        <v>46147</v>
      </c>
      <c r="B329" s="68" t="s">
        <v>22</v>
      </c>
      <c r="C329" s="13" t="s">
        <v>65</v>
      </c>
      <c r="D329" s="14">
        <v>1</v>
      </c>
      <c r="E329" s="15">
        <v>10</v>
      </c>
      <c r="F329" s="15">
        <f>Tabla8[[#This Row],[CANTIDAD]]*Tabla8[[#This Row],[PRECIO]]</f>
        <v>10</v>
      </c>
      <c r="G329" s="13" t="s">
        <v>709</v>
      </c>
      <c r="H329" s="13"/>
      <c r="I329" s="13" t="str">
        <f t="shared" si="16"/>
        <v>MAYO</v>
      </c>
      <c r="J329" s="13">
        <f t="shared" si="17"/>
        <v>2026</v>
      </c>
      <c r="K329" s="13" t="s">
        <v>18</v>
      </c>
      <c r="L329" s="13"/>
    </row>
    <row r="330" spans="1:12" x14ac:dyDescent="0.25">
      <c r="A330" s="12">
        <v>46148</v>
      </c>
      <c r="B330" s="68" t="s">
        <v>28</v>
      </c>
      <c r="C330" s="13" t="s">
        <v>66</v>
      </c>
      <c r="D330" s="14">
        <v>1</v>
      </c>
      <c r="E330" s="15">
        <v>37</v>
      </c>
      <c r="F330" s="15">
        <f>Tabla8[[#This Row],[CANTIDAD]]*Tabla8[[#This Row],[PRECIO]]</f>
        <v>37</v>
      </c>
      <c r="G330" s="13" t="s">
        <v>717</v>
      </c>
      <c r="H330" s="13"/>
      <c r="I330" s="13" t="str">
        <f t="shared" si="16"/>
        <v>MAYO</v>
      </c>
      <c r="J330" s="13">
        <f t="shared" si="17"/>
        <v>2026</v>
      </c>
      <c r="K330" s="13" t="s">
        <v>27</v>
      </c>
      <c r="L330" s="13"/>
    </row>
    <row r="331" spans="1:12" x14ac:dyDescent="0.25">
      <c r="A331" s="12">
        <v>46148</v>
      </c>
      <c r="B331" s="68" t="s">
        <v>22</v>
      </c>
      <c r="C331" s="13" t="s">
        <v>65</v>
      </c>
      <c r="D331" s="14">
        <v>1</v>
      </c>
      <c r="E331" s="15">
        <v>6.75</v>
      </c>
      <c r="F331" s="15">
        <f>Tabla8[[#This Row],[CANTIDAD]]*Tabla8[[#This Row],[PRECIO]]</f>
        <v>6.75</v>
      </c>
      <c r="G331" s="13" t="s">
        <v>22</v>
      </c>
      <c r="H331" s="13"/>
      <c r="I331" s="13" t="str">
        <f t="shared" si="16"/>
        <v>MAYO</v>
      </c>
      <c r="J331" s="13">
        <f t="shared" si="17"/>
        <v>2026</v>
      </c>
      <c r="K331" s="13" t="s">
        <v>27</v>
      </c>
      <c r="L331" s="13"/>
    </row>
    <row r="332" spans="1:12" x14ac:dyDescent="0.25">
      <c r="A332" s="12">
        <v>46149</v>
      </c>
      <c r="B332" s="68" t="s">
        <v>16</v>
      </c>
      <c r="C332" s="13" t="s">
        <v>66</v>
      </c>
      <c r="D332" s="14">
        <v>1</v>
      </c>
      <c r="E332" s="15">
        <v>7.5</v>
      </c>
      <c r="F332" s="15">
        <f>Tabla8[[#This Row],[CANTIDAD]]*Tabla8[[#This Row],[PRECIO]]</f>
        <v>7.5</v>
      </c>
      <c r="G332" s="13" t="s">
        <v>446</v>
      </c>
      <c r="H332" s="13"/>
      <c r="I332" s="13" t="str">
        <f t="shared" si="16"/>
        <v>MAYO</v>
      </c>
      <c r="J332" s="13">
        <f t="shared" si="17"/>
        <v>2026</v>
      </c>
      <c r="K332" s="13" t="s">
        <v>27</v>
      </c>
      <c r="L332" s="13"/>
    </row>
    <row r="333" spans="1:12" x14ac:dyDescent="0.25">
      <c r="A333" s="12">
        <v>46149</v>
      </c>
      <c r="B333" s="68" t="s">
        <v>22</v>
      </c>
      <c r="C333" s="13" t="s">
        <v>65</v>
      </c>
      <c r="D333" s="14">
        <v>1</v>
      </c>
      <c r="E333" s="15">
        <v>5.5</v>
      </c>
      <c r="F333" s="15">
        <f>Tabla8[[#This Row],[CANTIDAD]]*Tabla8[[#This Row],[PRECIO]]</f>
        <v>5.5</v>
      </c>
      <c r="G333" s="13" t="s">
        <v>411</v>
      </c>
      <c r="H333" s="13"/>
      <c r="I333" s="13" t="str">
        <f t="shared" si="16"/>
        <v>MAYO</v>
      </c>
      <c r="J333" s="13">
        <f t="shared" si="17"/>
        <v>2026</v>
      </c>
      <c r="K333" s="13" t="s">
        <v>18</v>
      </c>
      <c r="L333" s="13"/>
    </row>
    <row r="334" spans="1:12" x14ac:dyDescent="0.25">
      <c r="A334" s="12">
        <v>46149</v>
      </c>
      <c r="B334" s="68" t="s">
        <v>22</v>
      </c>
      <c r="C334" s="13" t="s">
        <v>65</v>
      </c>
      <c r="D334" s="14">
        <v>1</v>
      </c>
      <c r="E334" s="15">
        <v>3.5</v>
      </c>
      <c r="F334" s="15">
        <f>Tabla8[[#This Row],[CANTIDAD]]*Tabla8[[#This Row],[PRECIO]]</f>
        <v>3.5</v>
      </c>
      <c r="G334" s="13" t="s">
        <v>22</v>
      </c>
      <c r="H334" s="13"/>
      <c r="I334" s="13" t="str">
        <f t="shared" si="16"/>
        <v>MAYO</v>
      </c>
      <c r="J334" s="13">
        <f t="shared" si="17"/>
        <v>2026</v>
      </c>
      <c r="K334" s="13" t="s">
        <v>18</v>
      </c>
      <c r="L334" s="13"/>
    </row>
    <row r="335" spans="1:12" x14ac:dyDescent="0.25">
      <c r="A335" s="12">
        <v>46150</v>
      </c>
      <c r="B335" s="68" t="s">
        <v>68</v>
      </c>
      <c r="C335" s="13" t="s">
        <v>65</v>
      </c>
      <c r="D335" s="14">
        <v>1</v>
      </c>
      <c r="E335" s="15">
        <v>125</v>
      </c>
      <c r="F335" s="15">
        <f>Tabla8[[#This Row],[CANTIDAD]]*Tabla8[[#This Row],[PRECIO]]</f>
        <v>125</v>
      </c>
      <c r="G335" s="13" t="s">
        <v>733</v>
      </c>
      <c r="H335" s="13"/>
      <c r="I335" s="13" t="str">
        <f t="shared" si="16"/>
        <v>MAYO</v>
      </c>
      <c r="J335" s="13">
        <f t="shared" si="17"/>
        <v>2026</v>
      </c>
      <c r="K335" s="13" t="s">
        <v>18</v>
      </c>
      <c r="L335" s="13"/>
    </row>
    <row r="336" spans="1:12" x14ac:dyDescent="0.25">
      <c r="A336" s="12">
        <v>46150</v>
      </c>
      <c r="B336" s="68" t="s">
        <v>22</v>
      </c>
      <c r="C336" s="13" t="s">
        <v>65</v>
      </c>
      <c r="D336" s="14">
        <v>1</v>
      </c>
      <c r="E336" s="15">
        <v>0.5</v>
      </c>
      <c r="F336" s="15">
        <f>Tabla8[[#This Row],[CANTIDAD]]*Tabla8[[#This Row],[PRECIO]]</f>
        <v>0.5</v>
      </c>
      <c r="G336" s="13" t="s">
        <v>22</v>
      </c>
      <c r="H336" s="13"/>
      <c r="I336" s="13" t="str">
        <f t="shared" si="16"/>
        <v>MAYO</v>
      </c>
      <c r="J336" s="13">
        <f t="shared" si="17"/>
        <v>2026</v>
      </c>
      <c r="K336" s="13" t="s">
        <v>18</v>
      </c>
      <c r="L336" s="13"/>
    </row>
    <row r="337" spans="1:12" x14ac:dyDescent="0.25">
      <c r="A337" s="12">
        <v>46150</v>
      </c>
      <c r="B337" s="68" t="s">
        <v>67</v>
      </c>
      <c r="C337" s="13" t="s">
        <v>65</v>
      </c>
      <c r="D337" s="14">
        <v>1</v>
      </c>
      <c r="E337" s="15">
        <v>189.25</v>
      </c>
      <c r="F337" s="15">
        <f>Tabla8[[#This Row],[CANTIDAD]]*Tabla8[[#This Row],[PRECIO]]</f>
        <v>189.25</v>
      </c>
      <c r="G337" s="13" t="s">
        <v>735</v>
      </c>
      <c r="H337" s="13"/>
      <c r="I337" s="13" t="str">
        <f t="shared" si="16"/>
        <v>MAYO</v>
      </c>
      <c r="J337" s="13">
        <f t="shared" si="17"/>
        <v>2026</v>
      </c>
      <c r="K337" s="13" t="s">
        <v>27</v>
      </c>
      <c r="L337" s="13"/>
    </row>
    <row r="338" spans="1:12" x14ac:dyDescent="0.25">
      <c r="A338" s="12">
        <v>46151</v>
      </c>
      <c r="B338" s="68" t="s">
        <v>22</v>
      </c>
      <c r="C338" s="13" t="s">
        <v>65</v>
      </c>
      <c r="D338" s="14">
        <v>1</v>
      </c>
      <c r="E338" s="15">
        <v>10</v>
      </c>
      <c r="F338" s="15">
        <f>Tabla8[[#This Row],[CANTIDAD]]*Tabla8[[#This Row],[PRECIO]]</f>
        <v>10</v>
      </c>
      <c r="G338" s="13" t="s">
        <v>625</v>
      </c>
      <c r="H338" s="13"/>
      <c r="I338" s="13" t="str">
        <f t="shared" si="16"/>
        <v>MAYO</v>
      </c>
      <c r="J338" s="13">
        <f t="shared" si="17"/>
        <v>2026</v>
      </c>
      <c r="K338" s="13" t="s">
        <v>18</v>
      </c>
      <c r="L338" s="13"/>
    </row>
    <row r="339" spans="1:12" x14ac:dyDescent="0.25">
      <c r="A339" s="12">
        <v>46153</v>
      </c>
      <c r="B339" s="68" t="s">
        <v>16</v>
      </c>
      <c r="C339" s="13" t="s">
        <v>66</v>
      </c>
      <c r="D339" s="14">
        <v>1</v>
      </c>
      <c r="E339" s="15">
        <v>8.6</v>
      </c>
      <c r="F339" s="15">
        <f>Tabla8[[#This Row],[CANTIDAD]]*Tabla8[[#This Row],[PRECIO]]</f>
        <v>8.6</v>
      </c>
      <c r="G339" s="13" t="s">
        <v>736</v>
      </c>
      <c r="H339" s="13"/>
      <c r="I339" s="13" t="str">
        <f t="shared" si="16"/>
        <v>MAYO</v>
      </c>
      <c r="J339" s="13">
        <f t="shared" si="17"/>
        <v>2026</v>
      </c>
      <c r="K339" s="13" t="s">
        <v>27</v>
      </c>
      <c r="L339" s="13"/>
    </row>
    <row r="340" spans="1:12" x14ac:dyDescent="0.25">
      <c r="A340" s="12">
        <v>46153</v>
      </c>
      <c r="B340" s="68" t="s">
        <v>16</v>
      </c>
      <c r="C340" s="13" t="s">
        <v>66</v>
      </c>
      <c r="D340" s="14">
        <v>1</v>
      </c>
      <c r="E340" s="15">
        <v>1</v>
      </c>
      <c r="F340" s="15">
        <f>Tabla8[[#This Row],[CANTIDAD]]*Tabla8[[#This Row],[PRECIO]]</f>
        <v>1</v>
      </c>
      <c r="G340" s="13" t="s">
        <v>736</v>
      </c>
      <c r="H340" s="13"/>
      <c r="I340" s="13" t="str">
        <f t="shared" si="16"/>
        <v>MAYO</v>
      </c>
      <c r="J340" s="13">
        <f t="shared" si="17"/>
        <v>2026</v>
      </c>
      <c r="K340" s="13" t="s">
        <v>27</v>
      </c>
      <c r="L340" s="13"/>
    </row>
    <row r="341" spans="1:12" x14ac:dyDescent="0.25">
      <c r="A341" s="12">
        <v>46154</v>
      </c>
      <c r="B341" s="68" t="s">
        <v>22</v>
      </c>
      <c r="C341" s="13" t="s">
        <v>65</v>
      </c>
      <c r="D341" s="14">
        <v>1</v>
      </c>
      <c r="E341" s="15">
        <v>3</v>
      </c>
      <c r="F341" s="15">
        <f>Tabla8[[#This Row],[CANTIDAD]]*Tabla8[[#This Row],[PRECIO]]</f>
        <v>3</v>
      </c>
      <c r="G341" s="13" t="s">
        <v>22</v>
      </c>
      <c r="H341" s="13"/>
      <c r="I341" s="13" t="str">
        <f t="shared" si="16"/>
        <v>MAYO</v>
      </c>
      <c r="J341" s="13">
        <f t="shared" si="17"/>
        <v>2026</v>
      </c>
      <c r="K341" s="13" t="s">
        <v>18</v>
      </c>
      <c r="L341" s="13"/>
    </row>
    <row r="342" spans="1:12" x14ac:dyDescent="0.25">
      <c r="A342" s="12">
        <v>46154</v>
      </c>
      <c r="B342" s="68" t="s">
        <v>28</v>
      </c>
      <c r="C342" s="13" t="s">
        <v>66</v>
      </c>
      <c r="D342" s="14">
        <v>1</v>
      </c>
      <c r="E342" s="15">
        <v>18</v>
      </c>
      <c r="F342" s="15">
        <f>Tabla8[[#This Row],[CANTIDAD]]*Tabla8[[#This Row],[PRECIO]]</f>
        <v>18</v>
      </c>
      <c r="G342" s="13" t="s">
        <v>737</v>
      </c>
      <c r="H342" s="13"/>
      <c r="I342" s="13" t="str">
        <f t="shared" si="16"/>
        <v>MAYO</v>
      </c>
      <c r="J342" s="13">
        <f t="shared" si="17"/>
        <v>2026</v>
      </c>
      <c r="K342" s="13" t="s">
        <v>27</v>
      </c>
      <c r="L342" s="13"/>
    </row>
    <row r="343" spans="1:12" x14ac:dyDescent="0.25">
      <c r="A343" s="12">
        <v>46155</v>
      </c>
      <c r="B343" s="68" t="s">
        <v>67</v>
      </c>
      <c r="C343" s="13" t="s">
        <v>66</v>
      </c>
      <c r="D343" s="14">
        <v>1</v>
      </c>
      <c r="E343" s="15">
        <v>71.400000000000006</v>
      </c>
      <c r="F343" s="15">
        <f>Tabla8[[#This Row],[CANTIDAD]]*Tabla8[[#This Row],[PRECIO]]</f>
        <v>71.400000000000006</v>
      </c>
      <c r="G343" s="13" t="s">
        <v>738</v>
      </c>
      <c r="H343" s="13"/>
      <c r="I343" s="13" t="str">
        <f t="shared" si="16"/>
        <v>MAYO</v>
      </c>
      <c r="J343" s="13">
        <f t="shared" si="17"/>
        <v>2026</v>
      </c>
      <c r="K343" s="13" t="s">
        <v>27</v>
      </c>
      <c r="L343" s="13"/>
    </row>
    <row r="344" spans="1:12" x14ac:dyDescent="0.25">
      <c r="A344" s="12">
        <v>46156</v>
      </c>
      <c r="B344" s="68" t="s">
        <v>67</v>
      </c>
      <c r="C344" s="13" t="s">
        <v>66</v>
      </c>
      <c r="D344" s="14">
        <v>1</v>
      </c>
      <c r="E344" s="15">
        <v>500</v>
      </c>
      <c r="F344" s="15">
        <f>Tabla8[[#This Row],[CANTIDAD]]*Tabla8[[#This Row],[PRECIO]]</f>
        <v>500</v>
      </c>
      <c r="G344" s="13" t="s">
        <v>734</v>
      </c>
      <c r="H344" s="13"/>
      <c r="I344" s="13" t="str">
        <f t="shared" si="16"/>
        <v>MAYO</v>
      </c>
      <c r="J344" s="13">
        <f t="shared" si="17"/>
        <v>2026</v>
      </c>
      <c r="K344" s="13" t="s">
        <v>18</v>
      </c>
      <c r="L344" s="13"/>
    </row>
    <row r="345" spans="1:12" x14ac:dyDescent="0.25">
      <c r="A345" s="12">
        <v>46156</v>
      </c>
      <c r="B345" s="68" t="s">
        <v>22</v>
      </c>
      <c r="C345" s="13" t="s">
        <v>65</v>
      </c>
      <c r="D345" s="14">
        <v>1</v>
      </c>
      <c r="E345" s="15">
        <v>7</v>
      </c>
      <c r="F345" s="15">
        <f>Tabla8[[#This Row],[CANTIDAD]]*Tabla8[[#This Row],[PRECIO]]</f>
        <v>7</v>
      </c>
      <c r="G345" s="13" t="s">
        <v>22</v>
      </c>
      <c r="H345" s="13"/>
      <c r="I345" s="13" t="str">
        <f t="shared" si="16"/>
        <v>MAYO</v>
      </c>
      <c r="J345" s="13">
        <f t="shared" si="17"/>
        <v>2026</v>
      </c>
      <c r="K345" s="13" t="s">
        <v>18</v>
      </c>
      <c r="L345" s="13"/>
    </row>
    <row r="346" spans="1:12" x14ac:dyDescent="0.25">
      <c r="A346" s="12">
        <v>46157</v>
      </c>
      <c r="B346" s="68" t="s">
        <v>67</v>
      </c>
      <c r="C346" s="13" t="s">
        <v>65</v>
      </c>
      <c r="D346" s="14">
        <v>1</v>
      </c>
      <c r="E346" s="15">
        <v>200</v>
      </c>
      <c r="F346" s="15">
        <f>Tabla8[[#This Row],[CANTIDAD]]*Tabla8[[#This Row],[PRECIO]]</f>
        <v>200</v>
      </c>
      <c r="G346" s="13" t="s">
        <v>744</v>
      </c>
      <c r="H346" s="13"/>
      <c r="I346" s="13" t="str">
        <f t="shared" si="16"/>
        <v>MAYO</v>
      </c>
      <c r="J346" s="13">
        <f t="shared" si="17"/>
        <v>2026</v>
      </c>
      <c r="K346" s="13" t="s">
        <v>18</v>
      </c>
      <c r="L346" s="13"/>
    </row>
    <row r="347" spans="1:12" x14ac:dyDescent="0.25">
      <c r="A347" s="12">
        <v>46157</v>
      </c>
      <c r="B347" s="68" t="s">
        <v>25</v>
      </c>
      <c r="C347" s="13" t="s">
        <v>66</v>
      </c>
      <c r="D347" s="14">
        <v>1</v>
      </c>
      <c r="E347" s="15">
        <v>200</v>
      </c>
      <c r="F347" s="15">
        <f>Tabla8[[#This Row],[CANTIDAD]]*Tabla8[[#This Row],[PRECIO]]</f>
        <v>200</v>
      </c>
      <c r="G347" s="13" t="s">
        <v>310</v>
      </c>
      <c r="H347" s="13"/>
      <c r="I347" s="13" t="str">
        <f t="shared" si="16"/>
        <v>MAYO</v>
      </c>
      <c r="J347" s="13">
        <f t="shared" si="17"/>
        <v>2026</v>
      </c>
      <c r="K347" s="13" t="s">
        <v>18</v>
      </c>
      <c r="L347" s="13"/>
    </row>
    <row r="348" spans="1:12" x14ac:dyDescent="0.25">
      <c r="A348" s="12">
        <v>46157</v>
      </c>
      <c r="B348" s="68" t="s">
        <v>25</v>
      </c>
      <c r="C348" s="13" t="s">
        <v>65</v>
      </c>
      <c r="D348" s="14">
        <v>1</v>
      </c>
      <c r="E348" s="15">
        <v>300</v>
      </c>
      <c r="F348" s="15">
        <f>Tabla8[[#This Row],[CANTIDAD]]*Tabla8[[#This Row],[PRECIO]]</f>
        <v>300</v>
      </c>
      <c r="G348" s="13" t="s">
        <v>745</v>
      </c>
      <c r="H348" s="13"/>
      <c r="I348" s="13" t="str">
        <f t="shared" si="16"/>
        <v>MAYO</v>
      </c>
      <c r="J348" s="13">
        <f t="shared" si="17"/>
        <v>2026</v>
      </c>
      <c r="K348" s="13" t="s">
        <v>18</v>
      </c>
      <c r="L348" s="13"/>
    </row>
    <row r="349" spans="1:12" x14ac:dyDescent="0.25">
      <c r="A349" s="12">
        <v>46157</v>
      </c>
      <c r="B349" s="68" t="s">
        <v>22</v>
      </c>
      <c r="C349" s="13" t="s">
        <v>65</v>
      </c>
      <c r="D349" s="14">
        <v>1</v>
      </c>
      <c r="E349" s="15">
        <v>15</v>
      </c>
      <c r="F349" s="15">
        <f>Tabla8[[#This Row],[CANTIDAD]]*Tabla8[[#This Row],[PRECIO]]</f>
        <v>15</v>
      </c>
      <c r="G349" s="13" t="s">
        <v>454</v>
      </c>
      <c r="H349" s="13"/>
      <c r="I349" s="13" t="str">
        <f t="shared" si="16"/>
        <v>MAYO</v>
      </c>
      <c r="J349" s="13">
        <f t="shared" si="17"/>
        <v>2026</v>
      </c>
      <c r="K349" s="13" t="s">
        <v>18</v>
      </c>
      <c r="L349" s="13"/>
    </row>
    <row r="350" spans="1:12" x14ac:dyDescent="0.25">
      <c r="A350" s="12">
        <v>46157</v>
      </c>
      <c r="B350" s="68" t="s">
        <v>16</v>
      </c>
      <c r="C350" s="13" t="s">
        <v>66</v>
      </c>
      <c r="D350" s="14">
        <v>1</v>
      </c>
      <c r="E350" s="15">
        <v>429.41</v>
      </c>
      <c r="F350" s="15">
        <f>Tabla8[[#This Row],[CANTIDAD]]*Tabla8[[#This Row],[PRECIO]]</f>
        <v>429.41</v>
      </c>
      <c r="G350" s="13" t="s">
        <v>753</v>
      </c>
      <c r="H350" s="13"/>
      <c r="I350" s="13" t="str">
        <f t="shared" si="16"/>
        <v>MAYO</v>
      </c>
      <c r="J350" s="13">
        <f t="shared" si="17"/>
        <v>2026</v>
      </c>
      <c r="K350" s="13" t="s">
        <v>27</v>
      </c>
      <c r="L350" s="13"/>
    </row>
    <row r="351" spans="1:12" x14ac:dyDescent="0.25">
      <c r="A351" s="12">
        <v>46157</v>
      </c>
      <c r="B351" s="68" t="s">
        <v>16</v>
      </c>
      <c r="C351" s="13" t="s">
        <v>66</v>
      </c>
      <c r="D351" s="14">
        <v>1</v>
      </c>
      <c r="E351" s="15">
        <v>48.3</v>
      </c>
      <c r="F351" s="15">
        <f>Tabla8[[#This Row],[CANTIDAD]]*Tabla8[[#This Row],[PRECIO]]</f>
        <v>48.3</v>
      </c>
      <c r="G351" s="13" t="s">
        <v>753</v>
      </c>
      <c r="H351" s="13"/>
      <c r="I351" s="13" t="str">
        <f t="shared" si="16"/>
        <v>MAYO</v>
      </c>
      <c r="J351" s="13">
        <f t="shared" si="17"/>
        <v>2026</v>
      </c>
      <c r="K351" s="13" t="s">
        <v>27</v>
      </c>
      <c r="L351" s="13"/>
    </row>
    <row r="352" spans="1:12" x14ac:dyDescent="0.25">
      <c r="A352" s="12">
        <v>46157</v>
      </c>
      <c r="B352" s="68" t="s">
        <v>16</v>
      </c>
      <c r="C352" s="13" t="s">
        <v>66</v>
      </c>
      <c r="D352" s="14">
        <v>1</v>
      </c>
      <c r="E352" s="15">
        <v>10.5</v>
      </c>
      <c r="F352" s="15">
        <f>Tabla8[[#This Row],[CANTIDAD]]*Tabla8[[#This Row],[PRECIO]]</f>
        <v>10.5</v>
      </c>
      <c r="G352" s="13" t="s">
        <v>446</v>
      </c>
      <c r="H352" s="13"/>
      <c r="I352" s="13" t="str">
        <f t="shared" si="16"/>
        <v>MAYO</v>
      </c>
      <c r="J352" s="13">
        <f t="shared" si="17"/>
        <v>2026</v>
      </c>
      <c r="K352" s="13" t="s">
        <v>27</v>
      </c>
      <c r="L352" s="13"/>
    </row>
    <row r="353" spans="1:12" x14ac:dyDescent="0.25">
      <c r="A353" s="12">
        <v>46157</v>
      </c>
      <c r="B353" s="68" t="s">
        <v>69</v>
      </c>
      <c r="C353" s="13" t="s">
        <v>65</v>
      </c>
      <c r="D353" s="14">
        <v>1</v>
      </c>
      <c r="E353" s="15">
        <v>16</v>
      </c>
      <c r="F353" s="15">
        <f>Tabla8[[#This Row],[CANTIDAD]]*Tabla8[[#This Row],[PRECIO]]</f>
        <v>16</v>
      </c>
      <c r="G353" s="13" t="s">
        <v>69</v>
      </c>
      <c r="H353" s="13"/>
      <c r="I353" s="13" t="str">
        <f t="shared" si="16"/>
        <v>MAYO</v>
      </c>
      <c r="J353" s="13">
        <f t="shared" si="17"/>
        <v>2026</v>
      </c>
      <c r="K353" s="13" t="s">
        <v>27</v>
      </c>
      <c r="L353" s="13"/>
    </row>
    <row r="354" spans="1:12" x14ac:dyDescent="0.25">
      <c r="A354" s="12">
        <v>46160</v>
      </c>
      <c r="B354" s="68" t="s">
        <v>25</v>
      </c>
      <c r="C354" s="13" t="s">
        <v>66</v>
      </c>
      <c r="D354" s="14">
        <v>1</v>
      </c>
      <c r="E354" s="15">
        <v>140</v>
      </c>
      <c r="F354" s="15">
        <f>Tabla8[[#This Row],[CANTIDAD]]*Tabla8[[#This Row],[PRECIO]]</f>
        <v>140</v>
      </c>
      <c r="G354" s="13" t="s">
        <v>310</v>
      </c>
      <c r="H354" s="13"/>
      <c r="I354" s="13" t="str">
        <f t="shared" si="16"/>
        <v>MAYO</v>
      </c>
      <c r="J354" s="13">
        <f t="shared" si="17"/>
        <v>2026</v>
      </c>
      <c r="K354" s="13" t="s">
        <v>18</v>
      </c>
      <c r="L354" s="13"/>
    </row>
    <row r="355" spans="1:12" x14ac:dyDescent="0.25">
      <c r="A355" s="12">
        <v>46160</v>
      </c>
      <c r="B355" s="68" t="s">
        <v>69</v>
      </c>
      <c r="C355" s="13" t="s">
        <v>65</v>
      </c>
      <c r="D355" s="14">
        <v>1</v>
      </c>
      <c r="E355" s="15">
        <v>16</v>
      </c>
      <c r="F355" s="15">
        <f>Tabla8[[#This Row],[CANTIDAD]]*Tabla8[[#This Row],[PRECIO]]</f>
        <v>16</v>
      </c>
      <c r="G355" s="13" t="s">
        <v>754</v>
      </c>
      <c r="H355" s="13"/>
      <c r="I355" s="13" t="str">
        <f t="shared" si="16"/>
        <v>MAYO</v>
      </c>
      <c r="J355" s="13">
        <f t="shared" si="17"/>
        <v>2026</v>
      </c>
      <c r="K355" s="13" t="s">
        <v>27</v>
      </c>
      <c r="L355" s="13"/>
    </row>
    <row r="356" spans="1:12" x14ac:dyDescent="0.25">
      <c r="A356" s="12">
        <v>46160</v>
      </c>
      <c r="B356" s="68" t="s">
        <v>67</v>
      </c>
      <c r="C356" s="13" t="s">
        <v>66</v>
      </c>
      <c r="D356" s="14">
        <v>1</v>
      </c>
      <c r="E356" s="15">
        <v>200</v>
      </c>
      <c r="F356" s="15">
        <f>Tabla8[[#This Row],[CANTIDAD]]*Tabla8[[#This Row],[PRECIO]]</f>
        <v>200</v>
      </c>
      <c r="G356" s="13" t="s">
        <v>755</v>
      </c>
      <c r="H356" s="13"/>
      <c r="I356" s="13" t="str">
        <f t="shared" si="16"/>
        <v>MAYO</v>
      </c>
      <c r="J356" s="13">
        <f t="shared" si="17"/>
        <v>2026</v>
      </c>
      <c r="K356" s="13" t="s">
        <v>27</v>
      </c>
      <c r="L356" s="13"/>
    </row>
    <row r="357" spans="1:12" x14ac:dyDescent="0.25">
      <c r="A357" s="12">
        <v>46160</v>
      </c>
      <c r="B357" s="68" t="s">
        <v>67</v>
      </c>
      <c r="C357" s="13" t="s">
        <v>66</v>
      </c>
      <c r="D357" s="14">
        <v>1</v>
      </c>
      <c r="E357" s="15">
        <v>10.93</v>
      </c>
      <c r="F357" s="15">
        <f>Tabla8[[#This Row],[CANTIDAD]]*Tabla8[[#This Row],[PRECIO]]</f>
        <v>10.93</v>
      </c>
      <c r="G357" s="13" t="s">
        <v>756</v>
      </c>
      <c r="H357" s="13"/>
      <c r="I357" s="13" t="str">
        <f t="shared" si="16"/>
        <v>MAYO</v>
      </c>
      <c r="J357" s="13">
        <f t="shared" si="17"/>
        <v>2026</v>
      </c>
      <c r="K357" s="13" t="s">
        <v>27</v>
      </c>
      <c r="L357" s="13"/>
    </row>
    <row r="358" spans="1:12" x14ac:dyDescent="0.25">
      <c r="A358" s="12">
        <v>46161</v>
      </c>
      <c r="B358" s="68" t="s">
        <v>22</v>
      </c>
      <c r="C358" s="13" t="s">
        <v>65</v>
      </c>
      <c r="D358" s="14">
        <v>1</v>
      </c>
      <c r="E358" s="15">
        <v>3.35</v>
      </c>
      <c r="F358" s="15">
        <f>Tabla8[[#This Row],[CANTIDAD]]*Tabla8[[#This Row],[PRECIO]]</f>
        <v>3.35</v>
      </c>
      <c r="G358" s="13" t="s">
        <v>746</v>
      </c>
      <c r="H358" s="13"/>
      <c r="I358" s="13" t="str">
        <f t="shared" si="16"/>
        <v>MAYO</v>
      </c>
      <c r="J358" s="13">
        <f t="shared" si="17"/>
        <v>2026</v>
      </c>
      <c r="K358" s="13" t="s">
        <v>18</v>
      </c>
      <c r="L358" s="13"/>
    </row>
    <row r="359" spans="1:12" x14ac:dyDescent="0.25">
      <c r="A359" s="12">
        <v>46161</v>
      </c>
      <c r="B359" s="68" t="s">
        <v>25</v>
      </c>
      <c r="C359" s="13" t="s">
        <v>66</v>
      </c>
      <c r="D359" s="14">
        <v>1</v>
      </c>
      <c r="E359" s="15">
        <v>200</v>
      </c>
      <c r="F359" s="15">
        <f>Tabla8[[#This Row],[CANTIDAD]]*Tabla8[[#This Row],[PRECIO]]</f>
        <v>200</v>
      </c>
      <c r="G359" s="13" t="s">
        <v>310</v>
      </c>
      <c r="H359" s="13"/>
      <c r="I359" s="13" t="str">
        <f t="shared" si="16"/>
        <v>MAYO</v>
      </c>
      <c r="J359" s="13">
        <f t="shared" si="17"/>
        <v>2026</v>
      </c>
      <c r="K359" s="13" t="s">
        <v>18</v>
      </c>
      <c r="L359" s="13"/>
    </row>
    <row r="360" spans="1:12" x14ac:dyDescent="0.25">
      <c r="A360" s="12">
        <v>46161</v>
      </c>
      <c r="B360" s="68" t="s">
        <v>16</v>
      </c>
      <c r="C360" s="13" t="s">
        <v>66</v>
      </c>
      <c r="D360" s="14">
        <v>1</v>
      </c>
      <c r="E360" s="15">
        <v>148.94999999999999</v>
      </c>
      <c r="F360" s="15">
        <f>Tabla8[[#This Row],[CANTIDAD]]*Tabla8[[#This Row],[PRECIO]]</f>
        <v>148.94999999999999</v>
      </c>
      <c r="G360" s="13" t="s">
        <v>757</v>
      </c>
      <c r="H360" s="13"/>
      <c r="I360" s="13" t="str">
        <f t="shared" si="16"/>
        <v>MAYO</v>
      </c>
      <c r="J360" s="13">
        <f t="shared" si="17"/>
        <v>2026</v>
      </c>
      <c r="K360" s="13" t="s">
        <v>27</v>
      </c>
      <c r="L360" s="13"/>
    </row>
    <row r="361" spans="1:12" x14ac:dyDescent="0.25">
      <c r="A361" s="12">
        <v>46162</v>
      </c>
      <c r="B361" s="68" t="s">
        <v>25</v>
      </c>
      <c r="C361" s="13" t="s">
        <v>65</v>
      </c>
      <c r="D361" s="14">
        <v>1</v>
      </c>
      <c r="E361" s="15">
        <v>20</v>
      </c>
      <c r="F361" s="15">
        <f>Tabla8[[#This Row],[CANTIDAD]]*Tabla8[[#This Row],[PRECIO]]</f>
        <v>20</v>
      </c>
      <c r="G361" s="13" t="s">
        <v>747</v>
      </c>
      <c r="H361" s="13"/>
      <c r="I361" s="13" t="str">
        <f t="shared" si="16"/>
        <v>MAYO</v>
      </c>
      <c r="J361" s="13">
        <f t="shared" si="17"/>
        <v>2026</v>
      </c>
      <c r="K361" s="13" t="s">
        <v>18</v>
      </c>
      <c r="L361" s="13"/>
    </row>
    <row r="362" spans="1:12" x14ac:dyDescent="0.25">
      <c r="A362" s="12">
        <v>46162</v>
      </c>
      <c r="B362" s="68" t="s">
        <v>69</v>
      </c>
      <c r="C362" s="13" t="s">
        <v>65</v>
      </c>
      <c r="D362" s="14">
        <v>1</v>
      </c>
      <c r="E362" s="15">
        <v>10</v>
      </c>
      <c r="F362" s="15">
        <f>Tabla8[[#This Row],[CANTIDAD]]*Tabla8[[#This Row],[PRECIO]]</f>
        <v>10</v>
      </c>
      <c r="G362" s="13" t="s">
        <v>69</v>
      </c>
      <c r="H362" s="13"/>
      <c r="I362" s="13" t="str">
        <f t="shared" si="16"/>
        <v>MAYO</v>
      </c>
      <c r="J362" s="13">
        <f t="shared" si="17"/>
        <v>2026</v>
      </c>
      <c r="K362" s="13" t="s">
        <v>18</v>
      </c>
      <c r="L362" s="13"/>
    </row>
    <row r="363" spans="1:12" x14ac:dyDescent="0.25">
      <c r="A363" s="12">
        <v>46162</v>
      </c>
      <c r="B363" s="68" t="s">
        <v>67</v>
      </c>
      <c r="C363" s="13" t="s">
        <v>66</v>
      </c>
      <c r="D363" s="14">
        <v>1</v>
      </c>
      <c r="E363" s="15">
        <v>2.5</v>
      </c>
      <c r="F363" s="15">
        <f>Tabla8[[#This Row],[CANTIDAD]]*Tabla8[[#This Row],[PRECIO]]</f>
        <v>2.5</v>
      </c>
      <c r="G363" s="13" t="s">
        <v>19</v>
      </c>
      <c r="H363" s="13"/>
      <c r="I363" s="13" t="str">
        <f t="shared" si="16"/>
        <v>MAYO</v>
      </c>
      <c r="J363" s="13">
        <f t="shared" si="17"/>
        <v>2026</v>
      </c>
      <c r="K363" s="13" t="s">
        <v>18</v>
      </c>
      <c r="L363" s="13"/>
    </row>
    <row r="364" spans="1:12" x14ac:dyDescent="0.25">
      <c r="A364" s="12">
        <v>46162</v>
      </c>
      <c r="B364" s="68" t="s">
        <v>67</v>
      </c>
      <c r="C364" s="13" t="s">
        <v>65</v>
      </c>
      <c r="D364" s="14">
        <v>1</v>
      </c>
      <c r="E364" s="15">
        <v>0.5</v>
      </c>
      <c r="F364" s="15">
        <f>Tabla8[[#This Row],[CANTIDAD]]*Tabla8[[#This Row],[PRECIO]]</f>
        <v>0.5</v>
      </c>
      <c r="G364" s="13" t="s">
        <v>748</v>
      </c>
      <c r="H364" s="13"/>
      <c r="I364" s="13" t="str">
        <f t="shared" si="16"/>
        <v>MAYO</v>
      </c>
      <c r="J364" s="13">
        <f t="shared" si="17"/>
        <v>2026</v>
      </c>
      <c r="K364" s="13" t="s">
        <v>18</v>
      </c>
      <c r="L364" s="13"/>
    </row>
    <row r="365" spans="1:12" x14ac:dyDescent="0.25">
      <c r="A365" s="12">
        <v>46163</v>
      </c>
      <c r="B365" s="68" t="s">
        <v>22</v>
      </c>
      <c r="C365" s="13" t="s">
        <v>65</v>
      </c>
      <c r="D365" s="14">
        <v>1</v>
      </c>
      <c r="E365" s="15">
        <v>9.5</v>
      </c>
      <c r="F365" s="15">
        <f>Tabla8[[#This Row],[CANTIDAD]]*Tabla8[[#This Row],[PRECIO]]</f>
        <v>9.5</v>
      </c>
      <c r="G365" s="13" t="s">
        <v>411</v>
      </c>
      <c r="H365" s="13"/>
      <c r="I365" s="13" t="str">
        <f t="shared" si="16"/>
        <v>MAYO</v>
      </c>
      <c r="J365" s="13">
        <f t="shared" si="17"/>
        <v>2026</v>
      </c>
      <c r="K365" s="13" t="s">
        <v>18</v>
      </c>
      <c r="L365" s="13"/>
    </row>
    <row r="366" spans="1:12" x14ac:dyDescent="0.25">
      <c r="A366" s="12">
        <v>46163</v>
      </c>
      <c r="B366" s="68" t="s">
        <v>22</v>
      </c>
      <c r="C366" s="13" t="s">
        <v>65</v>
      </c>
      <c r="D366" s="14">
        <v>1</v>
      </c>
      <c r="E366" s="15">
        <v>2.5</v>
      </c>
      <c r="F366" s="15">
        <f>Tabla8[[#This Row],[CANTIDAD]]*Tabla8[[#This Row],[PRECIO]]</f>
        <v>2.5</v>
      </c>
      <c r="G366" s="13" t="s">
        <v>142</v>
      </c>
      <c r="H366" s="13"/>
      <c r="I366" s="13" t="str">
        <f t="shared" si="16"/>
        <v>MAYO</v>
      </c>
      <c r="J366" s="13">
        <f t="shared" si="17"/>
        <v>2026</v>
      </c>
      <c r="K366" s="13" t="s">
        <v>18</v>
      </c>
      <c r="L366" s="13"/>
    </row>
    <row r="367" spans="1:12" x14ac:dyDescent="0.25">
      <c r="A367" s="12">
        <v>46163</v>
      </c>
      <c r="B367" s="68" t="s">
        <v>25</v>
      </c>
      <c r="C367" s="13" t="s">
        <v>66</v>
      </c>
      <c r="D367" s="14">
        <v>1</v>
      </c>
      <c r="E367" s="15">
        <v>44.32</v>
      </c>
      <c r="F367" s="15">
        <f>Tabla8[[#This Row],[CANTIDAD]]*Tabla8[[#This Row],[PRECIO]]</f>
        <v>44.32</v>
      </c>
      <c r="G367" s="13" t="s">
        <v>758</v>
      </c>
      <c r="H367" s="13"/>
      <c r="I367" s="13" t="str">
        <f t="shared" ref="I367:I379" si="18">UPPER(TEXT(A367,"MMMM"))</f>
        <v>MAYO</v>
      </c>
      <c r="J367" s="13">
        <f t="shared" ref="J367:J379" si="19">+YEAR(A367)</f>
        <v>2026</v>
      </c>
      <c r="K367" s="13" t="s">
        <v>27</v>
      </c>
      <c r="L367" s="13"/>
    </row>
    <row r="368" spans="1:12" x14ac:dyDescent="0.25">
      <c r="A368" s="12">
        <v>46164</v>
      </c>
      <c r="B368" s="68" t="s">
        <v>25</v>
      </c>
      <c r="C368" s="13" t="s">
        <v>66</v>
      </c>
      <c r="D368" s="14">
        <v>1</v>
      </c>
      <c r="E368" s="15">
        <v>200</v>
      </c>
      <c r="F368" s="15">
        <f>Tabla8[[#This Row],[CANTIDAD]]*Tabla8[[#This Row],[PRECIO]]</f>
        <v>200</v>
      </c>
      <c r="G368" s="13" t="s">
        <v>310</v>
      </c>
      <c r="H368" s="13"/>
      <c r="I368" s="13" t="str">
        <f t="shared" si="18"/>
        <v>MAYO</v>
      </c>
      <c r="J368" s="13">
        <f t="shared" si="19"/>
        <v>2026</v>
      </c>
      <c r="K368" s="13" t="s">
        <v>18</v>
      </c>
      <c r="L368" s="13"/>
    </row>
    <row r="369" spans="1:12" x14ac:dyDescent="0.25">
      <c r="A369" s="12">
        <v>46164</v>
      </c>
      <c r="B369" s="68" t="s">
        <v>16</v>
      </c>
      <c r="C369" s="13" t="s">
        <v>66</v>
      </c>
      <c r="D369" s="14">
        <v>1</v>
      </c>
      <c r="E369" s="15">
        <v>250</v>
      </c>
      <c r="F369" s="15">
        <f>Tabla8[[#This Row],[CANTIDAD]]*Tabla8[[#This Row],[PRECIO]]</f>
        <v>250</v>
      </c>
      <c r="G369" s="13" t="s">
        <v>759</v>
      </c>
      <c r="H369" s="13"/>
      <c r="I369" s="13" t="str">
        <f t="shared" si="18"/>
        <v>MAYO</v>
      </c>
      <c r="J369" s="13">
        <f t="shared" si="19"/>
        <v>2026</v>
      </c>
      <c r="K369" s="13" t="s">
        <v>27</v>
      </c>
      <c r="L369" s="13"/>
    </row>
    <row r="370" spans="1:12" x14ac:dyDescent="0.25">
      <c r="A370" s="12">
        <v>46165</v>
      </c>
      <c r="B370" s="68" t="s">
        <v>22</v>
      </c>
      <c r="C370" s="13" t="s">
        <v>65</v>
      </c>
      <c r="D370" s="14">
        <v>1</v>
      </c>
      <c r="E370" s="15">
        <v>7.5</v>
      </c>
      <c r="F370" s="15">
        <f>Tabla8[[#This Row],[CANTIDAD]]*Tabla8[[#This Row],[PRECIO]]</f>
        <v>7.5</v>
      </c>
      <c r="G370" s="13" t="s">
        <v>751</v>
      </c>
      <c r="H370" s="13"/>
      <c r="I370" s="13" t="str">
        <f t="shared" si="18"/>
        <v>MAYO</v>
      </c>
      <c r="J370" s="13">
        <f t="shared" si="19"/>
        <v>2026</v>
      </c>
      <c r="K370" s="13" t="s">
        <v>18</v>
      </c>
      <c r="L370" s="13"/>
    </row>
    <row r="371" spans="1:12" x14ac:dyDescent="0.25">
      <c r="A371" s="12">
        <v>46168</v>
      </c>
      <c r="B371" s="68" t="s">
        <v>67</v>
      </c>
      <c r="C371" s="13" t="s">
        <v>65</v>
      </c>
      <c r="D371" s="14">
        <v>1</v>
      </c>
      <c r="E371" s="15">
        <v>62</v>
      </c>
      <c r="F371" s="15">
        <f>Tabla8[[#This Row],[CANTIDAD]]*Tabla8[[#This Row],[PRECIO]]</f>
        <v>62</v>
      </c>
      <c r="G371" s="13" t="s">
        <v>760</v>
      </c>
      <c r="H371" s="13"/>
      <c r="I371" s="13" t="str">
        <f t="shared" si="18"/>
        <v>MAYO</v>
      </c>
      <c r="J371" s="13">
        <f t="shared" si="19"/>
        <v>2026</v>
      </c>
      <c r="K371" s="13" t="s">
        <v>27</v>
      </c>
      <c r="L371" s="13"/>
    </row>
    <row r="372" spans="1:12" x14ac:dyDescent="0.25">
      <c r="A372" s="12">
        <v>46168</v>
      </c>
      <c r="B372" s="68" t="s">
        <v>67</v>
      </c>
      <c r="C372" s="13" t="s">
        <v>65</v>
      </c>
      <c r="D372" s="14">
        <v>1</v>
      </c>
      <c r="E372" s="15">
        <v>7</v>
      </c>
      <c r="F372" s="15">
        <f>Tabla8[[#This Row],[CANTIDAD]]*Tabla8[[#This Row],[PRECIO]]</f>
        <v>7</v>
      </c>
      <c r="G372" s="13" t="s">
        <v>761</v>
      </c>
      <c r="H372" s="13"/>
      <c r="I372" s="13" t="str">
        <f t="shared" si="18"/>
        <v>MAYO</v>
      </c>
      <c r="J372" s="13">
        <f t="shared" si="19"/>
        <v>2026</v>
      </c>
      <c r="K372" s="13" t="s">
        <v>27</v>
      </c>
      <c r="L372" s="13"/>
    </row>
    <row r="373" spans="1:12" x14ac:dyDescent="0.25">
      <c r="A373" s="12">
        <v>46169</v>
      </c>
      <c r="B373" s="68" t="s">
        <v>67</v>
      </c>
      <c r="C373" s="13" t="s">
        <v>65</v>
      </c>
      <c r="D373" s="14">
        <v>1</v>
      </c>
      <c r="E373" s="15">
        <v>3</v>
      </c>
      <c r="F373" s="15">
        <f>Tabla8[[#This Row],[CANTIDAD]]*Tabla8[[#This Row],[PRECIO]]</f>
        <v>3</v>
      </c>
      <c r="G373" s="13" t="s">
        <v>762</v>
      </c>
      <c r="H373" s="13"/>
      <c r="I373" s="13" t="str">
        <f t="shared" si="18"/>
        <v>MAYO</v>
      </c>
      <c r="J373" s="13">
        <f t="shared" si="19"/>
        <v>2026</v>
      </c>
      <c r="K373" s="13" t="s">
        <v>27</v>
      </c>
      <c r="L373" s="13"/>
    </row>
    <row r="374" spans="1:12" x14ac:dyDescent="0.25">
      <c r="A374" s="12">
        <v>46169</v>
      </c>
      <c r="B374" s="68" t="s">
        <v>16</v>
      </c>
      <c r="C374" s="13" t="s">
        <v>66</v>
      </c>
      <c r="D374" s="14">
        <v>1</v>
      </c>
      <c r="E374" s="15">
        <v>33.25</v>
      </c>
      <c r="F374" s="15">
        <f>Tabla8[[#This Row],[CANTIDAD]]*Tabla8[[#This Row],[PRECIO]]</f>
        <v>33.25</v>
      </c>
      <c r="G374" s="13" t="s">
        <v>483</v>
      </c>
      <c r="H374" s="13"/>
      <c r="I374" s="13" t="str">
        <f t="shared" si="18"/>
        <v>MAYO</v>
      </c>
      <c r="J374" s="13">
        <f t="shared" si="19"/>
        <v>2026</v>
      </c>
      <c r="K374" s="13" t="s">
        <v>27</v>
      </c>
      <c r="L374" s="13"/>
    </row>
    <row r="375" spans="1:12" x14ac:dyDescent="0.25">
      <c r="A375" s="12">
        <v>46169</v>
      </c>
      <c r="B375" s="68" t="s">
        <v>22</v>
      </c>
      <c r="C375" s="13" t="s">
        <v>65</v>
      </c>
      <c r="D375" s="14">
        <v>1</v>
      </c>
      <c r="E375" s="15">
        <v>8</v>
      </c>
      <c r="F375" s="15">
        <f>Tabla8[[#This Row],[CANTIDAD]]*Tabla8[[#This Row],[PRECIO]]</f>
        <v>8</v>
      </c>
      <c r="G375" s="13" t="s">
        <v>22</v>
      </c>
      <c r="H375" s="13"/>
      <c r="I375" s="13" t="str">
        <f t="shared" si="18"/>
        <v>MAYO</v>
      </c>
      <c r="J375" s="13">
        <f t="shared" si="19"/>
        <v>2026</v>
      </c>
      <c r="K375" s="13" t="s">
        <v>27</v>
      </c>
      <c r="L375" s="13"/>
    </row>
    <row r="376" spans="1:12" x14ac:dyDescent="0.25">
      <c r="A376" s="12">
        <v>46169</v>
      </c>
      <c r="B376" s="68" t="s">
        <v>22</v>
      </c>
      <c r="C376" s="13" t="s">
        <v>65</v>
      </c>
      <c r="D376" s="14">
        <v>1</v>
      </c>
      <c r="E376" s="15">
        <v>4.3499999999999996</v>
      </c>
      <c r="F376" s="15">
        <f>Tabla8[[#This Row],[CANTIDAD]]*Tabla8[[#This Row],[PRECIO]]</f>
        <v>4.3499999999999996</v>
      </c>
      <c r="G376" s="13" t="s">
        <v>22</v>
      </c>
      <c r="H376" s="13"/>
      <c r="I376" s="13" t="str">
        <f t="shared" si="18"/>
        <v>MAYO</v>
      </c>
      <c r="J376" s="13">
        <f t="shared" si="19"/>
        <v>2026</v>
      </c>
      <c r="K376" s="13" t="s">
        <v>27</v>
      </c>
      <c r="L376" s="13"/>
    </row>
    <row r="377" spans="1:12" x14ac:dyDescent="0.25">
      <c r="A377" s="12">
        <v>46170</v>
      </c>
      <c r="B377" s="68" t="s">
        <v>22</v>
      </c>
      <c r="C377" s="13" t="s">
        <v>65</v>
      </c>
      <c r="D377" s="14">
        <v>1</v>
      </c>
      <c r="E377" s="15">
        <v>4.8499999999999996</v>
      </c>
      <c r="F377" s="15">
        <f>Tabla8[[#This Row],[CANTIDAD]]*Tabla8[[#This Row],[PRECIO]]</f>
        <v>4.8499999999999996</v>
      </c>
      <c r="G377" s="13" t="s">
        <v>142</v>
      </c>
      <c r="H377" s="13"/>
      <c r="I377" s="13" t="str">
        <f t="shared" si="18"/>
        <v>MAYO</v>
      </c>
      <c r="J377" s="13">
        <f t="shared" si="19"/>
        <v>2026</v>
      </c>
      <c r="K377" s="13" t="s">
        <v>18</v>
      </c>
      <c r="L377" s="13"/>
    </row>
    <row r="378" spans="1:12" x14ac:dyDescent="0.25">
      <c r="A378" s="12">
        <v>46170</v>
      </c>
      <c r="B378" s="68" t="s">
        <v>67</v>
      </c>
      <c r="C378" s="13" t="s">
        <v>66</v>
      </c>
      <c r="D378" s="14">
        <v>1</v>
      </c>
      <c r="E378" s="15">
        <v>82.54</v>
      </c>
      <c r="F378" s="15">
        <f>Tabla8[[#This Row],[CANTIDAD]]*Tabla8[[#This Row],[PRECIO]]</f>
        <v>82.54</v>
      </c>
      <c r="G378" s="13" t="s">
        <v>763</v>
      </c>
      <c r="H378" s="13"/>
      <c r="I378" s="13" t="str">
        <f t="shared" si="18"/>
        <v>MAYO</v>
      </c>
      <c r="J378" s="13">
        <f t="shared" si="19"/>
        <v>2026</v>
      </c>
      <c r="K378" s="13" t="s">
        <v>27</v>
      </c>
      <c r="L378" s="13"/>
    </row>
    <row r="379" spans="1:12" x14ac:dyDescent="0.25">
      <c r="A379" s="12">
        <v>46171</v>
      </c>
      <c r="B379" s="68" t="s">
        <v>22</v>
      </c>
      <c r="C379" s="13" t="s">
        <v>65</v>
      </c>
      <c r="D379" s="14">
        <v>1</v>
      </c>
      <c r="E379" s="15">
        <v>9</v>
      </c>
      <c r="F379" s="15">
        <f>Tabla8[[#This Row],[CANTIDAD]]*Tabla8[[#This Row],[PRECIO]]</f>
        <v>9</v>
      </c>
      <c r="G379" s="13" t="s">
        <v>751</v>
      </c>
      <c r="H379" s="13"/>
      <c r="I379" s="13" t="str">
        <f t="shared" si="18"/>
        <v>MAYO</v>
      </c>
      <c r="J379" s="13">
        <f t="shared" si="19"/>
        <v>2026</v>
      </c>
      <c r="K379" s="13" t="s">
        <v>18</v>
      </c>
      <c r="L379" s="13"/>
    </row>
    <row r="380" spans="1:12" x14ac:dyDescent="0.25">
      <c r="A380" s="12">
        <v>46174</v>
      </c>
      <c r="B380" s="68" t="s">
        <v>22</v>
      </c>
      <c r="C380" s="13" t="s">
        <v>65</v>
      </c>
      <c r="D380" s="14">
        <v>1</v>
      </c>
      <c r="E380" s="15">
        <v>15</v>
      </c>
      <c r="F380" s="15">
        <f>Tabla8[[#This Row],[CANTIDAD]]*Tabla8[[#This Row],[PRECIO]]</f>
        <v>15</v>
      </c>
      <c r="G380" s="13" t="s">
        <v>625</v>
      </c>
      <c r="H380" s="13"/>
      <c r="I380" s="13" t="str">
        <f t="shared" ref="I380:I383" si="20">UPPER(TEXT(A380,"MMMM"))</f>
        <v>JUNIO</v>
      </c>
      <c r="J380" s="13">
        <f t="shared" ref="J380:J383" si="21">+YEAR(A380)</f>
        <v>2026</v>
      </c>
      <c r="K380" s="13" t="s">
        <v>18</v>
      </c>
      <c r="L380" s="13"/>
    </row>
    <row r="381" spans="1:12" x14ac:dyDescent="0.25">
      <c r="A381" s="12">
        <v>46174</v>
      </c>
      <c r="B381" s="68" t="s">
        <v>22</v>
      </c>
      <c r="C381" s="13" t="s">
        <v>65</v>
      </c>
      <c r="D381" s="14">
        <v>1</v>
      </c>
      <c r="E381" s="15">
        <v>2.75</v>
      </c>
      <c r="F381" s="15">
        <f>Tabla8[[#This Row],[CANTIDAD]]*Tabla8[[#This Row],[PRECIO]]</f>
        <v>2.75</v>
      </c>
      <c r="G381" s="13" t="s">
        <v>751</v>
      </c>
      <c r="H381" s="13"/>
      <c r="I381" s="13" t="str">
        <f t="shared" si="20"/>
        <v>JUNIO</v>
      </c>
      <c r="J381" s="13">
        <f t="shared" si="21"/>
        <v>2026</v>
      </c>
      <c r="K381" s="13" t="s">
        <v>18</v>
      </c>
      <c r="L381" s="13"/>
    </row>
    <row r="382" spans="1:12" x14ac:dyDescent="0.25">
      <c r="A382" s="12">
        <v>46174</v>
      </c>
      <c r="B382" s="68" t="s">
        <v>67</v>
      </c>
      <c r="C382" s="13" t="s">
        <v>65</v>
      </c>
      <c r="D382" s="14">
        <v>1</v>
      </c>
      <c r="E382" s="15">
        <v>31.78</v>
      </c>
      <c r="F382" s="15">
        <f>Tabla8[[#This Row],[CANTIDAD]]*Tabla8[[#This Row],[PRECIO]]</f>
        <v>31.78</v>
      </c>
      <c r="G382" s="13" t="s">
        <v>773</v>
      </c>
      <c r="H382" s="13"/>
      <c r="I382" s="13" t="str">
        <f t="shared" si="20"/>
        <v>JUNIO</v>
      </c>
      <c r="J382" s="13">
        <f t="shared" si="21"/>
        <v>2026</v>
      </c>
      <c r="K382" s="13" t="s">
        <v>18</v>
      </c>
      <c r="L382" s="13"/>
    </row>
    <row r="383" spans="1:12" x14ac:dyDescent="0.25">
      <c r="A383" s="12">
        <v>46175</v>
      </c>
      <c r="B383" s="68" t="s">
        <v>22</v>
      </c>
      <c r="C383" s="13" t="s">
        <v>65</v>
      </c>
      <c r="D383" s="14">
        <v>1</v>
      </c>
      <c r="E383" s="15">
        <v>5</v>
      </c>
      <c r="F383" s="15">
        <f>Tabla8[[#This Row],[CANTIDAD]]*Tabla8[[#This Row],[PRECIO]]</f>
        <v>5</v>
      </c>
      <c r="G383" s="13" t="s">
        <v>22</v>
      </c>
      <c r="H383" s="13"/>
      <c r="I383" s="13" t="str">
        <f t="shared" si="20"/>
        <v>JUNIO</v>
      </c>
      <c r="J383" s="13">
        <f t="shared" si="21"/>
        <v>2026</v>
      </c>
      <c r="K383" s="13" t="s">
        <v>18</v>
      </c>
      <c r="L383" s="13"/>
    </row>
    <row r="384" spans="1:12" x14ac:dyDescent="0.25">
      <c r="A384" s="12">
        <v>46177</v>
      </c>
      <c r="B384" s="68" t="s">
        <v>22</v>
      </c>
      <c r="C384" s="13" t="s">
        <v>65</v>
      </c>
      <c r="D384" s="14">
        <v>1</v>
      </c>
      <c r="E384" s="15">
        <v>10</v>
      </c>
      <c r="F384" s="15">
        <f>Tabla8[[#This Row],[CANTIDAD]]*Tabla8[[#This Row],[PRECIO]]</f>
        <v>10</v>
      </c>
      <c r="G384" s="13" t="s">
        <v>22</v>
      </c>
      <c r="H384" s="13"/>
      <c r="I384" s="13" t="str">
        <f t="shared" ref="I384:I387" si="22">UPPER(TEXT(A384,"MMMM"))</f>
        <v>JUNIO</v>
      </c>
      <c r="J384" s="13">
        <f t="shared" ref="J384:J387" si="23">+YEAR(A384)</f>
        <v>2026</v>
      </c>
      <c r="K384" s="13" t="s">
        <v>18</v>
      </c>
      <c r="L384" s="13"/>
    </row>
    <row r="385" spans="1:12" x14ac:dyDescent="0.25">
      <c r="A385" s="12">
        <v>46177</v>
      </c>
      <c r="B385" s="68" t="s">
        <v>25</v>
      </c>
      <c r="C385" s="13" t="s">
        <v>66</v>
      </c>
      <c r="D385" s="14">
        <v>1</v>
      </c>
      <c r="E385" s="15">
        <v>60</v>
      </c>
      <c r="F385" s="15">
        <f>Tabla8[[#This Row],[CANTIDAD]]*Tabla8[[#This Row],[PRECIO]]</f>
        <v>60</v>
      </c>
      <c r="G385" s="13" t="s">
        <v>310</v>
      </c>
      <c r="H385" s="13"/>
      <c r="I385" s="13" t="str">
        <f t="shared" si="22"/>
        <v>JUNIO</v>
      </c>
      <c r="J385" s="13">
        <f t="shared" si="23"/>
        <v>2026</v>
      </c>
      <c r="K385" s="13" t="s">
        <v>18</v>
      </c>
      <c r="L385" s="13"/>
    </row>
    <row r="386" spans="1:12" x14ac:dyDescent="0.25">
      <c r="A386" s="12">
        <v>46177</v>
      </c>
      <c r="B386" s="68" t="s">
        <v>19</v>
      </c>
      <c r="C386" s="13" t="s">
        <v>66</v>
      </c>
      <c r="D386" s="14">
        <v>1</v>
      </c>
      <c r="E386" s="15">
        <v>2.5</v>
      </c>
      <c r="F386" s="15">
        <f>Tabla8[[#This Row],[CANTIDAD]]*Tabla8[[#This Row],[PRECIO]]</f>
        <v>2.5</v>
      </c>
      <c r="G386" s="13" t="s">
        <v>19</v>
      </c>
      <c r="H386" s="13"/>
      <c r="I386" s="13" t="str">
        <f t="shared" si="22"/>
        <v>JUNIO</v>
      </c>
      <c r="J386" s="13">
        <f t="shared" si="23"/>
        <v>2026</v>
      </c>
      <c r="K386" s="13" t="s">
        <v>18</v>
      </c>
      <c r="L386" s="13"/>
    </row>
    <row r="387" spans="1:12" x14ac:dyDescent="0.25">
      <c r="A387" s="12">
        <v>46179</v>
      </c>
      <c r="B387" s="68"/>
      <c r="C387" s="13"/>
      <c r="D387" s="14"/>
      <c r="E387" s="15"/>
      <c r="F387" s="15">
        <f>Tabla8[[#This Row],[CANTIDAD]]*Tabla8[[#This Row],[PRECIO]]</f>
        <v>0</v>
      </c>
      <c r="G387" s="13"/>
      <c r="H387" s="13"/>
      <c r="I387" s="13" t="str">
        <f t="shared" si="22"/>
        <v>JUNIO</v>
      </c>
      <c r="J387" s="13">
        <f t="shared" si="23"/>
        <v>2026</v>
      </c>
      <c r="K387" s="13"/>
      <c r="L387" s="13"/>
    </row>
  </sheetData>
  <mergeCells count="2">
    <mergeCell ref="A1:F1"/>
    <mergeCell ref="G1:M1"/>
  </mergeCells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BC9DC5-4471-4687-BEDA-B403C62CC340}">
          <x14:formula1>
            <xm:f>'CUENTAS CONTABLES'!$I$5:$I$14</xm:f>
          </x14:formula1>
          <xm:sqref>C4:C60</xm:sqref>
        </x14:dataValidation>
        <x14:dataValidation type="list" allowBlank="1" showInputMessage="1" showErrorMessage="1" xr:uid="{8F588F84-8A4B-41EE-9C5F-F36AD168E1CE}">
          <x14:formula1>
            <xm:f>'CUENTAS CONTABLES'!$C$5:$C$15</xm:f>
          </x14:formula1>
          <xm:sqref>B4:B387</xm:sqref>
        </x14:dataValidation>
        <x14:dataValidation type="list" allowBlank="1" showInputMessage="1" showErrorMessage="1" xr:uid="{1B36022B-D017-4A30-A926-A6D8157B0AF1}">
          <x14:formula1>
            <xm:f>'CUENTAS CONTABLES'!$G$5:$G$11</xm:f>
          </x14:formula1>
          <xm:sqref>K4:K387</xm:sqref>
        </x14:dataValidation>
        <x14:dataValidation type="list" allowBlank="1" showInputMessage="1" showErrorMessage="1" xr:uid="{A72FD84C-357E-493F-B119-CCBA33DC70B9}">
          <x14:formula1>
            <xm:f>'CUENTAS CONTABLES'!$I$5:$I$20</xm:f>
          </x14:formula1>
          <xm:sqref>C61:C70</xm:sqref>
        </x14:dataValidation>
        <x14:dataValidation type="list" allowBlank="1" showInputMessage="1" showErrorMessage="1" xr:uid="{D9578BA0-1D35-445A-A66C-E7B592E08F05}">
          <x14:formula1>
            <xm:f>'CUENTAS CONTABLES'!$I$5:$I$35</xm:f>
          </x14:formula1>
          <xm:sqref>C71:C114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03EB6-1078-45F0-84C1-88A2A401D697}">
  <dimension ref="A1:I80"/>
  <sheetViews>
    <sheetView topLeftCell="A46" workbookViewId="0">
      <selection activeCell="A69" sqref="A69"/>
    </sheetView>
  </sheetViews>
  <sheetFormatPr baseColWidth="10" defaultRowHeight="15" x14ac:dyDescent="0.25"/>
  <cols>
    <col min="2" max="2" width="20.140625" customWidth="1"/>
    <col min="3" max="3" width="16.140625" customWidth="1"/>
    <col min="4" max="4" width="10.5703125" customWidth="1"/>
    <col min="5" max="5" width="44.28515625" customWidth="1"/>
    <col min="6" max="6" width="17.7109375" customWidth="1"/>
    <col min="7" max="7" width="20" customWidth="1"/>
    <col min="8" max="8" width="18" customWidth="1"/>
    <col min="11" max="11" width="14.85546875" customWidth="1"/>
  </cols>
  <sheetData>
    <row r="1" spans="1:9" ht="48" customHeight="1" x14ac:dyDescent="0.25">
      <c r="A1" s="70"/>
      <c r="B1" s="70"/>
      <c r="C1" s="70"/>
      <c r="D1" s="70"/>
      <c r="E1" s="83" t="s">
        <v>388</v>
      </c>
      <c r="F1" s="83"/>
      <c r="G1" s="83"/>
      <c r="H1" s="83"/>
      <c r="I1" s="83"/>
    </row>
    <row r="3" spans="1:9" x14ac:dyDescent="0.25">
      <c r="A3" s="71" t="s">
        <v>1</v>
      </c>
      <c r="B3" s="71" t="s">
        <v>2</v>
      </c>
      <c r="C3" s="71" t="s">
        <v>61</v>
      </c>
      <c r="D3" s="71" t="s">
        <v>354</v>
      </c>
      <c r="E3" s="71" t="s">
        <v>58</v>
      </c>
      <c r="F3" s="71" t="s">
        <v>59</v>
      </c>
      <c r="G3" s="71" t="s">
        <v>7</v>
      </c>
      <c r="H3" s="71" t="s">
        <v>8</v>
      </c>
      <c r="I3" s="71" t="s">
        <v>10</v>
      </c>
    </row>
    <row r="4" spans="1:9" x14ac:dyDescent="0.25">
      <c r="A4" s="12">
        <v>46028</v>
      </c>
      <c r="B4" s="12" t="s">
        <v>352</v>
      </c>
      <c r="C4" s="13" t="s">
        <v>63</v>
      </c>
      <c r="D4" s="15">
        <v>25.9</v>
      </c>
      <c r="E4" s="13" t="s">
        <v>355</v>
      </c>
      <c r="F4" s="13">
        <v>62352</v>
      </c>
      <c r="G4" s="13" t="str">
        <f t="shared" ref="G4:G35" si="0">UPPER(TEXT(A4,"MMMM"))</f>
        <v>ENERO</v>
      </c>
      <c r="H4" s="13">
        <f t="shared" ref="H4:H35" si="1">+YEAR(A4)</f>
        <v>2026</v>
      </c>
      <c r="I4" s="13"/>
    </row>
    <row r="5" spans="1:9" x14ac:dyDescent="0.25">
      <c r="A5" s="12">
        <v>46028</v>
      </c>
      <c r="B5" s="12" t="s">
        <v>352</v>
      </c>
      <c r="C5" s="13" t="s">
        <v>63</v>
      </c>
      <c r="D5" s="15">
        <v>31.51</v>
      </c>
      <c r="E5" s="13" t="s">
        <v>356</v>
      </c>
      <c r="F5" s="13">
        <v>62355</v>
      </c>
      <c r="G5" s="13" t="str">
        <f t="shared" si="0"/>
        <v>ENERO</v>
      </c>
      <c r="H5" s="13">
        <f t="shared" si="1"/>
        <v>2026</v>
      </c>
      <c r="I5" s="13"/>
    </row>
    <row r="6" spans="1:9" x14ac:dyDescent="0.25">
      <c r="A6" s="12">
        <v>46029</v>
      </c>
      <c r="B6" s="12" t="s">
        <v>352</v>
      </c>
      <c r="C6" s="13" t="s">
        <v>63</v>
      </c>
      <c r="D6" s="15">
        <v>29.26</v>
      </c>
      <c r="E6" s="13" t="s">
        <v>357</v>
      </c>
      <c r="F6" s="13">
        <v>62416</v>
      </c>
      <c r="G6" s="13" t="str">
        <f t="shared" si="0"/>
        <v>ENERO</v>
      </c>
      <c r="H6" s="13">
        <f t="shared" si="1"/>
        <v>2026</v>
      </c>
      <c r="I6" s="13"/>
    </row>
    <row r="7" spans="1:9" x14ac:dyDescent="0.25">
      <c r="A7" s="12">
        <v>46029</v>
      </c>
      <c r="B7" s="12" t="s">
        <v>352</v>
      </c>
      <c r="C7" s="13" t="s">
        <v>63</v>
      </c>
      <c r="D7" s="15">
        <v>31.35</v>
      </c>
      <c r="E7" s="13" t="s">
        <v>358</v>
      </c>
      <c r="F7" s="13">
        <v>62425</v>
      </c>
      <c r="G7" s="13" t="str">
        <f t="shared" si="0"/>
        <v>ENERO</v>
      </c>
      <c r="H7" s="13">
        <f t="shared" si="1"/>
        <v>2026</v>
      </c>
      <c r="I7" s="13"/>
    </row>
    <row r="8" spans="1:9" x14ac:dyDescent="0.25">
      <c r="A8" s="12">
        <v>46029</v>
      </c>
      <c r="B8" s="12" t="s">
        <v>352</v>
      </c>
      <c r="C8" s="13" t="s">
        <v>63</v>
      </c>
      <c r="D8" s="15">
        <v>23.9</v>
      </c>
      <c r="E8" s="13" t="s">
        <v>359</v>
      </c>
      <c r="F8" s="13">
        <v>62427</v>
      </c>
      <c r="G8" s="13" t="str">
        <f t="shared" si="0"/>
        <v>ENERO</v>
      </c>
      <c r="H8" s="13">
        <f t="shared" si="1"/>
        <v>2026</v>
      </c>
      <c r="I8" s="13"/>
    </row>
    <row r="9" spans="1:9" x14ac:dyDescent="0.25">
      <c r="A9" s="12">
        <v>46030</v>
      </c>
      <c r="B9" s="12" t="s">
        <v>352</v>
      </c>
      <c r="C9" s="13" t="s">
        <v>376</v>
      </c>
      <c r="D9" s="15">
        <v>24.15</v>
      </c>
      <c r="E9" s="13" t="s">
        <v>381</v>
      </c>
      <c r="F9" s="13">
        <v>928780</v>
      </c>
      <c r="G9" s="13" t="str">
        <f t="shared" si="0"/>
        <v>ENERO</v>
      </c>
      <c r="H9" s="13">
        <f t="shared" si="1"/>
        <v>2026</v>
      </c>
      <c r="I9" s="13"/>
    </row>
    <row r="10" spans="1:9" x14ac:dyDescent="0.25">
      <c r="A10" s="12">
        <v>46030</v>
      </c>
      <c r="B10" s="12" t="s">
        <v>352</v>
      </c>
      <c r="C10" s="13" t="s">
        <v>376</v>
      </c>
      <c r="D10" s="15">
        <v>41.4</v>
      </c>
      <c r="E10" s="13" t="s">
        <v>382</v>
      </c>
      <c r="F10" s="13">
        <v>92782</v>
      </c>
      <c r="G10" s="13" t="str">
        <f t="shared" si="0"/>
        <v>ENERO</v>
      </c>
      <c r="H10" s="13">
        <f t="shared" si="1"/>
        <v>2026</v>
      </c>
      <c r="I10" s="13"/>
    </row>
    <row r="11" spans="1:9" x14ac:dyDescent="0.25">
      <c r="A11" s="12">
        <v>46031</v>
      </c>
      <c r="B11" s="12" t="s">
        <v>352</v>
      </c>
      <c r="C11" s="13" t="s">
        <v>63</v>
      </c>
      <c r="D11" s="15">
        <v>2.1</v>
      </c>
      <c r="E11" s="13" t="s">
        <v>364</v>
      </c>
      <c r="F11" s="13">
        <v>62552</v>
      </c>
      <c r="G11" s="13" t="str">
        <f t="shared" si="0"/>
        <v>ENERO</v>
      </c>
      <c r="H11" s="13">
        <f t="shared" si="1"/>
        <v>2026</v>
      </c>
      <c r="I11" s="13"/>
    </row>
    <row r="12" spans="1:9" x14ac:dyDescent="0.25">
      <c r="A12" s="12">
        <v>46031</v>
      </c>
      <c r="B12" s="12" t="s">
        <v>353</v>
      </c>
      <c r="C12" s="13" t="s">
        <v>389</v>
      </c>
      <c r="D12" s="15">
        <v>52.23</v>
      </c>
      <c r="E12" s="13" t="s">
        <v>393</v>
      </c>
      <c r="F12" s="13">
        <v>2354</v>
      </c>
      <c r="G12" s="13" t="str">
        <f t="shared" si="0"/>
        <v>ENERO</v>
      </c>
      <c r="H12" s="13">
        <f t="shared" si="1"/>
        <v>2026</v>
      </c>
      <c r="I12" s="13"/>
    </row>
    <row r="13" spans="1:9" x14ac:dyDescent="0.25">
      <c r="A13" s="12">
        <v>46032</v>
      </c>
      <c r="B13" s="12" t="s">
        <v>352</v>
      </c>
      <c r="C13" s="13" t="s">
        <v>63</v>
      </c>
      <c r="D13" s="15">
        <v>2.6</v>
      </c>
      <c r="E13" s="13" t="s">
        <v>365</v>
      </c>
      <c r="F13" s="13">
        <v>62590</v>
      </c>
      <c r="G13" s="13" t="str">
        <f t="shared" si="0"/>
        <v>ENERO</v>
      </c>
      <c r="H13" s="13">
        <f t="shared" si="1"/>
        <v>2026</v>
      </c>
      <c r="I13" s="13"/>
    </row>
    <row r="14" spans="1:9" x14ac:dyDescent="0.25">
      <c r="A14" s="12">
        <v>46034</v>
      </c>
      <c r="B14" s="12" t="s">
        <v>352</v>
      </c>
      <c r="C14" s="13" t="s">
        <v>63</v>
      </c>
      <c r="D14" s="15">
        <v>1</v>
      </c>
      <c r="E14" s="13" t="s">
        <v>364</v>
      </c>
      <c r="F14" s="13">
        <v>62630</v>
      </c>
      <c r="G14" s="13" t="str">
        <f t="shared" si="0"/>
        <v>ENERO</v>
      </c>
      <c r="H14" s="13">
        <f t="shared" si="1"/>
        <v>2026</v>
      </c>
      <c r="I14" s="13"/>
    </row>
    <row r="15" spans="1:9" x14ac:dyDescent="0.25">
      <c r="A15" s="12">
        <v>46034</v>
      </c>
      <c r="B15" s="12" t="s">
        <v>352</v>
      </c>
      <c r="C15" s="13" t="s">
        <v>63</v>
      </c>
      <c r="D15" s="15">
        <v>27</v>
      </c>
      <c r="E15" s="13" t="s">
        <v>377</v>
      </c>
      <c r="F15" s="13">
        <v>62660</v>
      </c>
      <c r="G15" s="13" t="str">
        <f t="shared" si="0"/>
        <v>ENERO</v>
      </c>
      <c r="H15" s="13">
        <f t="shared" si="1"/>
        <v>2026</v>
      </c>
      <c r="I15" s="13"/>
    </row>
    <row r="16" spans="1:9" x14ac:dyDescent="0.25">
      <c r="A16" s="12">
        <v>46034</v>
      </c>
      <c r="B16" s="12" t="s">
        <v>352</v>
      </c>
      <c r="C16" s="13" t="s">
        <v>63</v>
      </c>
      <c r="D16" s="15">
        <v>23.99</v>
      </c>
      <c r="E16" s="13" t="s">
        <v>378</v>
      </c>
      <c r="F16" s="13">
        <v>62669</v>
      </c>
      <c r="G16" s="13" t="str">
        <f t="shared" si="0"/>
        <v>ENERO</v>
      </c>
      <c r="H16" s="13">
        <f t="shared" si="1"/>
        <v>2026</v>
      </c>
      <c r="I16" s="13"/>
    </row>
    <row r="17" spans="1:9" x14ac:dyDescent="0.25">
      <c r="A17" s="12">
        <v>46034</v>
      </c>
      <c r="B17" s="12" t="s">
        <v>353</v>
      </c>
      <c r="C17" s="13" t="s">
        <v>389</v>
      </c>
      <c r="D17" s="15">
        <v>75.23</v>
      </c>
      <c r="E17" s="13" t="s">
        <v>391</v>
      </c>
      <c r="F17" s="13">
        <v>2383</v>
      </c>
      <c r="G17" s="13" t="str">
        <f t="shared" si="0"/>
        <v>ENERO</v>
      </c>
      <c r="H17" s="13">
        <f t="shared" si="1"/>
        <v>2026</v>
      </c>
      <c r="I17" s="13"/>
    </row>
    <row r="18" spans="1:9" x14ac:dyDescent="0.25">
      <c r="A18" s="12">
        <v>46035</v>
      </c>
      <c r="B18" s="12" t="s">
        <v>352</v>
      </c>
      <c r="C18" s="13" t="s">
        <v>63</v>
      </c>
      <c r="D18" s="15">
        <v>15.25</v>
      </c>
      <c r="E18" s="13" t="s">
        <v>360</v>
      </c>
      <c r="F18" s="13">
        <v>62697</v>
      </c>
      <c r="G18" s="13" t="str">
        <f t="shared" si="0"/>
        <v>ENERO</v>
      </c>
      <c r="H18" s="13">
        <f t="shared" si="1"/>
        <v>2026</v>
      </c>
      <c r="I18" s="13"/>
    </row>
    <row r="19" spans="1:9" x14ac:dyDescent="0.25">
      <c r="A19" s="12">
        <v>46035</v>
      </c>
      <c r="B19" s="12" t="s">
        <v>352</v>
      </c>
      <c r="C19" s="13" t="s">
        <v>63</v>
      </c>
      <c r="D19" s="15">
        <v>1.45</v>
      </c>
      <c r="E19" s="13" t="s">
        <v>363</v>
      </c>
      <c r="F19" s="13">
        <v>62729</v>
      </c>
      <c r="G19" s="13" t="str">
        <f t="shared" si="0"/>
        <v>ENERO</v>
      </c>
      <c r="H19" s="13">
        <f t="shared" si="1"/>
        <v>2026</v>
      </c>
      <c r="I19" s="13"/>
    </row>
    <row r="20" spans="1:9" x14ac:dyDescent="0.25">
      <c r="A20" s="12">
        <v>46035</v>
      </c>
      <c r="B20" s="12" t="s">
        <v>352</v>
      </c>
      <c r="C20" s="13" t="s">
        <v>376</v>
      </c>
      <c r="D20" s="15">
        <v>98.9</v>
      </c>
      <c r="E20" s="13" t="s">
        <v>383</v>
      </c>
      <c r="F20" s="13">
        <v>930327</v>
      </c>
      <c r="G20" s="13" t="str">
        <f t="shared" si="0"/>
        <v>ENERO</v>
      </c>
      <c r="H20" s="13">
        <f t="shared" si="1"/>
        <v>2026</v>
      </c>
      <c r="I20" s="13"/>
    </row>
    <row r="21" spans="1:9" x14ac:dyDescent="0.25">
      <c r="A21" s="12">
        <v>46036</v>
      </c>
      <c r="B21" s="12" t="s">
        <v>352</v>
      </c>
      <c r="C21" s="13" t="s">
        <v>63</v>
      </c>
      <c r="D21" s="15">
        <v>2.69</v>
      </c>
      <c r="E21" s="13" t="s">
        <v>366</v>
      </c>
      <c r="F21" s="13">
        <v>62763</v>
      </c>
      <c r="G21" s="13" t="str">
        <f t="shared" si="0"/>
        <v>ENERO</v>
      </c>
      <c r="H21" s="13">
        <f t="shared" si="1"/>
        <v>2026</v>
      </c>
      <c r="I21" s="13"/>
    </row>
    <row r="22" spans="1:9" x14ac:dyDescent="0.25">
      <c r="A22" s="12">
        <v>46036</v>
      </c>
      <c r="B22" s="12" t="s">
        <v>352</v>
      </c>
      <c r="C22" s="13" t="s">
        <v>63</v>
      </c>
      <c r="D22" s="15">
        <v>23.9</v>
      </c>
      <c r="E22" s="13" t="s">
        <v>380</v>
      </c>
      <c r="F22" s="13">
        <v>62771</v>
      </c>
      <c r="G22" s="13" t="str">
        <f t="shared" si="0"/>
        <v>ENERO</v>
      </c>
      <c r="H22" s="13">
        <f t="shared" si="1"/>
        <v>2026</v>
      </c>
      <c r="I22" s="13"/>
    </row>
    <row r="23" spans="1:9" x14ac:dyDescent="0.25">
      <c r="A23" s="12">
        <v>46036</v>
      </c>
      <c r="B23" s="12" t="s">
        <v>353</v>
      </c>
      <c r="C23" s="13" t="s">
        <v>389</v>
      </c>
      <c r="D23" s="15">
        <v>46.21</v>
      </c>
      <c r="E23" s="13" t="s">
        <v>392</v>
      </c>
      <c r="F23" s="13">
        <v>2529</v>
      </c>
      <c r="G23" s="13" t="str">
        <f t="shared" si="0"/>
        <v>ENERO</v>
      </c>
      <c r="H23" s="13">
        <f t="shared" si="1"/>
        <v>2026</v>
      </c>
      <c r="I23" s="13"/>
    </row>
    <row r="24" spans="1:9" x14ac:dyDescent="0.25">
      <c r="A24" s="12">
        <v>46036</v>
      </c>
      <c r="B24" s="12" t="s">
        <v>353</v>
      </c>
      <c r="C24" s="13" t="s">
        <v>389</v>
      </c>
      <c r="D24" s="15">
        <v>82.56</v>
      </c>
      <c r="E24" s="13" t="s">
        <v>394</v>
      </c>
      <c r="F24" s="13">
        <v>2570</v>
      </c>
      <c r="G24" s="13" t="str">
        <f t="shared" si="0"/>
        <v>ENERO</v>
      </c>
      <c r="H24" s="13">
        <f t="shared" si="1"/>
        <v>2026</v>
      </c>
      <c r="I24" s="13"/>
    </row>
    <row r="25" spans="1:9" x14ac:dyDescent="0.25">
      <c r="A25" s="12">
        <v>46036</v>
      </c>
      <c r="B25" s="12" t="s">
        <v>353</v>
      </c>
      <c r="C25" s="13" t="s">
        <v>389</v>
      </c>
      <c r="D25" s="15">
        <v>46.21</v>
      </c>
      <c r="E25" s="13" t="s">
        <v>395</v>
      </c>
      <c r="F25" s="13">
        <v>46.21</v>
      </c>
      <c r="G25" s="13" t="str">
        <f t="shared" si="0"/>
        <v>ENERO</v>
      </c>
      <c r="H25" s="13">
        <f t="shared" si="1"/>
        <v>2026</v>
      </c>
      <c r="I25" s="13"/>
    </row>
    <row r="26" spans="1:9" x14ac:dyDescent="0.25">
      <c r="A26" s="12">
        <v>46037</v>
      </c>
      <c r="B26" s="12" t="s">
        <v>352</v>
      </c>
      <c r="C26" s="13" t="s">
        <v>63</v>
      </c>
      <c r="D26" s="15">
        <v>5.76</v>
      </c>
      <c r="E26" s="13" t="s">
        <v>158</v>
      </c>
      <c r="F26" s="13">
        <v>62832</v>
      </c>
      <c r="G26" s="13" t="str">
        <f t="shared" si="0"/>
        <v>ENERO</v>
      </c>
      <c r="H26" s="13">
        <f t="shared" si="1"/>
        <v>2026</v>
      </c>
      <c r="I26" s="13"/>
    </row>
    <row r="27" spans="1:9" x14ac:dyDescent="0.25">
      <c r="A27" s="12">
        <v>46038</v>
      </c>
      <c r="B27" s="12" t="s">
        <v>352</v>
      </c>
      <c r="C27" s="13" t="s">
        <v>63</v>
      </c>
      <c r="D27" s="15">
        <v>27</v>
      </c>
      <c r="E27" s="13" t="s">
        <v>379</v>
      </c>
      <c r="F27" s="13">
        <v>62869</v>
      </c>
      <c r="G27" s="13" t="str">
        <f t="shared" si="0"/>
        <v>ENERO</v>
      </c>
      <c r="H27" s="13">
        <f t="shared" si="1"/>
        <v>2026</v>
      </c>
      <c r="I27" s="13"/>
    </row>
    <row r="28" spans="1:9" x14ac:dyDescent="0.25">
      <c r="A28" s="12">
        <v>46038</v>
      </c>
      <c r="B28" s="12" t="s">
        <v>352</v>
      </c>
      <c r="C28" s="13" t="s">
        <v>376</v>
      </c>
      <c r="D28" s="15">
        <v>128.80000000000001</v>
      </c>
      <c r="E28" s="13" t="s">
        <v>384</v>
      </c>
      <c r="F28" s="13">
        <v>931867</v>
      </c>
      <c r="G28" s="13" t="str">
        <f t="shared" si="0"/>
        <v>ENERO</v>
      </c>
      <c r="H28" s="13">
        <f t="shared" si="1"/>
        <v>2026</v>
      </c>
      <c r="I28" s="13"/>
    </row>
    <row r="29" spans="1:9" x14ac:dyDescent="0.25">
      <c r="A29" s="12">
        <v>46039</v>
      </c>
      <c r="B29" s="12" t="s">
        <v>352</v>
      </c>
      <c r="C29" s="13" t="s">
        <v>63</v>
      </c>
      <c r="D29" s="15">
        <v>31.6</v>
      </c>
      <c r="E29" s="13" t="s">
        <v>367</v>
      </c>
      <c r="F29" s="13">
        <v>62892</v>
      </c>
      <c r="G29" s="13" t="str">
        <f t="shared" si="0"/>
        <v>ENERO</v>
      </c>
      <c r="H29" s="13">
        <f t="shared" si="1"/>
        <v>2026</v>
      </c>
      <c r="I29" s="13"/>
    </row>
    <row r="30" spans="1:9" x14ac:dyDescent="0.25">
      <c r="A30" s="12">
        <v>46039</v>
      </c>
      <c r="B30" s="12" t="s">
        <v>352</v>
      </c>
      <c r="C30" s="13" t="s">
        <v>63</v>
      </c>
      <c r="D30" s="15">
        <v>1.75</v>
      </c>
      <c r="E30" s="13" t="s">
        <v>364</v>
      </c>
      <c r="F30" s="13">
        <v>62893</v>
      </c>
      <c r="G30" s="13" t="str">
        <f t="shared" si="0"/>
        <v>ENERO</v>
      </c>
      <c r="H30" s="13">
        <f t="shared" si="1"/>
        <v>2026</v>
      </c>
      <c r="I30" s="13"/>
    </row>
    <row r="31" spans="1:9" x14ac:dyDescent="0.25">
      <c r="A31" s="12">
        <v>46039</v>
      </c>
      <c r="B31" s="12" t="s">
        <v>352</v>
      </c>
      <c r="C31" s="13" t="s">
        <v>376</v>
      </c>
      <c r="D31" s="15">
        <v>1.04</v>
      </c>
      <c r="E31" s="13" t="s">
        <v>385</v>
      </c>
      <c r="F31" s="13">
        <v>931948</v>
      </c>
      <c r="G31" s="13" t="str">
        <f t="shared" si="0"/>
        <v>ENERO</v>
      </c>
      <c r="H31" s="13">
        <f t="shared" si="1"/>
        <v>2026</v>
      </c>
      <c r="I31" s="13"/>
    </row>
    <row r="32" spans="1:9" x14ac:dyDescent="0.25">
      <c r="A32" s="12">
        <v>46041</v>
      </c>
      <c r="B32" s="12" t="s">
        <v>352</v>
      </c>
      <c r="C32" s="13" t="s">
        <v>63</v>
      </c>
      <c r="D32" s="15">
        <v>52.3</v>
      </c>
      <c r="E32" s="13" t="s">
        <v>368</v>
      </c>
      <c r="F32" s="13">
        <v>62931</v>
      </c>
      <c r="G32" s="13" t="str">
        <f t="shared" si="0"/>
        <v>ENERO</v>
      </c>
      <c r="H32" s="13">
        <f t="shared" si="1"/>
        <v>2026</v>
      </c>
      <c r="I32" s="13"/>
    </row>
    <row r="33" spans="1:9" x14ac:dyDescent="0.25">
      <c r="A33" s="12">
        <v>46042</v>
      </c>
      <c r="B33" s="12" t="s">
        <v>352</v>
      </c>
      <c r="C33" s="13" t="s">
        <v>63</v>
      </c>
      <c r="D33" s="15">
        <v>2</v>
      </c>
      <c r="E33" s="13" t="s">
        <v>369</v>
      </c>
      <c r="F33" s="13">
        <v>62997</v>
      </c>
      <c r="G33" s="13" t="str">
        <f t="shared" si="0"/>
        <v>ENERO</v>
      </c>
      <c r="H33" s="13">
        <f t="shared" si="1"/>
        <v>2026</v>
      </c>
      <c r="I33" s="13"/>
    </row>
    <row r="34" spans="1:9" x14ac:dyDescent="0.25">
      <c r="A34" s="12">
        <v>46043</v>
      </c>
      <c r="B34" s="12" t="s">
        <v>352</v>
      </c>
      <c r="C34" s="13" t="s">
        <v>63</v>
      </c>
      <c r="D34" s="15">
        <v>10.9</v>
      </c>
      <c r="E34" s="13" t="s">
        <v>371</v>
      </c>
      <c r="F34" s="13">
        <v>63058</v>
      </c>
      <c r="G34" s="13" t="str">
        <f t="shared" si="0"/>
        <v>ENERO</v>
      </c>
      <c r="H34" s="13">
        <f t="shared" si="1"/>
        <v>2026</v>
      </c>
      <c r="I34" s="13"/>
    </row>
    <row r="35" spans="1:9" x14ac:dyDescent="0.25">
      <c r="A35" s="12">
        <v>46043</v>
      </c>
      <c r="B35" s="12" t="s">
        <v>352</v>
      </c>
      <c r="C35" s="13" t="s">
        <v>63</v>
      </c>
      <c r="D35" s="15">
        <v>15</v>
      </c>
      <c r="E35" s="13" t="s">
        <v>370</v>
      </c>
      <c r="F35" s="13">
        <v>63064</v>
      </c>
      <c r="G35" s="13" t="str">
        <f t="shared" si="0"/>
        <v>ENERO</v>
      </c>
      <c r="H35" s="13">
        <f t="shared" si="1"/>
        <v>2026</v>
      </c>
      <c r="I35" s="13"/>
    </row>
    <row r="36" spans="1:9" x14ac:dyDescent="0.25">
      <c r="A36" s="12">
        <v>46044</v>
      </c>
      <c r="B36" s="12" t="s">
        <v>352</v>
      </c>
      <c r="C36" s="13" t="s">
        <v>63</v>
      </c>
      <c r="D36" s="15">
        <v>4</v>
      </c>
      <c r="E36" s="13" t="s">
        <v>372</v>
      </c>
      <c r="F36" s="13">
        <v>63110</v>
      </c>
      <c r="G36" s="13" t="str">
        <f t="shared" ref="G36:G72" si="2">UPPER(TEXT(A36,"MMMM"))</f>
        <v>ENERO</v>
      </c>
      <c r="H36" s="13">
        <f t="shared" ref="H36:H72" si="3">+YEAR(A36)</f>
        <v>2026</v>
      </c>
      <c r="I36" s="13"/>
    </row>
    <row r="37" spans="1:9" x14ac:dyDescent="0.25">
      <c r="A37" s="12">
        <v>46044</v>
      </c>
      <c r="B37" s="12" t="s">
        <v>352</v>
      </c>
      <c r="C37" s="13" t="s">
        <v>376</v>
      </c>
      <c r="D37" s="15">
        <v>128.80000000000001</v>
      </c>
      <c r="E37" s="13" t="s">
        <v>386</v>
      </c>
      <c r="F37" s="13">
        <v>934091</v>
      </c>
      <c r="G37" s="13" t="str">
        <f t="shared" si="2"/>
        <v>ENERO</v>
      </c>
      <c r="H37" s="13">
        <f t="shared" si="3"/>
        <v>2026</v>
      </c>
      <c r="I37" s="13"/>
    </row>
    <row r="38" spans="1:9" x14ac:dyDescent="0.25">
      <c r="A38" s="12">
        <v>46045</v>
      </c>
      <c r="B38" s="12" t="s">
        <v>352</v>
      </c>
      <c r="C38" s="13" t="s">
        <v>376</v>
      </c>
      <c r="D38" s="15">
        <v>57.5</v>
      </c>
      <c r="E38" s="13" t="s">
        <v>387</v>
      </c>
      <c r="F38" s="13">
        <v>934523</v>
      </c>
      <c r="G38" s="13" t="str">
        <f t="shared" si="2"/>
        <v>ENERO</v>
      </c>
      <c r="H38" s="13">
        <f t="shared" si="3"/>
        <v>2026</v>
      </c>
      <c r="I38" s="13"/>
    </row>
    <row r="39" spans="1:9" x14ac:dyDescent="0.25">
      <c r="A39" s="12">
        <v>46051</v>
      </c>
      <c r="B39" s="12" t="s">
        <v>352</v>
      </c>
      <c r="C39" s="13" t="s">
        <v>63</v>
      </c>
      <c r="D39" s="15">
        <v>31.5</v>
      </c>
      <c r="E39" s="13" t="s">
        <v>373</v>
      </c>
      <c r="F39" s="13">
        <v>63413</v>
      </c>
      <c r="G39" s="13" t="str">
        <f t="shared" si="2"/>
        <v>ENERO</v>
      </c>
      <c r="H39" s="13">
        <f t="shared" si="3"/>
        <v>2026</v>
      </c>
      <c r="I39" s="13"/>
    </row>
    <row r="40" spans="1:9" x14ac:dyDescent="0.25">
      <c r="A40" s="12">
        <v>46051</v>
      </c>
      <c r="B40" s="12" t="s">
        <v>352</v>
      </c>
      <c r="C40" s="13" t="s">
        <v>63</v>
      </c>
      <c r="D40" s="15">
        <v>5.5</v>
      </c>
      <c r="E40" s="13" t="s">
        <v>374</v>
      </c>
      <c r="F40" s="13">
        <v>63418</v>
      </c>
      <c r="G40" s="13" t="str">
        <f t="shared" si="2"/>
        <v>ENERO</v>
      </c>
      <c r="H40" s="13">
        <f t="shared" si="3"/>
        <v>2026</v>
      </c>
      <c r="I40" s="13"/>
    </row>
    <row r="41" spans="1:9" x14ac:dyDescent="0.25">
      <c r="A41" s="12">
        <v>46051</v>
      </c>
      <c r="B41" s="12" t="s">
        <v>352</v>
      </c>
      <c r="C41" s="13" t="s">
        <v>63</v>
      </c>
      <c r="D41" s="15">
        <v>4.3</v>
      </c>
      <c r="E41" s="13" t="s">
        <v>375</v>
      </c>
      <c r="F41" s="13">
        <v>63431</v>
      </c>
      <c r="G41" s="13" t="str">
        <f t="shared" si="2"/>
        <v>ENERO</v>
      </c>
      <c r="H41" s="13">
        <f t="shared" si="3"/>
        <v>2026</v>
      </c>
      <c r="I41" s="13"/>
    </row>
    <row r="42" spans="1:9" x14ac:dyDescent="0.25">
      <c r="A42" s="12">
        <v>46057</v>
      </c>
      <c r="B42" s="12" t="s">
        <v>352</v>
      </c>
      <c r="C42" s="13" t="s">
        <v>63</v>
      </c>
      <c r="D42" s="15">
        <v>22.49</v>
      </c>
      <c r="E42" s="13" t="s">
        <v>516</v>
      </c>
      <c r="F42" s="13">
        <v>63682</v>
      </c>
      <c r="G42" s="13" t="str">
        <f t="shared" si="2"/>
        <v>FEBRERO</v>
      </c>
      <c r="H42" s="13">
        <f t="shared" si="3"/>
        <v>2026</v>
      </c>
      <c r="I42" s="13"/>
    </row>
    <row r="43" spans="1:9" x14ac:dyDescent="0.25">
      <c r="A43" s="12">
        <v>46058</v>
      </c>
      <c r="B43" s="12" t="s">
        <v>352</v>
      </c>
      <c r="C43" s="13" t="s">
        <v>63</v>
      </c>
      <c r="D43" s="15">
        <v>20.52</v>
      </c>
      <c r="E43" s="13" t="s">
        <v>517</v>
      </c>
      <c r="F43" s="13">
        <v>63735</v>
      </c>
      <c r="G43" s="13" t="str">
        <f t="shared" si="2"/>
        <v>FEBRERO</v>
      </c>
      <c r="H43" s="13">
        <f t="shared" si="3"/>
        <v>2026</v>
      </c>
      <c r="I43" s="13"/>
    </row>
    <row r="44" spans="1:9" x14ac:dyDescent="0.25">
      <c r="A44" s="12">
        <v>46058</v>
      </c>
      <c r="B44" s="12" t="s">
        <v>352</v>
      </c>
      <c r="C44" s="13" t="s">
        <v>63</v>
      </c>
      <c r="D44" s="15" t="s">
        <v>505</v>
      </c>
      <c r="E44" s="13" t="s">
        <v>518</v>
      </c>
      <c r="F44" s="13">
        <v>63735</v>
      </c>
      <c r="G44" s="13" t="str">
        <f t="shared" si="2"/>
        <v>FEBRERO</v>
      </c>
      <c r="H44" s="13">
        <f t="shared" si="3"/>
        <v>2026</v>
      </c>
      <c r="I44" s="13"/>
    </row>
    <row r="45" spans="1:9" x14ac:dyDescent="0.25">
      <c r="A45" s="12">
        <v>46059</v>
      </c>
      <c r="B45" s="12" t="s">
        <v>352</v>
      </c>
      <c r="C45" s="13" t="s">
        <v>63</v>
      </c>
      <c r="D45" s="15">
        <v>2.4</v>
      </c>
      <c r="E45" s="13" t="s">
        <v>514</v>
      </c>
      <c r="F45" s="13">
        <v>63809</v>
      </c>
      <c r="G45" s="13" t="str">
        <f t="shared" si="2"/>
        <v>FEBRERO</v>
      </c>
      <c r="H45" s="13">
        <f t="shared" si="3"/>
        <v>2026</v>
      </c>
      <c r="I45" s="13"/>
    </row>
    <row r="46" spans="1:9" x14ac:dyDescent="0.25">
      <c r="A46" s="12">
        <v>46059</v>
      </c>
      <c r="B46" s="12" t="s">
        <v>352</v>
      </c>
      <c r="C46" s="13" t="s">
        <v>63</v>
      </c>
      <c r="D46" s="15">
        <v>5.41</v>
      </c>
      <c r="E46" s="13" t="s">
        <v>515</v>
      </c>
      <c r="F46" s="13">
        <v>63785</v>
      </c>
      <c r="G46" s="13" t="str">
        <f t="shared" si="2"/>
        <v>FEBRERO</v>
      </c>
      <c r="H46" s="13">
        <f t="shared" si="3"/>
        <v>2026</v>
      </c>
      <c r="I46" s="13"/>
    </row>
    <row r="47" spans="1:9" x14ac:dyDescent="0.25">
      <c r="A47" s="76">
        <v>46059</v>
      </c>
      <c r="B47" s="12" t="s">
        <v>352</v>
      </c>
      <c r="C47" s="13" t="s">
        <v>376</v>
      </c>
      <c r="D47" s="15">
        <v>55.2</v>
      </c>
      <c r="E47" s="13" t="s">
        <v>554</v>
      </c>
      <c r="F47">
        <v>939548</v>
      </c>
      <c r="G47" s="13" t="str">
        <f t="shared" si="2"/>
        <v>FEBRERO</v>
      </c>
      <c r="H47" s="13">
        <f t="shared" si="3"/>
        <v>2026</v>
      </c>
      <c r="I47" s="13"/>
    </row>
    <row r="48" spans="1:9" x14ac:dyDescent="0.25">
      <c r="A48" s="12">
        <v>46060</v>
      </c>
      <c r="B48" s="12" t="s">
        <v>352</v>
      </c>
      <c r="C48" s="13" t="s">
        <v>63</v>
      </c>
      <c r="D48" s="15">
        <v>5.41</v>
      </c>
      <c r="E48" s="13" t="s">
        <v>513</v>
      </c>
      <c r="F48" s="13">
        <v>63871</v>
      </c>
      <c r="G48" s="13" t="str">
        <f t="shared" si="2"/>
        <v>FEBRERO</v>
      </c>
      <c r="H48" s="13">
        <f t="shared" si="3"/>
        <v>2026</v>
      </c>
      <c r="I48" s="13"/>
    </row>
    <row r="49" spans="1:9" x14ac:dyDescent="0.25">
      <c r="A49" s="12">
        <v>46063</v>
      </c>
      <c r="B49" s="12" t="s">
        <v>352</v>
      </c>
      <c r="C49" s="13" t="s">
        <v>63</v>
      </c>
      <c r="D49" s="15">
        <v>3.99</v>
      </c>
      <c r="E49" s="13" t="s">
        <v>509</v>
      </c>
      <c r="F49" s="13">
        <v>63974</v>
      </c>
      <c r="G49" s="13" t="str">
        <f t="shared" si="2"/>
        <v>FEBRERO</v>
      </c>
      <c r="H49" s="13">
        <f t="shared" si="3"/>
        <v>2026</v>
      </c>
      <c r="I49" s="13"/>
    </row>
    <row r="50" spans="1:9" x14ac:dyDescent="0.25">
      <c r="A50" s="12">
        <v>46065</v>
      </c>
      <c r="B50" s="12" t="s">
        <v>352</v>
      </c>
      <c r="C50" s="13" t="s">
        <v>63</v>
      </c>
      <c r="D50" s="15" t="s">
        <v>505</v>
      </c>
      <c r="E50" s="13" t="s">
        <v>506</v>
      </c>
      <c r="F50" s="13">
        <v>54053</v>
      </c>
      <c r="G50" s="13" t="str">
        <f t="shared" si="2"/>
        <v>FEBRERO</v>
      </c>
      <c r="H50" s="13">
        <f t="shared" si="3"/>
        <v>2026</v>
      </c>
      <c r="I50" s="13"/>
    </row>
    <row r="51" spans="1:9" x14ac:dyDescent="0.25">
      <c r="A51" s="12">
        <v>46065</v>
      </c>
      <c r="B51" s="12" t="s">
        <v>352</v>
      </c>
      <c r="C51" s="13" t="s">
        <v>63</v>
      </c>
      <c r="D51" s="15">
        <v>9.89</v>
      </c>
      <c r="E51" s="13" t="s">
        <v>508</v>
      </c>
      <c r="F51" s="13">
        <v>54058</v>
      </c>
      <c r="G51" s="13" t="str">
        <f t="shared" si="2"/>
        <v>FEBRERO</v>
      </c>
      <c r="H51" s="13">
        <f t="shared" si="3"/>
        <v>2026</v>
      </c>
      <c r="I51" s="13"/>
    </row>
    <row r="52" spans="1:9" x14ac:dyDescent="0.25">
      <c r="A52" s="12">
        <v>46067</v>
      </c>
      <c r="B52" s="12" t="s">
        <v>352</v>
      </c>
      <c r="C52" s="13" t="s">
        <v>63</v>
      </c>
      <c r="D52" s="15">
        <v>62.01</v>
      </c>
      <c r="E52" s="13" t="s">
        <v>507</v>
      </c>
      <c r="F52" s="13">
        <v>54142</v>
      </c>
      <c r="G52" s="13" t="str">
        <f t="shared" si="2"/>
        <v>FEBRERO</v>
      </c>
      <c r="H52" s="13">
        <f t="shared" si="3"/>
        <v>2026</v>
      </c>
      <c r="I52" s="13"/>
    </row>
    <row r="53" spans="1:9" x14ac:dyDescent="0.25">
      <c r="A53" s="12">
        <v>46067</v>
      </c>
      <c r="B53" s="12" t="s">
        <v>352</v>
      </c>
      <c r="C53" s="13" t="s">
        <v>63</v>
      </c>
      <c r="D53" s="15" t="s">
        <v>505</v>
      </c>
      <c r="E53" s="13" t="s">
        <v>111</v>
      </c>
      <c r="F53" s="13">
        <v>54142</v>
      </c>
      <c r="G53" s="13" t="str">
        <f t="shared" si="2"/>
        <v>FEBRERO</v>
      </c>
      <c r="H53" s="13">
        <f t="shared" si="3"/>
        <v>2026</v>
      </c>
      <c r="I53" s="13"/>
    </row>
    <row r="54" spans="1:9" x14ac:dyDescent="0.25">
      <c r="A54" s="12">
        <v>46071</v>
      </c>
      <c r="B54" s="12" t="s">
        <v>352</v>
      </c>
      <c r="C54" s="13" t="s">
        <v>376</v>
      </c>
      <c r="D54" s="15">
        <v>115</v>
      </c>
      <c r="E54" s="13" t="s">
        <v>555</v>
      </c>
      <c r="F54" s="13">
        <v>942678</v>
      </c>
      <c r="G54" s="13" t="str">
        <f t="shared" si="2"/>
        <v>FEBRERO</v>
      </c>
      <c r="H54" s="13">
        <f t="shared" si="3"/>
        <v>2026</v>
      </c>
      <c r="I54" s="13"/>
    </row>
    <row r="55" spans="1:9" x14ac:dyDescent="0.25">
      <c r="A55" s="12">
        <v>46072</v>
      </c>
      <c r="B55" s="12" t="s">
        <v>352</v>
      </c>
      <c r="C55" s="13" t="s">
        <v>63</v>
      </c>
      <c r="D55" s="15">
        <v>13.31</v>
      </c>
      <c r="E55" s="13" t="s">
        <v>512</v>
      </c>
      <c r="F55" s="13">
        <v>10013571</v>
      </c>
      <c r="G55" s="13" t="str">
        <f t="shared" si="2"/>
        <v>FEBRERO</v>
      </c>
      <c r="H55" s="13">
        <f t="shared" si="3"/>
        <v>2026</v>
      </c>
      <c r="I55" s="13"/>
    </row>
    <row r="56" spans="1:9" x14ac:dyDescent="0.25">
      <c r="A56" s="12">
        <v>46072</v>
      </c>
      <c r="B56" s="12" t="s">
        <v>353</v>
      </c>
      <c r="C56" s="13" t="s">
        <v>389</v>
      </c>
      <c r="D56" s="15">
        <v>46.21</v>
      </c>
      <c r="E56" s="13" t="s">
        <v>519</v>
      </c>
      <c r="F56" s="13">
        <v>81002</v>
      </c>
      <c r="G56" s="13" t="str">
        <f t="shared" si="2"/>
        <v>FEBRERO</v>
      </c>
      <c r="H56" s="13">
        <f t="shared" si="3"/>
        <v>2026</v>
      </c>
      <c r="I56" s="13"/>
    </row>
    <row r="57" spans="1:9" x14ac:dyDescent="0.25">
      <c r="A57" s="12">
        <v>46072</v>
      </c>
      <c r="B57" s="12" t="s">
        <v>353</v>
      </c>
      <c r="C57" s="13" t="s">
        <v>389</v>
      </c>
      <c r="D57" s="15">
        <v>51.21</v>
      </c>
      <c r="E57" s="13" t="s">
        <v>519</v>
      </c>
      <c r="F57" s="13">
        <v>81001</v>
      </c>
      <c r="G57" s="13" t="str">
        <f t="shared" si="2"/>
        <v>FEBRERO</v>
      </c>
      <c r="H57" s="13">
        <f t="shared" si="3"/>
        <v>2026</v>
      </c>
      <c r="I57" s="13"/>
    </row>
    <row r="58" spans="1:9" x14ac:dyDescent="0.25">
      <c r="A58" s="12">
        <v>46073</v>
      </c>
      <c r="B58" s="12" t="s">
        <v>352</v>
      </c>
      <c r="C58" s="13" t="s">
        <v>63</v>
      </c>
      <c r="D58" s="15">
        <v>22.1</v>
      </c>
      <c r="E58" s="13" t="s">
        <v>504</v>
      </c>
      <c r="F58" s="13">
        <v>10013590</v>
      </c>
      <c r="G58" s="13" t="str">
        <f t="shared" si="2"/>
        <v>FEBRERO</v>
      </c>
      <c r="H58" s="13">
        <f t="shared" si="3"/>
        <v>2026</v>
      </c>
      <c r="I58" s="13"/>
    </row>
    <row r="59" spans="1:9" x14ac:dyDescent="0.25">
      <c r="A59" s="12">
        <v>46073</v>
      </c>
      <c r="B59" s="12" t="s">
        <v>352</v>
      </c>
      <c r="C59" s="13" t="s">
        <v>63</v>
      </c>
      <c r="D59" s="15">
        <v>27</v>
      </c>
      <c r="E59" s="13" t="s">
        <v>510</v>
      </c>
      <c r="F59" s="13">
        <v>10013603</v>
      </c>
      <c r="G59" s="13" t="str">
        <f t="shared" si="2"/>
        <v>FEBRERO</v>
      </c>
      <c r="H59" s="13">
        <f t="shared" si="3"/>
        <v>2026</v>
      </c>
      <c r="I59" s="13"/>
    </row>
    <row r="60" spans="1:9" x14ac:dyDescent="0.25">
      <c r="A60" s="12">
        <v>46073</v>
      </c>
      <c r="B60" s="12" t="s">
        <v>352</v>
      </c>
      <c r="C60" s="13" t="s">
        <v>63</v>
      </c>
      <c r="D60" s="15">
        <v>11.01</v>
      </c>
      <c r="E60" s="13" t="s">
        <v>511</v>
      </c>
      <c r="F60" s="13">
        <v>10013604</v>
      </c>
      <c r="G60" s="13" t="str">
        <f t="shared" si="2"/>
        <v>FEBRERO</v>
      </c>
      <c r="H60" s="13">
        <f t="shared" si="3"/>
        <v>2026</v>
      </c>
      <c r="I60" s="13"/>
    </row>
    <row r="61" spans="1:9" x14ac:dyDescent="0.25">
      <c r="A61" s="73">
        <v>46074</v>
      </c>
      <c r="B61" s="12" t="s">
        <v>353</v>
      </c>
      <c r="C61" s="13" t="s">
        <v>390</v>
      </c>
      <c r="D61" s="15">
        <v>10</v>
      </c>
      <c r="E61" s="13" t="s">
        <v>521</v>
      </c>
      <c r="F61" s="13">
        <v>8565</v>
      </c>
      <c r="G61" s="13" t="str">
        <f t="shared" si="2"/>
        <v>FEBRERO</v>
      </c>
      <c r="H61" s="13">
        <f t="shared" si="3"/>
        <v>2026</v>
      </c>
      <c r="I61" s="13"/>
    </row>
    <row r="62" spans="1:9" x14ac:dyDescent="0.25">
      <c r="A62" s="12">
        <v>46077</v>
      </c>
      <c r="B62" s="12" t="s">
        <v>352</v>
      </c>
      <c r="C62" s="13" t="s">
        <v>376</v>
      </c>
      <c r="D62" s="15">
        <v>110.4</v>
      </c>
      <c r="E62" s="13" t="s">
        <v>556</v>
      </c>
      <c r="F62" s="13">
        <v>945145</v>
      </c>
      <c r="G62" s="13" t="str">
        <f t="shared" si="2"/>
        <v>FEBRERO</v>
      </c>
      <c r="H62" s="13">
        <f t="shared" si="3"/>
        <v>2026</v>
      </c>
      <c r="I62" s="13"/>
    </row>
    <row r="63" spans="1:9" x14ac:dyDescent="0.25">
      <c r="A63" s="12">
        <v>46079</v>
      </c>
      <c r="B63" s="12" t="s">
        <v>352</v>
      </c>
      <c r="C63" s="13" t="s">
        <v>63</v>
      </c>
      <c r="D63" s="15">
        <v>7.05</v>
      </c>
      <c r="E63" s="13" t="s">
        <v>520</v>
      </c>
      <c r="F63" s="13">
        <v>13684</v>
      </c>
      <c r="G63" s="13" t="str">
        <f t="shared" si="2"/>
        <v>FEBRERO</v>
      </c>
      <c r="H63" s="13">
        <f t="shared" si="3"/>
        <v>2026</v>
      </c>
      <c r="I63" s="13"/>
    </row>
    <row r="64" spans="1:9" x14ac:dyDescent="0.25">
      <c r="A64" s="12">
        <v>46079</v>
      </c>
      <c r="B64" s="12" t="s">
        <v>353</v>
      </c>
      <c r="C64" s="13" t="s">
        <v>389</v>
      </c>
      <c r="D64" s="15">
        <v>46.21</v>
      </c>
      <c r="E64" s="13" t="s">
        <v>557</v>
      </c>
      <c r="F64" s="13">
        <v>3798</v>
      </c>
      <c r="G64" s="13" t="str">
        <f t="shared" si="2"/>
        <v>FEBRERO</v>
      </c>
      <c r="H64" s="13">
        <f t="shared" si="3"/>
        <v>2026</v>
      </c>
      <c r="I64" s="13"/>
    </row>
    <row r="65" spans="1:9" x14ac:dyDescent="0.25">
      <c r="A65" s="12">
        <v>46079</v>
      </c>
      <c r="B65" s="12" t="s">
        <v>353</v>
      </c>
      <c r="C65" s="13" t="s">
        <v>389</v>
      </c>
      <c r="D65" s="15">
        <v>41.07</v>
      </c>
      <c r="E65" s="13" t="s">
        <v>558</v>
      </c>
      <c r="F65" s="13">
        <v>3800</v>
      </c>
      <c r="G65" s="13" t="str">
        <f t="shared" si="2"/>
        <v>FEBRERO</v>
      </c>
      <c r="H65" s="13">
        <f t="shared" si="3"/>
        <v>2026</v>
      </c>
      <c r="I65" s="13"/>
    </row>
    <row r="66" spans="1:9" x14ac:dyDescent="0.25">
      <c r="A66" s="12">
        <v>46079</v>
      </c>
      <c r="B66" s="12" t="s">
        <v>353</v>
      </c>
      <c r="C66" s="13" t="s">
        <v>389</v>
      </c>
      <c r="D66" s="15">
        <v>51.21</v>
      </c>
      <c r="E66" s="13" t="s">
        <v>559</v>
      </c>
      <c r="F66" s="13">
        <v>3797</v>
      </c>
      <c r="G66" s="13" t="str">
        <f t="shared" si="2"/>
        <v>FEBRERO</v>
      </c>
      <c r="H66" s="13">
        <f t="shared" si="3"/>
        <v>2026</v>
      </c>
      <c r="I66" s="13"/>
    </row>
    <row r="67" spans="1:9" x14ac:dyDescent="0.25">
      <c r="A67" s="12">
        <v>46079</v>
      </c>
      <c r="B67" s="12" t="s">
        <v>353</v>
      </c>
      <c r="C67" s="13" t="s">
        <v>389</v>
      </c>
      <c r="D67" s="15">
        <v>46.21</v>
      </c>
      <c r="E67" s="13" t="s">
        <v>560</v>
      </c>
      <c r="F67" s="13">
        <v>3799</v>
      </c>
      <c r="G67" s="13" t="str">
        <f t="shared" si="2"/>
        <v>FEBRERO</v>
      </c>
      <c r="H67" s="13">
        <f t="shared" si="3"/>
        <v>2026</v>
      </c>
      <c r="I67" s="13"/>
    </row>
    <row r="68" spans="1:9" x14ac:dyDescent="0.25">
      <c r="A68" s="12">
        <v>46083</v>
      </c>
      <c r="B68" s="12"/>
      <c r="C68" s="13"/>
      <c r="D68" s="15"/>
      <c r="E68" s="13"/>
      <c r="F68" s="13"/>
      <c r="G68" s="13" t="str">
        <f t="shared" si="2"/>
        <v>MARZO</v>
      </c>
      <c r="H68" s="13">
        <f t="shared" si="3"/>
        <v>2026</v>
      </c>
      <c r="I68" s="13"/>
    </row>
    <row r="69" spans="1:9" x14ac:dyDescent="0.25">
      <c r="A69" s="12">
        <v>46084</v>
      </c>
      <c r="B69" s="12" t="s">
        <v>352</v>
      </c>
      <c r="C69" s="13" t="s">
        <v>63</v>
      </c>
      <c r="D69" s="15">
        <v>23.9</v>
      </c>
      <c r="E69" s="13" t="s">
        <v>561</v>
      </c>
      <c r="F69" s="13">
        <v>64776</v>
      </c>
      <c r="G69" s="13" t="str">
        <f t="shared" si="2"/>
        <v>MARZO</v>
      </c>
      <c r="H69" s="13">
        <f t="shared" si="3"/>
        <v>2026</v>
      </c>
      <c r="I69" s="13"/>
    </row>
    <row r="70" spans="1:9" x14ac:dyDescent="0.25">
      <c r="A70" s="12">
        <v>46084</v>
      </c>
      <c r="B70" s="12"/>
      <c r="C70" s="13"/>
      <c r="D70" s="15"/>
      <c r="E70" s="13"/>
      <c r="F70" s="13"/>
      <c r="G70" s="13" t="str">
        <f t="shared" si="2"/>
        <v>MARZO</v>
      </c>
      <c r="H70" s="13">
        <f t="shared" si="3"/>
        <v>2026</v>
      </c>
      <c r="I70" s="13"/>
    </row>
    <row r="71" spans="1:9" x14ac:dyDescent="0.25">
      <c r="A71" s="12">
        <v>46085</v>
      </c>
      <c r="B71" s="12"/>
      <c r="C71" s="13"/>
      <c r="D71" s="15"/>
      <c r="E71" s="13"/>
      <c r="F71" s="13"/>
      <c r="G71" s="13" t="str">
        <f t="shared" si="2"/>
        <v>MARZO</v>
      </c>
      <c r="H71" s="13">
        <f t="shared" si="3"/>
        <v>2026</v>
      </c>
      <c r="I71" s="13"/>
    </row>
    <row r="72" spans="1:9" x14ac:dyDescent="0.25">
      <c r="A72" s="12">
        <v>46086</v>
      </c>
      <c r="B72" s="12"/>
      <c r="C72" s="13"/>
      <c r="D72" s="15"/>
      <c r="E72" s="13"/>
      <c r="F72" s="13"/>
      <c r="G72" s="13" t="str">
        <f t="shared" si="2"/>
        <v>MARZO</v>
      </c>
      <c r="H72" s="13">
        <f t="shared" si="3"/>
        <v>2026</v>
      </c>
      <c r="I72" s="13"/>
    </row>
    <row r="73" spans="1:9" x14ac:dyDescent="0.25">
      <c r="A73" s="73"/>
      <c r="H73">
        <v>2026</v>
      </c>
    </row>
    <row r="74" spans="1:9" x14ac:dyDescent="0.25">
      <c r="A74" s="73"/>
    </row>
    <row r="75" spans="1:9" x14ac:dyDescent="0.25">
      <c r="A75" s="73"/>
    </row>
    <row r="76" spans="1:9" x14ac:dyDescent="0.25">
      <c r="A76" s="73"/>
    </row>
    <row r="77" spans="1:9" x14ac:dyDescent="0.25">
      <c r="A77" s="73"/>
    </row>
    <row r="78" spans="1:9" x14ac:dyDescent="0.25">
      <c r="A78" s="73"/>
    </row>
    <row r="79" spans="1:9" x14ac:dyDescent="0.25">
      <c r="A79" s="73"/>
    </row>
    <row r="80" spans="1:9" x14ac:dyDescent="0.25">
      <c r="A80" s="73"/>
    </row>
  </sheetData>
  <mergeCells count="1">
    <mergeCell ref="E1:I1"/>
  </mergeCell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7CB4943-ED86-4313-8CC1-8C7B20841883}">
          <x14:formula1>
            <xm:f>'CUENTAS CONTABLES'!$G$5:$G$11</xm:f>
          </x14:formula1>
          <xm:sqref>I4:I72</xm:sqref>
        </x14:dataValidation>
        <x14:dataValidation type="list" allowBlank="1" showInputMessage="1" showErrorMessage="1" xr:uid="{8620FF43-DE67-476D-B6AC-D554E7BA4EFD}">
          <x14:formula1>
            <xm:f>'CUENTAS CONTABLES'!$K$4:$K$7</xm:f>
          </x14:formula1>
          <xm:sqref>B4:B72</xm:sqref>
        </x14:dataValidation>
        <x14:dataValidation type="list" allowBlank="1" showInputMessage="1" showErrorMessage="1" xr:uid="{0CDDC51C-AF0D-41D6-BBAF-92F65C104A94}">
          <x14:formula1>
            <xm:f>'CUENTAS CONTABLES'!$I$5:$I$17</xm:f>
          </x14:formula1>
          <xm:sqref>C4:C72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692FD-9A7D-49BA-8BEC-150E627BCB0C}">
  <dimension ref="A1:N41"/>
  <sheetViews>
    <sheetView topLeftCell="A12" workbookViewId="0">
      <selection activeCell="D40" sqref="D40"/>
    </sheetView>
  </sheetViews>
  <sheetFormatPr baseColWidth="10" defaultRowHeight="15" x14ac:dyDescent="0.25"/>
  <cols>
    <col min="2" max="2" width="13.85546875" customWidth="1"/>
  </cols>
  <sheetData>
    <row r="1" spans="1:14" ht="35.450000000000003" customHeight="1" x14ac:dyDescent="0.25">
      <c r="A1" s="80"/>
      <c r="B1" s="80"/>
      <c r="C1" s="80"/>
      <c r="D1" s="80"/>
      <c r="E1" s="80"/>
      <c r="F1" s="80"/>
    </row>
    <row r="3" spans="1:14" ht="14.45" customHeight="1" x14ac:dyDescent="0.25">
      <c r="A3" s="84" t="s">
        <v>8</v>
      </c>
      <c r="B3" s="86" t="s">
        <v>39</v>
      </c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</row>
    <row r="4" spans="1:14" ht="14.45" customHeight="1" x14ac:dyDescent="0.25">
      <c r="A4" s="85"/>
      <c r="B4" s="88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</row>
    <row r="5" spans="1:14" x14ac:dyDescent="0.25">
      <c r="A5" s="5">
        <v>2026</v>
      </c>
      <c r="B5" s="5" t="s">
        <v>56</v>
      </c>
      <c r="C5" s="6" t="s">
        <v>40</v>
      </c>
      <c r="D5" s="6" t="s">
        <v>41</v>
      </c>
      <c r="E5" s="6" t="s">
        <v>42</v>
      </c>
      <c r="F5" s="6" t="s">
        <v>43</v>
      </c>
      <c r="G5" s="6" t="s">
        <v>44</v>
      </c>
      <c r="H5" s="6" t="s">
        <v>45</v>
      </c>
      <c r="I5" s="6" t="s">
        <v>46</v>
      </c>
      <c r="J5" s="6" t="s">
        <v>47</v>
      </c>
      <c r="K5" s="6" t="s">
        <v>48</v>
      </c>
      <c r="L5" s="6" t="s">
        <v>49</v>
      </c>
      <c r="M5" s="6" t="s">
        <v>50</v>
      </c>
      <c r="N5" s="6" t="s">
        <v>51</v>
      </c>
    </row>
    <row r="6" spans="1:14" x14ac:dyDescent="0.25">
      <c r="A6" s="7" t="s">
        <v>52</v>
      </c>
      <c r="B6" s="7" t="s">
        <v>18</v>
      </c>
      <c r="C6" s="7">
        <f>SUMIFS(Tabla5[INGRESO],Tabla5[MES],'RESUMEN 1'!C5,Tabla5[AÑO],'RESUMEN 1'!A5,Tabla5[TIPO DE PAGO],'RESUMEN 1'!B6)</f>
        <v>6101.86</v>
      </c>
      <c r="D6" s="7">
        <f>SUMIFS(Tabla5[INGRESO],Tabla5[MES],'RESUMEN 1'!D5,Tabla5[AÑO],'RESUMEN 1'!A5,Tabla5[TIPO DE PAGO],'RESUMEN 1'!B6)</f>
        <v>2220</v>
      </c>
      <c r="E6" s="7"/>
      <c r="F6" s="7"/>
      <c r="G6" s="7"/>
      <c r="H6" s="7"/>
      <c r="I6" s="7"/>
      <c r="J6" s="7"/>
      <c r="K6" s="7"/>
      <c r="L6" s="7">
        <f>SUMIFS(Tabla5[INGRESO],Tabla5[MES],'RESUMEN 1'!L5,Tabla5[AÑO],'RESUMEN 1'!A5,Tabla5[TIPO DE PAGO],'RESUMEN 1'!B6)</f>
        <v>0</v>
      </c>
      <c r="M6" s="7">
        <f>SUMIFS(Tabla5[INGRESO],Tabla5[MES],'RESUMEN 1'!M5,Tabla5[AÑO],'RESUMEN 1'!A5,Tabla5[TIPO DE PAGO],'RESUMEN 1'!B6)</f>
        <v>0</v>
      </c>
      <c r="N6" s="7"/>
    </row>
    <row r="7" spans="1:14" x14ac:dyDescent="0.25">
      <c r="A7" s="7" t="s">
        <v>52</v>
      </c>
      <c r="B7" s="7" t="s">
        <v>20</v>
      </c>
      <c r="C7" s="7">
        <f>SUMIFS(Tabla5[INGRESO],Tabla5[MES],'RESUMEN 1'!C5,Tabla5[AÑO],'RESUMEN 1'!A5,Tabla5[TIPO DE PAGO],'RESUMEN 1'!B7)</f>
        <v>0</v>
      </c>
      <c r="D7" s="7"/>
      <c r="E7" s="7"/>
      <c r="F7" s="7"/>
      <c r="G7" s="7"/>
      <c r="H7" s="7"/>
      <c r="I7" s="7"/>
      <c r="J7" s="7"/>
      <c r="K7" s="7"/>
      <c r="L7" s="7">
        <f>SUMIFS(Tabla5[INGRESO],Tabla5[MES],'RESUMEN 1'!L5,Tabla5[AÑO],'RESUMEN 1'!A5,Tabla5[TIPO DE PAGO],'RESUMEN 1'!B7)</f>
        <v>0</v>
      </c>
      <c r="M7" s="7">
        <f>SUMIFS(Tabla5[INGRESO],Tabla5[MES],'RESUMEN 1'!M5,Tabla5[AÑO],'RESUMEN 1'!A5,Tabla5[TIPO DE PAGO],'RESUMEN 1'!B7)</f>
        <v>0</v>
      </c>
      <c r="N7" s="7"/>
    </row>
    <row r="8" spans="1:14" x14ac:dyDescent="0.25">
      <c r="A8" s="7" t="s">
        <v>52</v>
      </c>
      <c r="B8" s="7" t="s">
        <v>83</v>
      </c>
      <c r="C8" s="7">
        <f>SUMIFS(Tabla5[INGRESO],Tabla5[MES],'RESUMEN 1'!C5,Tabla5[AÑO],'RESUMEN 1'!A5,Tabla5[TIPO DE PAGO],'RESUMEN 1'!B8)+SUMIFS(Tabla8[EGRESO],Tabla8[CUENTA],"DEPOSITO",Tabla8[DISTRIBUIDOR],'RESUMEN 1'!B8)</f>
        <v>50</v>
      </c>
      <c r="D8" s="7">
        <f>SUMIFS(Tabla5[INGRESO],Tabla5[MES],'RESUMEN 1'!D5,Tabla5[AÑO],'RESUMEN 1'!A5,Tabla5[TIPO DE PAGO],'RESUMEN 1'!B8)+SUMIFS(Tabla8[EGRESO],Tabla8[CUENTA],"DEPOSITO",Tabla8[DISTRIBUIDOR],'RESUMEN 1'!B8)</f>
        <v>396.76</v>
      </c>
      <c r="E8" s="7"/>
      <c r="F8" s="7"/>
      <c r="G8" s="7"/>
      <c r="H8" s="7"/>
      <c r="I8" s="7"/>
      <c r="J8" s="7"/>
      <c r="K8" s="7"/>
      <c r="L8" s="7">
        <f>SUMIFS(Tabla5[INGRESO],Tabla5[MES],'RESUMEN 1'!L5,Tabla5[AÑO],'RESUMEN 1'!A5,Tabla5[TIPO DE PAGO],'RESUMEN 1'!B8)</f>
        <v>0</v>
      </c>
      <c r="M8" s="7">
        <f>SUMIFS(Tabla5[INGRESO],Tabla5[MES],'RESUMEN 1'!M5,Tabla5[AÑO],'RESUMEN 1'!A5,Tabla5[TIPO DE PAGO],'RESUMEN 1'!B8)</f>
        <v>0</v>
      </c>
      <c r="N8" s="7"/>
    </row>
    <row r="9" spans="1:14" ht="14.45" customHeight="1" x14ac:dyDescent="0.25">
      <c r="A9" s="7" t="s">
        <v>52</v>
      </c>
      <c r="B9" s="7" t="s">
        <v>27</v>
      </c>
      <c r="C9" s="69">
        <f>SUMIFS(Tabla5[INGRESO],Tabla5[MES],'RESUMEN 1'!C5,Tabla5[AÑO],'RESUMEN 1'!A5,Tabla5[TIPO DE PAGO],'RESUMEN 1'!B9)+SUMIFS(Tabla8[EGRESO],Tabla8[CUENTA],"DEPOSITO",Tabla8[DISTRIBUIDOR],'RESUMEN 1'!B9)</f>
        <v>1891.59</v>
      </c>
      <c r="D9" s="7">
        <f>SUMIFS(Tabla5[INGRESO],Tabla5[MES],'RESUMEN 1'!D5,Tabla5[AÑO],'RESUMEN 1'!A5,Tabla5[TIPO DE PAGO],'RESUMEN 1'!B9)+SUMIFS(Tabla8[EGRESO],Tabla8[CUENTA],"DEPOSITO",Tabla8[DISTRIBUIDOR],'RESUMEN 1'!B9)</f>
        <v>2135.1999999999998</v>
      </c>
      <c r="E9" s="7"/>
      <c r="F9" s="7"/>
      <c r="G9" s="7"/>
      <c r="H9" s="7"/>
      <c r="I9" s="7"/>
      <c r="J9" s="7"/>
      <c r="K9" s="7"/>
      <c r="L9" s="7">
        <f>SUMIFS(Tabla5[INGRESO],Tabla5[MES],'RESUMEN 1'!L5,Tabla5[AÑO],'RESUMEN 1'!A5,Tabla5[TIPO DE PAGO],'RESUMEN 1'!B9)</f>
        <v>0</v>
      </c>
      <c r="M9" s="7">
        <f>SUMIFS(Tabla5[INGRESO],Tabla5[MES],'RESUMEN 1'!M5,Tabla5[AÑO],'RESUMEN 1'!A5,Tabla5[TIPO DE PAGO],'RESUMEN 1'!B9)</f>
        <v>0</v>
      </c>
      <c r="N9" s="7"/>
    </row>
    <row r="10" spans="1:14" ht="14.45" customHeight="1" x14ac:dyDescent="0.25">
      <c r="A10" s="7" t="s">
        <v>52</v>
      </c>
      <c r="B10" s="7" t="s">
        <v>30</v>
      </c>
      <c r="C10" s="69">
        <f>SUMIFS(Tabla5[INGRESO],Tabla5[MES],'RESUMEN 1'!C5,Tabla5[AÑO],'RESUMEN 1'!A5,Tabla5[TIPO DE PAGO],'RESUMEN 1'!B10)+SUMIFS(Tabla8[EGRESO],Tabla8[CUENTA],"DEPOSITO",Tabla8[DISTRIBUIDOR],'RESUMEN 1'!B10)</f>
        <v>0</v>
      </c>
      <c r="D10" s="7"/>
      <c r="E10" s="7"/>
      <c r="F10" s="7"/>
      <c r="G10" s="7"/>
      <c r="H10" s="7"/>
      <c r="I10" s="7"/>
      <c r="J10" s="7"/>
      <c r="K10" s="7"/>
      <c r="L10" s="7">
        <f>SUMIFS(Tabla5[INGRESO],Tabla5[MES],'RESUMEN 1'!L5,Tabla5[AÑO],'RESUMEN 1'!A5,Tabla5[TIPO DE PAGO],'RESUMEN 1'!B10)</f>
        <v>0</v>
      </c>
      <c r="M10" s="7">
        <f>SUMIFS(Tabla5[INGRESO],Tabla5[MES],'RESUMEN 1'!M5,Tabla5[AÑO],'RESUMEN 1'!A5,Tabla5[TIPO DE PAGO],'RESUMEN 1'!B10)</f>
        <v>0</v>
      </c>
      <c r="N10" s="7"/>
    </row>
    <row r="11" spans="1:14" ht="14.45" customHeight="1" x14ac:dyDescent="0.25">
      <c r="A11" s="7" t="s">
        <v>52</v>
      </c>
      <c r="B11" s="7" t="s">
        <v>32</v>
      </c>
      <c r="C11" s="69">
        <f>SUMIFS(Tabla5[INGRESO],Tabla5[MES],'RESUMEN 1'!C5,Tabla5[AÑO],'RESUMEN 1'!A5,Tabla5[TIPO DE PAGO],'RESUMEN 1'!B11)+SUMIFS(Tabla8[EGRESO],Tabla8[CUENTA],"DEPOSITO",Tabla8[DISTRIBUIDOR],'RESUMEN 1'!B11)</f>
        <v>0</v>
      </c>
      <c r="D11" s="7"/>
      <c r="E11" s="7"/>
      <c r="F11" s="7"/>
      <c r="G11" s="7"/>
      <c r="H11" s="7"/>
      <c r="I11" s="7"/>
      <c r="J11" s="7"/>
      <c r="K11" s="7"/>
      <c r="L11" s="7">
        <f>SUMIFS(Tabla5[DESCRIPCION],Tabla5[AÑO],'RESUMEN 1'!L5,Tabla5[FECHA],'RESUMEN 1'!A5,Tabla5[MES],'RESUMEN 1'!B11)</f>
        <v>0</v>
      </c>
      <c r="M11" s="7">
        <f>SUMIFS(Tabla5[DESCRIPCION],Tabla5[AÑO],'RESUMEN 1'!M5,Tabla5[FECHA],'RESUMEN 1'!A5,Tabla5[MES],'RESUMEN 1'!B11)</f>
        <v>0</v>
      </c>
      <c r="N11" s="7"/>
    </row>
    <row r="12" spans="1:14" ht="14.45" customHeight="1" x14ac:dyDescent="0.25">
      <c r="A12" s="7" t="s">
        <v>52</v>
      </c>
      <c r="B12" s="7" t="s">
        <v>84</v>
      </c>
      <c r="C12" s="69">
        <f>SUMIFS(Tabla5[INGRESO],Tabla5[MES],'RESUMEN 1'!C5,Tabla5[AÑO],'RESUMEN 1'!A5,Tabla5[TIPO DE PAGO],'RESUMEN 1'!B12)+SUMIFS(Tabla8[EGRESO],Tabla8[CUENTA],"DEPOSITO",Tabla8[DISTRIBUIDOR],'RESUMEN 1'!B12)</f>
        <v>0</v>
      </c>
      <c r="D12" s="7"/>
      <c r="E12" s="7"/>
      <c r="F12" s="7"/>
      <c r="G12" s="7"/>
      <c r="H12" s="7"/>
      <c r="I12" s="7"/>
      <c r="J12" s="7"/>
      <c r="K12" s="7"/>
      <c r="L12" s="7">
        <f>SUMIFS(Tabla5[INGRESO],Tabla5[MES],'RESUMEN 1'!L5,Tabla5[AÑO],'RESUMEN 1'!A5,Tabla5[TIPO DE PAGO],'RESUMEN 1'!B12)</f>
        <v>0</v>
      </c>
      <c r="M12" s="7">
        <f>SUMIFS(Tabla5[INGRESO],Tabla5[MES],'RESUMEN 1'!M5,Tabla5[AÑO],'RESUMEN 1'!A5,Tabla5[TIPO DE PAGO],'RESUMEN 1'!B12)</f>
        <v>0</v>
      </c>
      <c r="N12" s="7"/>
    </row>
    <row r="13" spans="1:14" ht="14.45" customHeight="1" x14ac:dyDescent="0.25"/>
    <row r="15" spans="1:14" x14ac:dyDescent="0.25">
      <c r="A15" s="8" t="s">
        <v>53</v>
      </c>
      <c r="B15" s="8" t="s">
        <v>18</v>
      </c>
      <c r="C15" s="8">
        <f>SUMIFS(Tabla8[EGRESO],Tabla8[MES],'RESUMEN 1'!C5,Tabla8[AÑO],'RESUMEN 1'!A5,Tabla8[TIPO DE PAGO],'RESUMEN 1'!B15)</f>
        <v>1758.1499999999994</v>
      </c>
      <c r="D15" s="8">
        <f>SUMIFS(Tabla8[EGRESO],Tabla8[MES],'RESUMEN 1'!D5,Tabla8[AÑO],'RESUMEN 1'!A5,Tabla8[TIPO DE PAGO],'RESUMEN 1'!B15)</f>
        <v>1543.1299999999997</v>
      </c>
      <c r="E15" s="8"/>
      <c r="F15" s="8"/>
      <c r="G15" s="8"/>
      <c r="H15" s="8"/>
      <c r="I15" s="8"/>
      <c r="J15" s="8"/>
      <c r="K15" s="8"/>
      <c r="L15" s="8">
        <f>SUMIFS(Tabla8[EGRESO],Tabla8[MES],'RESUMEN 1'!L5,Tabla8[AÑO],'RESUMEN 1'!A5,Tabla8[TIPO DE PAGO],'RESUMEN 1'!B15)</f>
        <v>0</v>
      </c>
      <c r="M15" s="8">
        <f>SUMIFS(Tabla8[EGRESO],Tabla8[MES],'RESUMEN 1'!M5,Tabla8[AÑO],'RESUMEN 1'!A5,Tabla8[TIPO DE PAGO],'RESUMEN 1'!B15)</f>
        <v>0</v>
      </c>
      <c r="N15" s="8"/>
    </row>
    <row r="16" spans="1:14" x14ac:dyDescent="0.25">
      <c r="A16" s="8" t="s">
        <v>53</v>
      </c>
      <c r="B16" s="8" t="s">
        <v>20</v>
      </c>
      <c r="C16" s="8"/>
      <c r="D16" s="8"/>
      <c r="E16" s="8"/>
      <c r="F16" s="8"/>
      <c r="G16" s="8"/>
      <c r="H16" s="8"/>
      <c r="I16" s="8"/>
      <c r="J16" s="8"/>
      <c r="K16" s="8"/>
      <c r="L16" s="8">
        <f>SUMIFS(Tabla8[EGRESO],Tabla8[MES],'RESUMEN 1'!L5,Tabla8[AÑO],'RESUMEN 1'!A5,Tabla8[TIPO DE PAGO],'RESUMEN 1'!B16)</f>
        <v>0</v>
      </c>
      <c r="M16" s="8">
        <f>SUMIFS(Tabla8[EGRESO],Tabla8[MES],'RESUMEN 1'!M5,Tabla8[AÑO],'RESUMEN 1'!A5,Tabla8[TIPO DE PAGO],'RESUMEN 1'!B16)</f>
        <v>0</v>
      </c>
      <c r="N16" s="8"/>
    </row>
    <row r="17" spans="1:14" x14ac:dyDescent="0.25">
      <c r="A17" s="8" t="s">
        <v>53</v>
      </c>
      <c r="B17" s="8" t="s">
        <v>83</v>
      </c>
      <c r="C17" s="8">
        <f>SUMIFS(Tabla8[EGRESO],Tabla8[MES],'RESUMEN 1'!C5,Tabla8[AÑO],'RESUMEN 1'!A5,Tabla8[TIPO DE PAGO],'RESUMEN 1'!B17)</f>
        <v>0</v>
      </c>
      <c r="D17" s="8"/>
      <c r="E17" s="8"/>
      <c r="F17" s="8"/>
      <c r="G17" s="8"/>
      <c r="H17" s="8"/>
      <c r="I17" s="8"/>
      <c r="J17" s="8"/>
      <c r="K17" s="8"/>
      <c r="L17" s="8">
        <f>SUMIFS(Tabla8[EGRESO],Tabla8[MES],'RESUMEN 1'!L5,Tabla8[AÑO],'RESUMEN 1'!A5,Tabla8[TIPO DE PAGO],'RESUMEN 1'!B17)</f>
        <v>0</v>
      </c>
      <c r="M17" s="8">
        <f>SUMIFS(Tabla8[EGRESO],Tabla8[MES],'RESUMEN 1'!M5,Tabla8[AÑO],'RESUMEN 1'!A5,Tabla8[TIPO DE PAGO],'RESUMEN 1'!B17)</f>
        <v>0</v>
      </c>
      <c r="N17" s="8"/>
    </row>
    <row r="18" spans="1:14" x14ac:dyDescent="0.25">
      <c r="A18" s="8" t="s">
        <v>53</v>
      </c>
      <c r="B18" s="8" t="s">
        <v>27</v>
      </c>
      <c r="C18" s="8">
        <f>SUMIFS(Tabla8[EGRESO],Tabla8[MES],'RESUMEN 1'!C5,Tabla8[AÑO],'RESUMEN 1'!A5,Tabla8[TIPO DE PAGO],'RESUMEN 1'!B18)</f>
        <v>2080.8300000000004</v>
      </c>
      <c r="D18" s="8"/>
      <c r="E18" s="8"/>
      <c r="F18" s="8"/>
      <c r="G18" s="8"/>
      <c r="H18" s="8"/>
      <c r="I18" s="8"/>
      <c r="J18" s="8"/>
      <c r="K18" s="8"/>
      <c r="L18" s="8">
        <f>SUMIFS(Tabla8[EGRESO],Tabla8[MES],'RESUMEN 1'!L5,Tabla8[AÑO],'RESUMEN 1'!A5,Tabla8[TIPO DE PAGO],'RESUMEN 1'!B18)</f>
        <v>0</v>
      </c>
      <c r="M18" s="8">
        <f>SUMIFS(Tabla8[EGRESO],Tabla8[MES],'RESUMEN 1'!M5,Tabla8[AÑO],'RESUMEN 1'!A5,Tabla8[TIPO DE PAGO],'RESUMEN 1'!B18)</f>
        <v>0</v>
      </c>
      <c r="N18" s="8"/>
    </row>
    <row r="19" spans="1:14" x14ac:dyDescent="0.25">
      <c r="A19" s="8" t="s">
        <v>53</v>
      </c>
      <c r="B19" s="8" t="s">
        <v>30</v>
      </c>
      <c r="C19" s="8"/>
      <c r="D19" s="8"/>
      <c r="E19" s="8"/>
      <c r="F19" s="8"/>
      <c r="G19" s="8"/>
      <c r="H19" s="8"/>
      <c r="I19" s="8"/>
      <c r="J19" s="8"/>
      <c r="K19" s="8"/>
      <c r="L19" s="8">
        <f>SUMIFS(Tabla8[EGRESO],Tabla8[MES],'RESUMEN 1'!L5,Tabla8[AÑO],'RESUMEN 1'!A5,Tabla8[TIPO DE PAGO],'RESUMEN 1'!B19)</f>
        <v>0</v>
      </c>
      <c r="M19" s="8">
        <f>SUMIFS(Tabla8[EGRESO],Tabla8[MES],'RESUMEN 1'!M5,Tabla8[AÑO],'RESUMEN 1'!A5,Tabla8[TIPO DE PAGO],'RESUMEN 1'!B19)</f>
        <v>0</v>
      </c>
      <c r="N19" s="8"/>
    </row>
    <row r="20" spans="1:14" x14ac:dyDescent="0.25">
      <c r="A20" s="8" t="s">
        <v>53</v>
      </c>
      <c r="B20" s="8" t="s">
        <v>32</v>
      </c>
      <c r="C20" s="8"/>
      <c r="D20" s="8"/>
      <c r="E20" s="8"/>
      <c r="F20" s="8"/>
      <c r="G20" s="8"/>
      <c r="H20" s="8"/>
      <c r="I20" s="8"/>
      <c r="J20" s="8"/>
      <c r="K20" s="8"/>
      <c r="L20" s="8">
        <f>SUMIFS(Tabla8[EGRESO],Tabla8[MES],'RESUMEN 1'!L5,Tabla8[AÑO],'RESUMEN 1'!A5,Tabla8[TIPO DE PAGO],'RESUMEN 1'!B20)</f>
        <v>0</v>
      </c>
      <c r="M20" s="8">
        <f>SUMIFS(Tabla8[EGRESO],Tabla8[MES],'RESUMEN 1'!M5,Tabla8[AÑO],'RESUMEN 1'!A5,Tabla8[TIPO DE PAGO],'RESUMEN 1'!B20)</f>
        <v>0</v>
      </c>
      <c r="N20" s="8"/>
    </row>
    <row r="21" spans="1:14" x14ac:dyDescent="0.25">
      <c r="A21" s="8" t="s">
        <v>53</v>
      </c>
      <c r="B21" s="8" t="s">
        <v>84</v>
      </c>
      <c r="C21" s="8"/>
      <c r="D21" s="8"/>
      <c r="E21" s="8"/>
      <c r="F21" s="8"/>
      <c r="G21" s="8"/>
      <c r="H21" s="8"/>
      <c r="I21" s="8"/>
      <c r="J21" s="8"/>
      <c r="K21" s="8"/>
      <c r="L21" s="8">
        <f>SUMIFS(Tabla8[EGRESO],Tabla8[MES],'RESUMEN 1'!L5,Tabla8[AÑO],'RESUMEN 1'!A5,Tabla8[TIPO DE PAGO],'RESUMEN 1'!B21)</f>
        <v>0</v>
      </c>
      <c r="M21" s="8">
        <f>SUMIFS(Tabla8[EGRESO],Tabla8[MES],'RESUMEN 1'!M5,Tabla8[AÑO],'RESUMEN 1'!A5,Tabla8[TIPO DE PAGO],'RESUMEN 1'!B21)</f>
        <v>0</v>
      </c>
      <c r="N21" s="8"/>
    </row>
    <row r="22" spans="1:14" x14ac:dyDescent="0.25">
      <c r="A22" s="8" t="s">
        <v>53</v>
      </c>
      <c r="B22" s="8" t="s">
        <v>68</v>
      </c>
      <c r="C22" s="8">
        <f>SUMIFS(Tabla8[EGRESO],Tabla8[MES],'RESUMEN 1'!C5,Tabla8[AÑO],'RESUMEN 1'!A5,Tabla8[CUENTA],'RESUMEN 1'!B22)</f>
        <v>55</v>
      </c>
      <c r="D22" s="8">
        <f>SUMIFS(Tabla8[EGRESO],Tabla8[MES],'RESUMEN 1'!D5,Tabla8[AÑO],'RESUMEN 1'!A5,Tabla8[CUENTA],'RESUMEN 1'!B22)</f>
        <v>50</v>
      </c>
      <c r="E22" s="8"/>
      <c r="F22" s="8"/>
      <c r="G22" s="8"/>
      <c r="H22" s="8"/>
      <c r="I22" s="8"/>
      <c r="J22" s="8"/>
      <c r="K22" s="8"/>
      <c r="L22" s="8">
        <f>SUMIFS(Tabla8[EGRESO],Tabla8[MES],'RESUMEN 1'!L6,Tabla8[AÑO],'RESUMEN 1'!A6,Tabla8[TIPO DE PAGO],'RESUMEN 1'!B22)</f>
        <v>0</v>
      </c>
      <c r="M22" s="8">
        <f>SUMIFS(Tabla8[EGRESO],Tabla8[MES],'RESUMEN 1'!M6,Tabla8[AÑO],'RESUMEN 1'!A6,Tabla8[TIPO DE PAGO],'RESUMEN 1'!B22)</f>
        <v>0</v>
      </c>
      <c r="N22" s="8"/>
    </row>
    <row r="23" spans="1:14" x14ac:dyDescent="0.25">
      <c r="A23" s="8" t="s">
        <v>53</v>
      </c>
      <c r="B23" s="8" t="s">
        <v>69</v>
      </c>
      <c r="C23" s="8">
        <f>SUMIFS(Tabla8[EGRESO],Tabla8[MES],'RESUMEN 1'!C5,Tabla8[AÑO],'RESUMEN 1'!A5,Tabla8[CUENTA],'RESUMEN 1'!B23)</f>
        <v>181.34</v>
      </c>
      <c r="D23" s="8">
        <f>SUMIFS(Tabla8[EGRESO],Tabla8[MES],'RESUMEN 1'!D5,Tabla8[AÑO],'RESUMEN 1'!A5,Tabla8[CUENTA],'RESUMEN 1'!B23)</f>
        <v>285.5</v>
      </c>
      <c r="E23" s="8"/>
      <c r="F23" s="8"/>
      <c r="G23" s="8"/>
      <c r="H23" s="8"/>
      <c r="I23" s="8"/>
      <c r="J23" s="8"/>
      <c r="K23" s="8"/>
      <c r="L23" s="8">
        <f>SUMIFS(Tabla8[EGRESO],Tabla8[MES],'RESUMEN 1'!L7,Tabla8[AÑO],'RESUMEN 1'!A7,Tabla8[TIPO DE PAGO],'RESUMEN 1'!B23)</f>
        <v>0</v>
      </c>
      <c r="M23" s="8">
        <f>SUMIFS(Tabla8[EGRESO],Tabla8[MES],'RESUMEN 1'!M7,Tabla8[AÑO],'RESUMEN 1'!A7,Tabla8[TIPO DE PAGO],'RESUMEN 1'!B23)</f>
        <v>0</v>
      </c>
      <c r="N23" s="8"/>
    </row>
    <row r="26" spans="1:14" x14ac:dyDescent="0.25">
      <c r="A26" s="74" t="s">
        <v>352</v>
      </c>
      <c r="B26" s="74" t="s">
        <v>63</v>
      </c>
      <c r="C26" s="74">
        <f>SUMIFS(Tabla6[TOTAL],Tabla6[MES],'RESUMEN 1'!C5,Tabla6[AÑO],'RESUMEN 1'!A5,Tabla6[DISTRIBUIDOR],'RESUMEN 1'!B26)</f>
        <v>433.51</v>
      </c>
      <c r="D26" s="74">
        <f>SUMIFS(Tabla6[TOTAL],Tabla6[MES],'RESUMEN 1'!D5,Tabla6[AÑO],'RESUMEN 1'!A5,Tabla6[DISTRIBUIDOR],'RESUMEN 1'!B26)</f>
        <v>212.58999999999997</v>
      </c>
      <c r="E26" s="74">
        <f>SUMIFS(Tabla6[TOTAL],Tabla6[MES],'RESUMEN 1'!E5,Tabla6[AÑO],'RESUMEN 1'!A5,Tabla6[DISTRIBUIDOR],'RESUMEN 1'!B26)</f>
        <v>23.9</v>
      </c>
      <c r="F26" s="74">
        <f>SUMIFS(Tabla6[TOTAL],Tabla6[MES],'RESUMEN 1'!F5,Tabla6[AÑO],'RESUMEN 1'!A5,Tabla6[DISTRIBUIDOR],'RESUMEN 1'!B26)</f>
        <v>0</v>
      </c>
      <c r="G26" s="74">
        <f>SUMIFS(Tabla6[TOTAL],Tabla6[MES],'RESUMEN 1'!G5,Tabla6[AÑO],'RESUMEN 1'!A5,Tabla6[DISTRIBUIDOR],'RESUMEN 1'!B26)</f>
        <v>0</v>
      </c>
      <c r="H26" s="74">
        <f>SUMIFS(Tabla6[TOTAL],Tabla6[MES],'RESUMEN 1'!H5,Tabla6[AÑO],'RESUMEN 1'!A5,Tabla6[DISTRIBUIDOR],'RESUMEN 1'!B26)</f>
        <v>0</v>
      </c>
      <c r="I26" s="74">
        <f>SUMIFS(Tabla6[TOTAL],Tabla6[MES],'RESUMEN 1'!I5,Tabla6[AÑO],'RESUMEN 1'!A5,Tabla6[DISTRIBUIDOR],'RESUMEN 1'!B26)</f>
        <v>0</v>
      </c>
      <c r="J26" s="74">
        <f>SUMIFS(Tabla6[TOTAL],Tabla6[MES],'RESUMEN 1'!J5,Tabla6[AÑO],'RESUMEN 1'!A5,Tabla6[DISTRIBUIDOR],'RESUMEN 1'!B26)</f>
        <v>0</v>
      </c>
      <c r="K26" s="74">
        <f>SUMIFS(Tabla6[TOTAL],Tabla6[MES],'RESUMEN 1'!K5,Tabla6[AÑO],'RESUMEN 1'!A5,Tabla6[DISTRIBUIDOR],'RESUMEN 1'!B26)</f>
        <v>0</v>
      </c>
      <c r="L26" s="74">
        <f>SUMIFS(Tabla6[TOTAL],Tabla6[MES],'RESUMEN 1'!L5,Tabla6[AÑO],'RESUMEN 1'!A5,Tabla6[DISTRIBUIDOR],'RESUMEN 1'!B26)</f>
        <v>0</v>
      </c>
      <c r="M26" s="74">
        <f>SUMIFS(Tabla6[TOTAL],Tabla6[MES],'RESUMEN 1'!M5,Tabla6[AÑO],'RESUMEN 1'!A5,Tabla6[DISTRIBUIDOR],'RESUMEN 1'!B26)</f>
        <v>0</v>
      </c>
      <c r="N26" s="74">
        <f>SUMIFS(Tabla6[TOTAL],Tabla6[MES],'RESUMEN 1'!N5,Tabla6[AÑO],'RESUMEN 1'!A5,Tabla6[DISTRIBUIDOR],'RESUMEN 1'!B26)</f>
        <v>0</v>
      </c>
    </row>
    <row r="27" spans="1:14" x14ac:dyDescent="0.25">
      <c r="A27" s="74" t="s">
        <v>352</v>
      </c>
      <c r="B27" s="74" t="s">
        <v>376</v>
      </c>
      <c r="C27" s="74">
        <f>SUMIFS(Tabla6[TOTAL],Tabla6[MES],'RESUMEN 1'!C5,Tabla6[AÑO],'RESUMEN 1'!A5,Tabla6[DISTRIBUIDOR],'RESUMEN 1'!B27)</f>
        <v>480.59000000000003</v>
      </c>
      <c r="D27" s="74">
        <f>SUMIFS(Tabla6[TOTAL],Tabla6[MES],'RESUMEN 1'!D5,Tabla6[AÑO],'RESUMEN 1'!A5,Tabla6[DISTRIBUIDOR],'RESUMEN 1'!B27)</f>
        <v>280.60000000000002</v>
      </c>
      <c r="E27" s="74">
        <f>SUMIFS(Tabla6[TOTAL],Tabla6[MES],'RESUMEN 1'!E5,Tabla6[AÑO],'RESUMEN 1'!A5,Tabla6[DISTRIBUIDOR],'RESUMEN 1'!B27)</f>
        <v>0</v>
      </c>
      <c r="F27" s="74">
        <f>SUMIFS(Tabla6[TOTAL],Tabla6[MES],'RESUMEN 1'!F5,Tabla6[AÑO],'RESUMEN 1'!A5,Tabla6[DISTRIBUIDOR],'RESUMEN 1'!B27)</f>
        <v>0</v>
      </c>
      <c r="G27" s="74">
        <f>SUMIFS(Tabla6[TOTAL],Tabla6[MES],'RESUMEN 1'!G5,Tabla6[AÑO],'RESUMEN 1'!A5,Tabla6[DISTRIBUIDOR],'RESUMEN 1'!B27)</f>
        <v>0</v>
      </c>
      <c r="H27" s="74">
        <f>SUMIFS(Tabla6[TOTAL],Tabla6[MES],'RESUMEN 1'!H5,Tabla6[AÑO],'RESUMEN 1'!A5,Tabla6[DISTRIBUIDOR],'RESUMEN 1'!B27)</f>
        <v>0</v>
      </c>
      <c r="I27" s="74">
        <f>SUMIFS(Tabla6[TOTAL],Tabla6[MES],'RESUMEN 1'!I5,Tabla6[AÑO],'RESUMEN 1'!A5,Tabla6[DISTRIBUIDOR],'RESUMEN 1'!B27)</f>
        <v>0</v>
      </c>
      <c r="J27" s="74">
        <f>SUMIFS(Tabla6[TOTAL],Tabla6[MES],'RESUMEN 1'!J5,Tabla6[AÑO],'RESUMEN 1'!A5,Tabla6[DISTRIBUIDOR],'RESUMEN 1'!B27)</f>
        <v>0</v>
      </c>
      <c r="K27" s="74">
        <f>SUMIFS(Tabla6[TOTAL],Tabla6[MES],'RESUMEN 1'!K5,Tabla6[AÑO],'RESUMEN 1'!A5,Tabla6[DISTRIBUIDOR],'RESUMEN 1'!B27)</f>
        <v>0</v>
      </c>
      <c r="L27" s="74">
        <f>SUMIFS(Tabla6[TOTAL],Tabla6[MES],'RESUMEN 1'!L5,Tabla6[AÑO],'RESUMEN 1'!A5,Tabla6[DISTRIBUIDOR],'RESUMEN 1'!B27)</f>
        <v>0</v>
      </c>
      <c r="M27" s="74">
        <f>SUMIFS(Tabla6[TOTAL],Tabla6[MES],'RESUMEN 1'!M5,Tabla6[AÑO],'RESUMEN 1'!A5,Tabla6[DISTRIBUIDOR],'RESUMEN 1'!B27)</f>
        <v>0</v>
      </c>
      <c r="N27" s="74">
        <f>SUMIFS(Tabla6[TOTAL],Tabla6[MES],'RESUMEN 1'!N5,Tabla6[AÑO],'RESUMEN 1'!A5,Tabla6[DISTRIBUIDOR],'RESUMEN 1'!B27)</f>
        <v>0</v>
      </c>
    </row>
    <row r="28" spans="1:14" x14ac:dyDescent="0.25">
      <c r="A28" s="74" t="s">
        <v>352</v>
      </c>
      <c r="B28" s="74" t="s">
        <v>389</v>
      </c>
      <c r="C28" s="74">
        <f>SUMIFS(Tabla6[TOTAL],Tabla6[MES],'RESUMEN 1'!C5,Tabla6[AÑO],'RESUMEN 1'!A5,Tabla6[DISTRIBUIDOR],'RESUMEN 1'!B28)</f>
        <v>302.44</v>
      </c>
      <c r="D28" s="74">
        <f>SUMIFS(Tabla6[TOTAL],Tabla6[MES],'RESUMEN 1'!D5,Tabla6[AÑO],'RESUMEN 1'!A5,Tabla6[DISTRIBUIDOR],'RESUMEN 1'!B28)</f>
        <v>282.12</v>
      </c>
      <c r="E28" s="74">
        <f>SUMIFS(Tabla6[TOTAL],Tabla6[MES],'RESUMEN 1'!E5,Tabla6[AÑO],'RESUMEN 1'!A5,Tabla6[DISTRIBUIDOR],'RESUMEN 1'!B28)</f>
        <v>0</v>
      </c>
      <c r="F28" s="74">
        <f>SUMIFS(Tabla6[TOTAL],Tabla6[MES],'RESUMEN 1'!F5,Tabla6[AÑO],'RESUMEN 1'!A5,Tabla6[DISTRIBUIDOR],'RESUMEN 1'!B28)</f>
        <v>0</v>
      </c>
      <c r="G28" s="74">
        <f>SUMIFS(Tabla6[TOTAL],Tabla6[MES],'RESUMEN 1'!G5,Tabla6[AÑO],'RESUMEN 1'!A5,Tabla6[DISTRIBUIDOR],'RESUMEN 1'!B28)</f>
        <v>0</v>
      </c>
      <c r="H28" s="74">
        <f>SUMIFS(Tabla6[TOTAL],Tabla6[MES],'RESUMEN 1'!H5,Tabla6[AÑO],'RESUMEN 1'!A5,Tabla6[DISTRIBUIDOR],'RESUMEN 1'!B28)</f>
        <v>0</v>
      </c>
      <c r="I28" s="74">
        <f>SUMIFS(Tabla6[TOTAL],Tabla6[MES],'RESUMEN 1'!I5,Tabla6[AÑO],'RESUMEN 1'!A5,Tabla6[DISTRIBUIDOR],'RESUMEN 1'!B28)</f>
        <v>0</v>
      </c>
      <c r="J28" s="74">
        <f>SUMIFS(Tabla6[TOTAL],Tabla6[MES],'RESUMEN 1'!J5,Tabla6[AÑO],'RESUMEN 1'!A5,Tabla6[DISTRIBUIDOR],'RESUMEN 1'!B28)</f>
        <v>0</v>
      </c>
      <c r="K28" s="74">
        <f>SUMIFS(Tabla6[TOTAL],Tabla6[MES],'RESUMEN 1'!K5,Tabla6[AÑO],'RESUMEN 1'!A5,Tabla6[DISTRIBUIDOR],'RESUMEN 1'!B28)</f>
        <v>0</v>
      </c>
      <c r="L28" s="74">
        <f>SUMIFS(Tabla6[TOTAL],Tabla6[MES],'RESUMEN 1'!L5,Tabla6[AÑO],'RESUMEN 1'!A5,Tabla6[DISTRIBUIDOR],'RESUMEN 1'!B28)</f>
        <v>0</v>
      </c>
      <c r="M28" s="74">
        <f>SUMIFS(Tabla6[TOTAL],Tabla6[MES],'RESUMEN 1'!M5,Tabla6[AÑO],'RESUMEN 1'!A5,Tabla6[DISTRIBUIDOR],'RESUMEN 1'!B28)</f>
        <v>0</v>
      </c>
      <c r="N28" s="74">
        <f>SUMIFS(Tabla6[TOTAL],Tabla6[MES],'RESUMEN 1'!N5,Tabla6[AÑO],'RESUMEN 1'!A5,Tabla6[DISTRIBUIDOR],'RESUMEN 1'!B28)</f>
        <v>0</v>
      </c>
    </row>
    <row r="29" spans="1:14" x14ac:dyDescent="0.25">
      <c r="A29" s="74" t="s">
        <v>352</v>
      </c>
      <c r="B29" s="74" t="s">
        <v>69</v>
      </c>
      <c r="C29" s="74">
        <f>SUMIFS(Tabla6[TOTAL],Tabla6[MES],'RESUMEN 1'!C5,Tabla6[AÑO],'RESUMEN 1'!A5,Tabla6[DISTRIBUIDOR],'RESUMEN 1'!B29)</f>
        <v>0</v>
      </c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</row>
    <row r="30" spans="1:14" x14ac:dyDescent="0.25">
      <c r="A30" s="74" t="s">
        <v>352</v>
      </c>
      <c r="B30" s="74" t="s">
        <v>68</v>
      </c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</row>
    <row r="31" spans="1:14" x14ac:dyDescent="0.25">
      <c r="A31" s="74" t="s">
        <v>352</v>
      </c>
      <c r="B31" s="74" t="s">
        <v>69</v>
      </c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</row>
    <row r="32" spans="1:14" x14ac:dyDescent="0.25">
      <c r="A32" s="74" t="s">
        <v>352</v>
      </c>
      <c r="B32" s="74" t="s">
        <v>69</v>
      </c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</row>
    <row r="39" spans="2:14" x14ac:dyDescent="0.25">
      <c r="B39" s="9" t="s">
        <v>54</v>
      </c>
      <c r="C39" s="9">
        <f t="shared" ref="C39:N39" si="0">+C6-C15</f>
        <v>4343.71</v>
      </c>
      <c r="D39" s="9">
        <f t="shared" si="0"/>
        <v>676.87000000000035</v>
      </c>
      <c r="E39" s="9">
        <f t="shared" si="0"/>
        <v>0</v>
      </c>
      <c r="F39" s="9">
        <f t="shared" si="0"/>
        <v>0</v>
      </c>
      <c r="G39" s="9">
        <f t="shared" si="0"/>
        <v>0</v>
      </c>
      <c r="H39" s="9">
        <f t="shared" si="0"/>
        <v>0</v>
      </c>
      <c r="I39" s="9">
        <f t="shared" si="0"/>
        <v>0</v>
      </c>
      <c r="J39" s="9">
        <f t="shared" si="0"/>
        <v>0</v>
      </c>
      <c r="K39" s="9">
        <f t="shared" si="0"/>
        <v>0</v>
      </c>
      <c r="L39" s="9">
        <f t="shared" si="0"/>
        <v>0</v>
      </c>
      <c r="M39" s="9">
        <f t="shared" si="0"/>
        <v>0</v>
      </c>
      <c r="N39" s="9">
        <f t="shared" si="0"/>
        <v>0</v>
      </c>
    </row>
    <row r="41" spans="2:14" x14ac:dyDescent="0.25">
      <c r="B41" s="10" t="s">
        <v>55</v>
      </c>
      <c r="C41" s="10">
        <f>+C39</f>
        <v>4343.71</v>
      </c>
      <c r="D41" s="10">
        <f>C41+D39</f>
        <v>5020.58</v>
      </c>
      <c r="E41" s="10">
        <f>D41+E39</f>
        <v>5020.58</v>
      </c>
      <c r="F41" s="10">
        <f t="shared" ref="F41:N41" si="1">E41+F39</f>
        <v>5020.58</v>
      </c>
      <c r="G41" s="10">
        <f t="shared" si="1"/>
        <v>5020.58</v>
      </c>
      <c r="H41" s="10">
        <f t="shared" si="1"/>
        <v>5020.58</v>
      </c>
      <c r="I41" s="10">
        <f t="shared" si="1"/>
        <v>5020.58</v>
      </c>
      <c r="J41" s="10">
        <f t="shared" si="1"/>
        <v>5020.58</v>
      </c>
      <c r="K41" s="10">
        <f t="shared" si="1"/>
        <v>5020.58</v>
      </c>
      <c r="L41" s="10">
        <f t="shared" si="1"/>
        <v>5020.58</v>
      </c>
      <c r="M41" s="10">
        <f t="shared" si="1"/>
        <v>5020.58</v>
      </c>
      <c r="N41" s="10">
        <f t="shared" si="1"/>
        <v>5020.58</v>
      </c>
    </row>
  </sheetData>
  <mergeCells count="3">
    <mergeCell ref="A1:F1"/>
    <mergeCell ref="A3:A4"/>
    <mergeCell ref="B3:N4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EF26EB6-92AC-46D4-B0FD-93E00AD95F33}">
          <x14:formula1>
            <xm:f>'CUENTAS CONTABLES'!$G$5:$G$11</xm:f>
          </x14:formula1>
          <xm:sqref>B6:B12 B15:B21</xm:sqref>
        </x14:dataValidation>
        <x14:dataValidation type="list" showInputMessage="1" showErrorMessage="1" xr:uid="{E1294717-D50B-4C43-BB7E-914C5BF2F04E}">
          <x14:formula1>
            <xm:f>'CUENTAS CONTABLES'!$I$5:$I$19</xm:f>
          </x14:formula1>
          <xm:sqref>B26:B32</xm:sqref>
        </x14:dataValidation>
        <x14:dataValidation type="list" allowBlank="1" showInputMessage="1" showErrorMessage="1" xr:uid="{4AF6519F-7885-4FDE-9B2E-1CA2FD272B06}">
          <x14:formula1>
            <xm:f>'CUENTAS CONTABLES'!$G$5:$G$31</xm:f>
          </x14:formula1>
          <xm:sqref>B22:B23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169E1-B2F0-46C9-B563-108301DECDA7}">
  <sheetPr>
    <pageSetUpPr fitToPage="1"/>
  </sheetPr>
  <dimension ref="A1:O195"/>
  <sheetViews>
    <sheetView topLeftCell="A144" zoomScale="70" zoomScaleNormal="70" workbookViewId="0">
      <selection activeCell="H171" sqref="H171"/>
    </sheetView>
  </sheetViews>
  <sheetFormatPr baseColWidth="10" defaultRowHeight="15" x14ac:dyDescent="0.25"/>
  <cols>
    <col min="6" max="6" width="16.85546875" bestFit="1" customWidth="1"/>
    <col min="10" max="10" width="16.7109375" customWidth="1"/>
    <col min="13" max="14" width="7" bestFit="1" customWidth="1"/>
  </cols>
  <sheetData>
    <row r="1" spans="1:14" ht="36.6" customHeight="1" x14ac:dyDescent="0.4">
      <c r="A1" s="90" t="s">
        <v>103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</row>
    <row r="2" spans="1:14" ht="15.75" thickBot="1" x14ac:dyDescent="0.3">
      <c r="A2" s="21" t="s">
        <v>1</v>
      </c>
      <c r="B2" s="22" t="s">
        <v>11</v>
      </c>
      <c r="C2" s="22" t="s">
        <v>12</v>
      </c>
      <c r="D2" s="22" t="s">
        <v>9</v>
      </c>
      <c r="E2" s="22" t="s">
        <v>3</v>
      </c>
      <c r="F2" s="22" t="s">
        <v>4</v>
      </c>
      <c r="G2" s="22" t="s">
        <v>5</v>
      </c>
      <c r="H2" s="22" t="s">
        <v>6</v>
      </c>
      <c r="I2" s="22" t="s">
        <v>36</v>
      </c>
      <c r="J2" s="22" t="s">
        <v>10</v>
      </c>
      <c r="K2" s="22" t="s">
        <v>7</v>
      </c>
      <c r="L2" s="22" t="s">
        <v>8</v>
      </c>
      <c r="M2" s="22" t="s">
        <v>75</v>
      </c>
      <c r="N2" s="23" t="s">
        <v>100</v>
      </c>
    </row>
    <row r="3" spans="1:14" ht="15.75" thickTop="1" x14ac:dyDescent="0.25">
      <c r="A3" s="24">
        <v>45946</v>
      </c>
      <c r="B3" s="25" t="s">
        <v>73</v>
      </c>
      <c r="C3" s="19" t="s">
        <v>74</v>
      </c>
      <c r="D3" s="19" t="s">
        <v>17</v>
      </c>
      <c r="E3" s="19">
        <v>1</v>
      </c>
      <c r="F3" s="19">
        <v>35</v>
      </c>
      <c r="G3" s="19">
        <f t="shared" ref="G3:G8" si="0">E3*F3</f>
        <v>35</v>
      </c>
      <c r="H3" s="19" t="s">
        <v>38</v>
      </c>
      <c r="I3" s="19"/>
      <c r="J3" s="19" t="s">
        <v>18</v>
      </c>
      <c r="K3" s="19" t="str">
        <f t="shared" ref="K3:K8" si="1">UPPER(TEXT(A3,"MMMM"))</f>
        <v>OCTUBRE</v>
      </c>
      <c r="L3" s="19">
        <f t="shared" ref="L3:L8" si="2">+YEAR(A3)</f>
        <v>2025</v>
      </c>
      <c r="M3" s="19">
        <v>595</v>
      </c>
      <c r="N3" s="20" t="s">
        <v>93</v>
      </c>
    </row>
    <row r="4" spans="1:14" x14ac:dyDescent="0.25">
      <c r="A4" s="26">
        <v>45946</v>
      </c>
      <c r="B4" s="27" t="s">
        <v>78</v>
      </c>
      <c r="C4" s="27" t="s">
        <v>71</v>
      </c>
      <c r="D4" s="17" t="s">
        <v>17</v>
      </c>
      <c r="E4" s="17">
        <v>1</v>
      </c>
      <c r="F4" s="17">
        <v>45</v>
      </c>
      <c r="G4" s="17">
        <f t="shared" si="0"/>
        <v>45</v>
      </c>
      <c r="H4" s="17" t="s">
        <v>38</v>
      </c>
      <c r="I4" s="17"/>
      <c r="J4" s="17" t="s">
        <v>18</v>
      </c>
      <c r="K4" s="17" t="str">
        <f t="shared" si="1"/>
        <v>OCTUBRE</v>
      </c>
      <c r="L4" s="17">
        <f t="shared" si="2"/>
        <v>2025</v>
      </c>
      <c r="M4" s="17">
        <v>596</v>
      </c>
      <c r="N4" s="18" t="s">
        <v>94</v>
      </c>
    </row>
    <row r="5" spans="1:14" x14ac:dyDescent="0.25">
      <c r="A5" s="24">
        <v>45946</v>
      </c>
      <c r="B5" s="25" t="s">
        <v>79</v>
      </c>
      <c r="C5" s="25" t="s">
        <v>80</v>
      </c>
      <c r="D5" s="19" t="s">
        <v>17</v>
      </c>
      <c r="E5" s="19">
        <v>1</v>
      </c>
      <c r="F5" s="19">
        <v>10</v>
      </c>
      <c r="G5" s="19">
        <f t="shared" si="0"/>
        <v>10</v>
      </c>
      <c r="H5" s="19" t="s">
        <v>37</v>
      </c>
      <c r="I5" s="19"/>
      <c r="J5" s="19" t="s">
        <v>18</v>
      </c>
      <c r="K5" s="19" t="str">
        <f t="shared" si="1"/>
        <v>OCTUBRE</v>
      </c>
      <c r="L5" s="19">
        <f t="shared" si="2"/>
        <v>2025</v>
      </c>
      <c r="M5" s="19">
        <v>597</v>
      </c>
      <c r="N5" s="20" t="s">
        <v>95</v>
      </c>
    </row>
    <row r="6" spans="1:14" x14ac:dyDescent="0.25">
      <c r="A6" s="26">
        <v>45946</v>
      </c>
      <c r="B6" s="27" t="s">
        <v>76</v>
      </c>
      <c r="C6" s="27" t="s">
        <v>77</v>
      </c>
      <c r="D6" s="17" t="s">
        <v>17</v>
      </c>
      <c r="E6" s="17">
        <v>1</v>
      </c>
      <c r="F6" s="17">
        <v>100</v>
      </c>
      <c r="G6" s="17">
        <f t="shared" si="0"/>
        <v>100</v>
      </c>
      <c r="H6" s="17" t="s">
        <v>37</v>
      </c>
      <c r="I6" s="17"/>
      <c r="J6" s="17" t="s">
        <v>18</v>
      </c>
      <c r="K6" s="17" t="str">
        <f t="shared" si="1"/>
        <v>OCTUBRE</v>
      </c>
      <c r="L6" s="17">
        <f t="shared" si="2"/>
        <v>2025</v>
      </c>
      <c r="M6" s="17">
        <v>598</v>
      </c>
      <c r="N6" s="18" t="s">
        <v>89</v>
      </c>
    </row>
    <row r="7" spans="1:14" x14ac:dyDescent="0.25">
      <c r="A7" s="24">
        <v>45946</v>
      </c>
      <c r="B7" s="25" t="s">
        <v>85</v>
      </c>
      <c r="C7" s="25" t="s">
        <v>86</v>
      </c>
      <c r="D7" s="19" t="s">
        <v>17</v>
      </c>
      <c r="E7" s="19">
        <v>1</v>
      </c>
      <c r="F7" s="19">
        <v>20</v>
      </c>
      <c r="G7" s="19">
        <f t="shared" si="0"/>
        <v>20</v>
      </c>
      <c r="H7" s="19" t="s">
        <v>37</v>
      </c>
      <c r="I7" s="19"/>
      <c r="J7" s="19" t="s">
        <v>18</v>
      </c>
      <c r="K7" s="19" t="str">
        <f t="shared" si="1"/>
        <v>OCTUBRE</v>
      </c>
      <c r="L7" s="19">
        <f t="shared" si="2"/>
        <v>2025</v>
      </c>
      <c r="M7" s="19">
        <v>599</v>
      </c>
      <c r="N7" s="20" t="s">
        <v>91</v>
      </c>
    </row>
    <row r="8" spans="1:14" x14ac:dyDescent="0.25">
      <c r="A8" s="26">
        <v>45946</v>
      </c>
      <c r="B8" s="27" t="s">
        <v>87</v>
      </c>
      <c r="C8" s="27" t="s">
        <v>88</v>
      </c>
      <c r="D8" s="17" t="s">
        <v>17</v>
      </c>
      <c r="E8" s="17">
        <v>1</v>
      </c>
      <c r="F8" s="17">
        <v>60</v>
      </c>
      <c r="G8" s="17">
        <f t="shared" si="0"/>
        <v>60</v>
      </c>
      <c r="H8" s="17" t="s">
        <v>38</v>
      </c>
      <c r="I8" s="17"/>
      <c r="J8" s="17" t="s">
        <v>18</v>
      </c>
      <c r="K8" s="17" t="str">
        <f t="shared" si="1"/>
        <v>OCTUBRE</v>
      </c>
      <c r="L8" s="17">
        <f t="shared" si="2"/>
        <v>2025</v>
      </c>
      <c r="M8" s="17">
        <v>600</v>
      </c>
      <c r="N8" s="18" t="s">
        <v>92</v>
      </c>
    </row>
    <row r="9" spans="1:14" x14ac:dyDescent="0.25">
      <c r="A9" s="63"/>
      <c r="B9" s="64">
        <v>45946</v>
      </c>
      <c r="C9" s="64" t="s">
        <v>67</v>
      </c>
      <c r="D9" s="65" t="s">
        <v>72</v>
      </c>
      <c r="E9" s="66">
        <v>2</v>
      </c>
      <c r="F9" s="67">
        <v>1.5</v>
      </c>
      <c r="G9" s="67">
        <f>F9*E9</f>
        <v>3</v>
      </c>
      <c r="H9" s="65" t="s">
        <v>81</v>
      </c>
      <c r="I9" s="65"/>
      <c r="J9" s="65" t="str">
        <f>UPPER(TEXT(B9,"MMMM"))</f>
        <v>OCTUBRE</v>
      </c>
      <c r="K9" s="65">
        <f>+YEAR(B9)</f>
        <v>2025</v>
      </c>
      <c r="L9" s="65" t="s">
        <v>18</v>
      </c>
      <c r="M9" s="65" t="s">
        <v>98</v>
      </c>
      <c r="N9" s="51"/>
    </row>
    <row r="10" spans="1:14" x14ac:dyDescent="0.25">
      <c r="A10" s="63"/>
      <c r="B10" s="64">
        <v>45946</v>
      </c>
      <c r="C10" s="64" t="s">
        <v>67</v>
      </c>
      <c r="D10" s="65" t="s">
        <v>72</v>
      </c>
      <c r="E10" s="66">
        <v>1</v>
      </c>
      <c r="F10" s="67">
        <v>1</v>
      </c>
      <c r="G10" s="67">
        <f>F10*E10</f>
        <v>1</v>
      </c>
      <c r="H10" s="65" t="s">
        <v>82</v>
      </c>
      <c r="I10" s="65"/>
      <c r="J10" s="65" t="str">
        <f>UPPER(TEXT(B10,"MMMM"))</f>
        <v>OCTUBRE</v>
      </c>
      <c r="K10" s="65">
        <f>+YEAR(B10)</f>
        <v>2025</v>
      </c>
      <c r="L10" s="65" t="s">
        <v>18</v>
      </c>
      <c r="M10" s="65" t="s">
        <v>98</v>
      </c>
      <c r="N10" s="51"/>
    </row>
    <row r="11" spans="1:14" x14ac:dyDescent="0.25">
      <c r="B11" s="11" t="s">
        <v>1</v>
      </c>
      <c r="C11" s="11" t="s">
        <v>2</v>
      </c>
      <c r="D11" s="11" t="s">
        <v>61</v>
      </c>
      <c r="E11" s="11" t="s">
        <v>3</v>
      </c>
      <c r="F11" s="11" t="s">
        <v>4</v>
      </c>
      <c r="G11" s="11" t="s">
        <v>57</v>
      </c>
      <c r="H11" s="11" t="s">
        <v>58</v>
      </c>
      <c r="I11" s="11" t="s">
        <v>59</v>
      </c>
      <c r="J11" s="11" t="s">
        <v>7</v>
      </c>
      <c r="K11" s="11" t="s">
        <v>8</v>
      </c>
      <c r="L11" s="11" t="s">
        <v>10</v>
      </c>
      <c r="M11" s="11" t="s">
        <v>100</v>
      </c>
    </row>
    <row r="12" spans="1:14" x14ac:dyDescent="0.25">
      <c r="A12" s="60">
        <v>45946</v>
      </c>
      <c r="B12" s="47" t="s">
        <v>96</v>
      </c>
      <c r="C12" s="47" t="s">
        <v>97</v>
      </c>
      <c r="D12" s="47" t="s">
        <v>21</v>
      </c>
      <c r="E12" s="47">
        <v>1</v>
      </c>
      <c r="F12" s="47">
        <v>5</v>
      </c>
      <c r="G12" s="47">
        <f>E12*F12</f>
        <v>5</v>
      </c>
      <c r="H12" s="47" t="s">
        <v>38</v>
      </c>
      <c r="I12" s="47"/>
      <c r="J12" s="47" t="s">
        <v>18</v>
      </c>
      <c r="K12" s="47" t="str">
        <f>UPPER(TEXT(A12,"MMMM"))</f>
        <v>OCTUBRE</v>
      </c>
      <c r="L12" s="47">
        <f>+YEAR(A12)</f>
        <v>2025</v>
      </c>
      <c r="M12" s="47"/>
      <c r="N12" s="47" t="s">
        <v>99</v>
      </c>
    </row>
    <row r="13" spans="1:14" x14ac:dyDescent="0.25">
      <c r="A13" s="45"/>
      <c r="B13" s="46"/>
      <c r="C13" s="46"/>
      <c r="D13" s="46"/>
      <c r="E13" s="46"/>
      <c r="F13" s="46"/>
      <c r="G13" s="46">
        <f>E13*F13</f>
        <v>0</v>
      </c>
      <c r="H13" s="46"/>
      <c r="I13" s="46"/>
      <c r="J13" s="46"/>
      <c r="K13" s="46" t="str">
        <f>UPPER(TEXT(A13,"MMMM"))</f>
        <v>ENERO</v>
      </c>
      <c r="L13" s="46">
        <f>+YEAR(A13)</f>
        <v>1900</v>
      </c>
      <c r="M13" s="46"/>
      <c r="N13" s="46"/>
    </row>
    <row r="16" spans="1:14" x14ac:dyDescent="0.25">
      <c r="E16" t="s">
        <v>52</v>
      </c>
      <c r="F16">
        <f>SUM(F3:F9)</f>
        <v>271.5</v>
      </c>
    </row>
    <row r="17" spans="1:14" x14ac:dyDescent="0.25">
      <c r="E17" t="s">
        <v>101</v>
      </c>
      <c r="F17" s="16">
        <f>SUM(G12:G13)</f>
        <v>5</v>
      </c>
      <c r="H17" t="s">
        <v>104</v>
      </c>
    </row>
    <row r="18" spans="1:14" x14ac:dyDescent="0.25">
      <c r="H18" t="s">
        <v>1</v>
      </c>
    </row>
    <row r="19" spans="1:14" x14ac:dyDescent="0.25">
      <c r="D19" t="s">
        <v>102</v>
      </c>
      <c r="F19" s="16">
        <f>F16-F17</f>
        <v>266.5</v>
      </c>
    </row>
    <row r="21" spans="1:14" ht="26.25" x14ac:dyDescent="0.4">
      <c r="A21" s="90" t="s">
        <v>103</v>
      </c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</row>
    <row r="22" spans="1:14" ht="15.75" thickBot="1" x14ac:dyDescent="0.3">
      <c r="A22" s="21" t="s">
        <v>1</v>
      </c>
      <c r="B22" s="22" t="s">
        <v>11</v>
      </c>
      <c r="C22" s="22" t="s">
        <v>12</v>
      </c>
      <c r="D22" s="22" t="s">
        <v>9</v>
      </c>
      <c r="E22" s="22" t="s">
        <v>3</v>
      </c>
      <c r="F22" s="22" t="s">
        <v>4</v>
      </c>
      <c r="G22" s="22" t="s">
        <v>5</v>
      </c>
      <c r="H22" s="22" t="s">
        <v>6</v>
      </c>
      <c r="I22" s="22" t="s">
        <v>36</v>
      </c>
      <c r="J22" s="22" t="s">
        <v>10</v>
      </c>
      <c r="K22" s="22" t="s">
        <v>7</v>
      </c>
      <c r="L22" s="22" t="s">
        <v>8</v>
      </c>
      <c r="M22" s="22" t="s">
        <v>75</v>
      </c>
      <c r="N22" s="23" t="s">
        <v>100</v>
      </c>
    </row>
    <row r="23" spans="1:14" ht="15.75" thickTop="1" x14ac:dyDescent="0.25">
      <c r="A23" s="26">
        <v>45947</v>
      </c>
      <c r="B23" s="27" t="s">
        <v>105</v>
      </c>
      <c r="C23" s="27" t="s">
        <v>106</v>
      </c>
      <c r="D23" s="17" t="s">
        <v>17</v>
      </c>
      <c r="E23" s="17">
        <v>1</v>
      </c>
      <c r="F23" s="17">
        <v>300</v>
      </c>
      <c r="G23" s="17">
        <f t="shared" ref="G23:G28" si="3">E23*F23</f>
        <v>300</v>
      </c>
      <c r="H23" s="17" t="s">
        <v>38</v>
      </c>
      <c r="I23" s="17"/>
      <c r="J23" s="17" t="s">
        <v>18</v>
      </c>
      <c r="K23" s="17" t="str">
        <f t="shared" ref="K23:K28" si="4">UPPER(TEXT(A23,"MMMM"))</f>
        <v>OCTUBRE</v>
      </c>
      <c r="L23" s="17">
        <f t="shared" ref="L23:L28" si="5">+YEAR(A23)</f>
        <v>2025</v>
      </c>
      <c r="M23" s="17">
        <v>553</v>
      </c>
      <c r="N23" s="17"/>
    </row>
    <row r="24" spans="1:14" x14ac:dyDescent="0.25">
      <c r="A24" s="26">
        <v>45947</v>
      </c>
      <c r="B24" s="27" t="s">
        <v>115</v>
      </c>
      <c r="C24" s="27" t="s">
        <v>116</v>
      </c>
      <c r="D24" s="17" t="s">
        <v>17</v>
      </c>
      <c r="E24" s="17">
        <v>1</v>
      </c>
      <c r="F24" s="17">
        <v>185</v>
      </c>
      <c r="G24" s="17">
        <f t="shared" si="3"/>
        <v>185</v>
      </c>
      <c r="H24" s="17" t="s">
        <v>38</v>
      </c>
      <c r="I24" s="17"/>
      <c r="J24" s="17" t="s">
        <v>18</v>
      </c>
      <c r="K24" s="17" t="str">
        <f t="shared" si="4"/>
        <v>OCTUBRE</v>
      </c>
      <c r="L24" s="17">
        <f t="shared" si="5"/>
        <v>2025</v>
      </c>
      <c r="M24" s="17">
        <v>594</v>
      </c>
      <c r="N24" s="17" t="s">
        <v>121</v>
      </c>
    </row>
    <row r="25" spans="1:14" x14ac:dyDescent="0.25">
      <c r="A25" s="24">
        <v>45947</v>
      </c>
      <c r="B25" s="25" t="s">
        <v>79</v>
      </c>
      <c r="C25" s="25" t="s">
        <v>80</v>
      </c>
      <c r="D25" s="19" t="s">
        <v>17</v>
      </c>
      <c r="E25" s="19">
        <v>1</v>
      </c>
      <c r="F25" s="19">
        <v>35</v>
      </c>
      <c r="G25" s="19">
        <f t="shared" si="3"/>
        <v>35</v>
      </c>
      <c r="H25" s="19" t="s">
        <v>38</v>
      </c>
      <c r="I25" s="19"/>
      <c r="J25" s="19" t="s">
        <v>18</v>
      </c>
      <c r="K25" s="19" t="str">
        <f t="shared" si="4"/>
        <v>OCTUBRE</v>
      </c>
      <c r="L25" s="19">
        <f t="shared" si="5"/>
        <v>2025</v>
      </c>
      <c r="M25" s="19">
        <v>597</v>
      </c>
      <c r="N25" s="19" t="s">
        <v>120</v>
      </c>
    </row>
    <row r="26" spans="1:14" x14ac:dyDescent="0.25">
      <c r="A26" s="24">
        <v>45947</v>
      </c>
      <c r="B26" s="25" t="s">
        <v>114</v>
      </c>
      <c r="C26" s="25" t="s">
        <v>77</v>
      </c>
      <c r="D26" s="19" t="s">
        <v>17</v>
      </c>
      <c r="E26" s="19">
        <v>1</v>
      </c>
      <c r="F26" s="19">
        <v>20</v>
      </c>
      <c r="G26" s="19">
        <f t="shared" si="3"/>
        <v>20</v>
      </c>
      <c r="H26" s="19" t="s">
        <v>38</v>
      </c>
      <c r="I26" s="19"/>
      <c r="J26" s="19" t="s">
        <v>18</v>
      </c>
      <c r="K26" s="19" t="str">
        <f t="shared" si="4"/>
        <v>OCTUBRE</v>
      </c>
      <c r="L26" s="19">
        <f t="shared" si="5"/>
        <v>2025</v>
      </c>
      <c r="M26" s="19">
        <v>598</v>
      </c>
      <c r="N26" s="19" t="s">
        <v>122</v>
      </c>
    </row>
    <row r="27" spans="1:14" x14ac:dyDescent="0.25">
      <c r="A27" s="26">
        <v>45947</v>
      </c>
      <c r="B27" s="27" t="s">
        <v>109</v>
      </c>
      <c r="C27" s="27" t="s">
        <v>110</v>
      </c>
      <c r="D27" s="17" t="s">
        <v>17</v>
      </c>
      <c r="E27" s="17">
        <v>1</v>
      </c>
      <c r="F27" s="17">
        <v>0</v>
      </c>
      <c r="G27" s="17">
        <f t="shared" si="3"/>
        <v>0</v>
      </c>
      <c r="H27" s="17" t="s">
        <v>37</v>
      </c>
      <c r="I27" s="17"/>
      <c r="J27" s="17" t="s">
        <v>18</v>
      </c>
      <c r="K27" s="17" t="str">
        <f t="shared" si="4"/>
        <v>OCTUBRE</v>
      </c>
      <c r="L27" s="17">
        <f t="shared" si="5"/>
        <v>2025</v>
      </c>
      <c r="M27" s="17">
        <v>601</v>
      </c>
      <c r="N27" s="17"/>
    </row>
    <row r="28" spans="1:14" x14ac:dyDescent="0.25">
      <c r="A28" s="24">
        <v>45947</v>
      </c>
      <c r="B28" s="25" t="s">
        <v>107</v>
      </c>
      <c r="C28" s="25" t="s">
        <v>108</v>
      </c>
      <c r="D28" s="19" t="s">
        <v>17</v>
      </c>
      <c r="E28" s="19">
        <v>1</v>
      </c>
      <c r="F28" s="19">
        <v>5</v>
      </c>
      <c r="G28" s="19">
        <f t="shared" si="3"/>
        <v>5</v>
      </c>
      <c r="H28" s="19" t="s">
        <v>37</v>
      </c>
      <c r="I28" s="19"/>
      <c r="J28" s="19" t="s">
        <v>18</v>
      </c>
      <c r="K28" s="19" t="str">
        <f t="shared" si="4"/>
        <v>OCTUBRE</v>
      </c>
      <c r="L28" s="19">
        <f t="shared" si="5"/>
        <v>2025</v>
      </c>
      <c r="M28" s="19">
        <v>602</v>
      </c>
      <c r="N28" s="19" t="s">
        <v>112</v>
      </c>
    </row>
    <row r="30" spans="1:14" x14ac:dyDescent="0.25">
      <c r="B30" s="11" t="s">
        <v>1</v>
      </c>
      <c r="C30" s="11" t="s">
        <v>2</v>
      </c>
      <c r="D30" s="11" t="s">
        <v>61</v>
      </c>
      <c r="E30" s="11" t="s">
        <v>3</v>
      </c>
      <c r="F30" s="11" t="s">
        <v>4</v>
      </c>
      <c r="G30" s="11" t="s">
        <v>57</v>
      </c>
      <c r="H30" s="11" t="s">
        <v>58</v>
      </c>
      <c r="I30" s="11" t="s">
        <v>59</v>
      </c>
      <c r="J30" s="11" t="s">
        <v>7</v>
      </c>
      <c r="K30" s="11" t="s">
        <v>8</v>
      </c>
      <c r="L30" s="11" t="s">
        <v>10</v>
      </c>
      <c r="M30" s="11" t="s">
        <v>100</v>
      </c>
    </row>
    <row r="31" spans="1:14" x14ac:dyDescent="0.25">
      <c r="B31" s="12">
        <v>45947</v>
      </c>
      <c r="C31" s="12" t="s">
        <v>67</v>
      </c>
      <c r="D31" s="13" t="s">
        <v>72</v>
      </c>
      <c r="E31" s="14">
        <v>1</v>
      </c>
      <c r="F31" s="15">
        <v>0.5</v>
      </c>
      <c r="G31" s="15">
        <f>Tabla8[[#This Row],[CANTIDAD]]*Tabla8[[#This Row],[PRECIO]]</f>
        <v>4</v>
      </c>
      <c r="H31" s="13" t="s">
        <v>113</v>
      </c>
      <c r="I31" s="13"/>
      <c r="J31" s="13" t="str">
        <f>UPPER(TEXT(B31,"MMMM"))</f>
        <v>OCTUBRE</v>
      </c>
      <c r="K31" s="13">
        <f>+YEAR(B31)</f>
        <v>2025</v>
      </c>
      <c r="L31" s="13" t="s">
        <v>18</v>
      </c>
      <c r="M31" s="13" t="s">
        <v>119</v>
      </c>
    </row>
    <row r="32" spans="1:14" x14ac:dyDescent="0.25">
      <c r="B32" s="12">
        <v>45947</v>
      </c>
      <c r="C32" s="12" t="s">
        <v>67</v>
      </c>
      <c r="D32" s="13" t="s">
        <v>72</v>
      </c>
      <c r="E32" s="14">
        <v>1</v>
      </c>
      <c r="F32" s="15">
        <v>0.25</v>
      </c>
      <c r="G32" s="15">
        <f>Tabla8[[#This Row],[CANTIDAD]]*Tabla8[[#This Row],[PRECIO]]</f>
        <v>1.75</v>
      </c>
      <c r="H32" s="13" t="s">
        <v>117</v>
      </c>
      <c r="I32" s="13"/>
      <c r="J32" s="13" t="str">
        <f>UPPER(TEXT(B32,"MMMM"))</f>
        <v>OCTUBRE</v>
      </c>
      <c r="K32" s="13">
        <f>+YEAR(B32)</f>
        <v>2025</v>
      </c>
      <c r="L32" s="13" t="s">
        <v>18</v>
      </c>
      <c r="M32" s="13" t="s">
        <v>118</v>
      </c>
    </row>
    <row r="34" spans="1:14" x14ac:dyDescent="0.25">
      <c r="E34" t="s">
        <v>5</v>
      </c>
      <c r="F34">
        <f>SUM(F23:F28)</f>
        <v>545</v>
      </c>
    </row>
    <row r="35" spans="1:14" x14ac:dyDescent="0.25">
      <c r="E35" t="s">
        <v>57</v>
      </c>
      <c r="F35" s="16">
        <f>SUM(F31:F32)</f>
        <v>0.75</v>
      </c>
    </row>
    <row r="36" spans="1:14" x14ac:dyDescent="0.25">
      <c r="H36" t="s">
        <v>104</v>
      </c>
    </row>
    <row r="37" spans="1:14" x14ac:dyDescent="0.25">
      <c r="D37" t="s">
        <v>123</v>
      </c>
      <c r="F37" s="16">
        <f>F34-F35</f>
        <v>544.25</v>
      </c>
      <c r="H37" t="s">
        <v>1</v>
      </c>
    </row>
    <row r="40" spans="1:14" ht="26.25" x14ac:dyDescent="0.4">
      <c r="A40" s="90" t="s">
        <v>103</v>
      </c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</row>
    <row r="41" spans="1:14" ht="15.75" thickBot="1" x14ac:dyDescent="0.3">
      <c r="A41" s="21" t="s">
        <v>1</v>
      </c>
      <c r="B41" s="22" t="s">
        <v>11</v>
      </c>
      <c r="C41" s="22" t="s">
        <v>12</v>
      </c>
      <c r="D41" s="22" t="s">
        <v>9</v>
      </c>
      <c r="E41" s="22" t="s">
        <v>3</v>
      </c>
      <c r="F41" s="22" t="s">
        <v>4</v>
      </c>
      <c r="G41" s="22" t="s">
        <v>5</v>
      </c>
      <c r="H41" s="22" t="s">
        <v>6</v>
      </c>
      <c r="I41" s="22" t="s">
        <v>36</v>
      </c>
      <c r="J41" s="22" t="s">
        <v>10</v>
      </c>
      <c r="K41" s="22" t="s">
        <v>7</v>
      </c>
      <c r="L41" s="22" t="s">
        <v>8</v>
      </c>
      <c r="M41" s="22" t="s">
        <v>75</v>
      </c>
      <c r="N41" s="22" t="s">
        <v>100</v>
      </c>
    </row>
    <row r="42" spans="1:14" ht="15.75" thickTop="1" x14ac:dyDescent="0.25">
      <c r="A42" s="26">
        <v>45951</v>
      </c>
      <c r="B42" s="27" t="s">
        <v>152</v>
      </c>
      <c r="C42" s="27" t="s">
        <v>153</v>
      </c>
      <c r="D42" s="17" t="s">
        <v>17</v>
      </c>
      <c r="E42" s="17">
        <v>1</v>
      </c>
      <c r="F42" s="17">
        <v>130</v>
      </c>
      <c r="G42" s="17">
        <f>E42*F42</f>
        <v>130</v>
      </c>
      <c r="H42" s="17" t="s">
        <v>38</v>
      </c>
      <c r="I42" s="17" t="s">
        <v>151</v>
      </c>
      <c r="J42" s="17" t="s">
        <v>18</v>
      </c>
      <c r="K42" s="17" t="str">
        <f>UPPER(TEXT(A42,"MMMM"))</f>
        <v>OCTUBRE</v>
      </c>
      <c r="L42" s="17">
        <f>+YEAR(A42)</f>
        <v>2025</v>
      </c>
      <c r="M42" s="17">
        <v>583</v>
      </c>
      <c r="N42" s="17"/>
    </row>
    <row r="43" spans="1:14" x14ac:dyDescent="0.25">
      <c r="A43" s="24">
        <v>45948</v>
      </c>
      <c r="B43" s="25" t="s">
        <v>124</v>
      </c>
      <c r="C43" s="25" t="s">
        <v>86</v>
      </c>
      <c r="D43" s="19" t="s">
        <v>17</v>
      </c>
      <c r="E43" s="19">
        <v>1</v>
      </c>
      <c r="F43" s="19">
        <v>20</v>
      </c>
      <c r="G43" s="19">
        <v>20</v>
      </c>
      <c r="H43" s="19" t="s">
        <v>38</v>
      </c>
      <c r="I43" s="19"/>
      <c r="J43" s="19" t="s">
        <v>18</v>
      </c>
      <c r="K43" s="19" t="s">
        <v>49</v>
      </c>
      <c r="L43" s="19">
        <v>2025</v>
      </c>
      <c r="M43" s="19">
        <v>599</v>
      </c>
      <c r="N43" s="19"/>
    </row>
    <row r="44" spans="1:14" x14ac:dyDescent="0.25">
      <c r="A44" s="26">
        <v>45950</v>
      </c>
      <c r="B44" s="27" t="s">
        <v>105</v>
      </c>
      <c r="C44" s="27" t="s">
        <v>125</v>
      </c>
      <c r="D44" s="17" t="s">
        <v>17</v>
      </c>
      <c r="E44" s="17">
        <v>1</v>
      </c>
      <c r="F44" s="17">
        <v>150</v>
      </c>
      <c r="G44" s="17">
        <v>150</v>
      </c>
      <c r="H44" s="17" t="s">
        <v>37</v>
      </c>
      <c r="I44" s="17"/>
      <c r="J44" s="17" t="s">
        <v>84</v>
      </c>
      <c r="K44" s="17" t="s">
        <v>49</v>
      </c>
      <c r="L44" s="17">
        <v>2025</v>
      </c>
      <c r="M44" s="17">
        <v>603</v>
      </c>
      <c r="N44" s="19" t="s">
        <v>190</v>
      </c>
    </row>
    <row r="45" spans="1:14" x14ac:dyDescent="0.25">
      <c r="A45" s="24">
        <v>45950</v>
      </c>
      <c r="B45" s="25" t="s">
        <v>126</v>
      </c>
      <c r="C45" s="25" t="s">
        <v>127</v>
      </c>
      <c r="D45" s="19" t="s">
        <v>17</v>
      </c>
      <c r="E45" s="19">
        <v>1</v>
      </c>
      <c r="F45" s="19">
        <v>30</v>
      </c>
      <c r="G45" s="19">
        <v>30</v>
      </c>
      <c r="H45" s="19" t="s">
        <v>37</v>
      </c>
      <c r="I45" s="19"/>
      <c r="J45" s="19" t="s">
        <v>18</v>
      </c>
      <c r="K45" s="19" t="s">
        <v>49</v>
      </c>
      <c r="L45" s="19">
        <v>2025</v>
      </c>
      <c r="M45" s="19">
        <v>604</v>
      </c>
      <c r="N45" s="19" t="s">
        <v>140</v>
      </c>
    </row>
    <row r="46" spans="1:14" x14ac:dyDescent="0.25">
      <c r="A46" s="26">
        <v>45950</v>
      </c>
      <c r="B46" s="27" t="s">
        <v>128</v>
      </c>
      <c r="C46" s="27" t="s">
        <v>129</v>
      </c>
      <c r="D46" s="17" t="s">
        <v>17</v>
      </c>
      <c r="E46" s="17">
        <v>1</v>
      </c>
      <c r="F46" s="17">
        <v>20</v>
      </c>
      <c r="G46" s="17">
        <v>20</v>
      </c>
      <c r="H46" s="17" t="s">
        <v>37</v>
      </c>
      <c r="I46" s="17"/>
      <c r="J46" s="17" t="s">
        <v>18</v>
      </c>
      <c r="K46" s="17" t="s">
        <v>49</v>
      </c>
      <c r="L46" s="17">
        <v>2025</v>
      </c>
      <c r="M46" s="17">
        <v>605</v>
      </c>
      <c r="N46" s="17" t="s">
        <v>139</v>
      </c>
    </row>
    <row r="47" spans="1:14" x14ac:dyDescent="0.25">
      <c r="A47" s="24">
        <v>45950</v>
      </c>
      <c r="B47" s="25" t="s">
        <v>130</v>
      </c>
      <c r="C47" s="25" t="s">
        <v>13</v>
      </c>
      <c r="D47" s="19" t="s">
        <v>17</v>
      </c>
      <c r="E47" s="19">
        <v>1</v>
      </c>
      <c r="F47" s="19">
        <v>50</v>
      </c>
      <c r="G47" s="19">
        <v>50</v>
      </c>
      <c r="H47" s="19" t="s">
        <v>37</v>
      </c>
      <c r="I47" s="19"/>
      <c r="J47" s="19" t="s">
        <v>18</v>
      </c>
      <c r="K47" s="19" t="s">
        <v>49</v>
      </c>
      <c r="L47" s="19">
        <v>2025</v>
      </c>
      <c r="M47" s="19">
        <v>606</v>
      </c>
      <c r="N47" s="19" t="s">
        <v>138</v>
      </c>
    </row>
    <row r="48" spans="1:14" x14ac:dyDescent="0.25">
      <c r="A48" s="26">
        <v>45950</v>
      </c>
      <c r="B48" s="27" t="s">
        <v>131</v>
      </c>
      <c r="C48" s="27" t="s">
        <v>132</v>
      </c>
      <c r="D48" s="17"/>
      <c r="E48" s="17"/>
      <c r="F48" s="17">
        <v>0</v>
      </c>
      <c r="G48" s="17">
        <v>0</v>
      </c>
      <c r="H48" s="17"/>
      <c r="I48" s="17"/>
      <c r="J48" s="17"/>
      <c r="K48" s="17" t="s">
        <v>49</v>
      </c>
      <c r="L48" s="17">
        <v>2025</v>
      </c>
      <c r="M48" s="17">
        <v>607</v>
      </c>
      <c r="N48" s="17"/>
    </row>
    <row r="49" spans="1:14" x14ac:dyDescent="0.25">
      <c r="A49" s="24">
        <v>45950</v>
      </c>
      <c r="B49" s="25" t="s">
        <v>133</v>
      </c>
      <c r="C49" s="25" t="s">
        <v>132</v>
      </c>
      <c r="D49" s="19" t="s">
        <v>70</v>
      </c>
      <c r="E49" s="19">
        <v>1</v>
      </c>
      <c r="F49" s="19">
        <v>5</v>
      </c>
      <c r="G49" s="19">
        <v>5</v>
      </c>
      <c r="H49" s="19" t="s">
        <v>38</v>
      </c>
      <c r="I49" s="19" t="s">
        <v>134</v>
      </c>
      <c r="J49" s="19" t="s">
        <v>18</v>
      </c>
      <c r="K49" s="19" t="s">
        <v>49</v>
      </c>
      <c r="L49" s="19">
        <v>2025</v>
      </c>
      <c r="M49" s="19">
        <v>608</v>
      </c>
      <c r="N49" s="19" t="s">
        <v>137</v>
      </c>
    </row>
    <row r="50" spans="1:14" x14ac:dyDescent="0.25">
      <c r="A50" s="24">
        <v>45951</v>
      </c>
      <c r="B50" s="25" t="s">
        <v>144</v>
      </c>
      <c r="C50" s="25" t="s">
        <v>145</v>
      </c>
      <c r="D50" s="19"/>
      <c r="E50" s="19"/>
      <c r="F50" s="19"/>
      <c r="G50" s="19">
        <f>E50*F50</f>
        <v>0</v>
      </c>
      <c r="H50" s="19"/>
      <c r="I50" s="19"/>
      <c r="J50" s="19"/>
      <c r="K50" s="19" t="str">
        <f>UPPER(TEXT(A50,"MMMM"))</f>
        <v>OCTUBRE</v>
      </c>
      <c r="L50" s="19">
        <f>+YEAR(A50)</f>
        <v>2025</v>
      </c>
      <c r="M50" s="19">
        <v>609</v>
      </c>
      <c r="N50" s="19"/>
    </row>
    <row r="51" spans="1:14" x14ac:dyDescent="0.25">
      <c r="A51" s="26">
        <v>45951</v>
      </c>
      <c r="B51" s="27" t="s">
        <v>146</v>
      </c>
      <c r="C51" s="27" t="s">
        <v>147</v>
      </c>
      <c r="D51" s="17" t="s">
        <v>17</v>
      </c>
      <c r="E51" s="17">
        <v>1</v>
      </c>
      <c r="F51" s="17">
        <v>60</v>
      </c>
      <c r="G51" s="17">
        <f>E51*F51</f>
        <v>60</v>
      </c>
      <c r="H51" s="17" t="s">
        <v>37</v>
      </c>
      <c r="I51" s="17" t="s">
        <v>150</v>
      </c>
      <c r="J51" s="17" t="s">
        <v>18</v>
      </c>
      <c r="K51" s="17" t="str">
        <f>UPPER(TEXT(A51,"MMMM"))</f>
        <v>OCTUBRE</v>
      </c>
      <c r="L51" s="17">
        <f>+YEAR(A51)</f>
        <v>2025</v>
      </c>
      <c r="M51" s="17">
        <v>610</v>
      </c>
      <c r="N51" s="17"/>
    </row>
    <row r="52" spans="1:14" x14ac:dyDescent="0.25">
      <c r="A52" s="24">
        <v>45951</v>
      </c>
      <c r="B52" s="25" t="s">
        <v>148</v>
      </c>
      <c r="C52" s="25" t="s">
        <v>149</v>
      </c>
      <c r="D52" s="19" t="s">
        <v>17</v>
      </c>
      <c r="E52" s="19">
        <v>1</v>
      </c>
      <c r="F52" s="19">
        <v>15</v>
      </c>
      <c r="G52" s="19">
        <f>E52*F52</f>
        <v>15</v>
      </c>
      <c r="H52" s="19" t="s">
        <v>37</v>
      </c>
      <c r="I52" s="19" t="s">
        <v>150</v>
      </c>
      <c r="J52" s="19" t="s">
        <v>18</v>
      </c>
      <c r="K52" s="19" t="str">
        <f>UPPER(TEXT(A52,"MMMM"))</f>
        <v>OCTUBRE</v>
      </c>
      <c r="L52" s="19">
        <f>+YEAR(A52)</f>
        <v>2025</v>
      </c>
      <c r="M52" s="19">
        <v>611</v>
      </c>
      <c r="N52" s="19" t="s">
        <v>187</v>
      </c>
    </row>
    <row r="53" spans="1:14" x14ac:dyDescent="0.25">
      <c r="A53" s="26">
        <v>45950</v>
      </c>
      <c r="B53" s="27" t="s">
        <v>135</v>
      </c>
      <c r="C53" s="27"/>
      <c r="D53" s="17" t="s">
        <v>70</v>
      </c>
      <c r="E53" s="17">
        <v>1</v>
      </c>
      <c r="F53" s="17">
        <v>4</v>
      </c>
      <c r="G53" s="17">
        <v>4</v>
      </c>
      <c r="H53" s="17" t="s">
        <v>38</v>
      </c>
      <c r="I53" s="17" t="s">
        <v>134</v>
      </c>
      <c r="J53" s="17" t="s">
        <v>18</v>
      </c>
      <c r="K53" s="17" t="s">
        <v>49</v>
      </c>
      <c r="L53" s="17">
        <v>2025</v>
      </c>
      <c r="M53" s="17" t="s">
        <v>136</v>
      </c>
      <c r="N53" s="17"/>
    </row>
    <row r="54" spans="1:14" x14ac:dyDescent="0.25">
      <c r="F54" s="29" t="s">
        <v>5</v>
      </c>
      <c r="G54" s="30">
        <f>SUM(G42:G53)</f>
        <v>484</v>
      </c>
    </row>
    <row r="59" spans="1:14" x14ac:dyDescent="0.25">
      <c r="A59" s="11" t="s">
        <v>1</v>
      </c>
      <c r="B59" s="11" t="s">
        <v>2</v>
      </c>
      <c r="C59" s="11" t="s">
        <v>61</v>
      </c>
      <c r="D59" s="11" t="s">
        <v>3</v>
      </c>
      <c r="E59" s="11" t="s">
        <v>4</v>
      </c>
      <c r="F59" s="11" t="s">
        <v>57</v>
      </c>
      <c r="G59" s="11" t="s">
        <v>58</v>
      </c>
      <c r="H59" s="11" t="s">
        <v>59</v>
      </c>
      <c r="I59" s="11" t="s">
        <v>7</v>
      </c>
      <c r="J59" s="11" t="s">
        <v>8</v>
      </c>
      <c r="K59" s="11" t="s">
        <v>10</v>
      </c>
      <c r="L59" s="11" t="s">
        <v>90</v>
      </c>
    </row>
    <row r="60" spans="1:14" x14ac:dyDescent="0.25">
      <c r="A60" s="12">
        <v>45948</v>
      </c>
      <c r="B60" s="12" t="s">
        <v>67</v>
      </c>
      <c r="C60" s="13" t="s">
        <v>72</v>
      </c>
      <c r="D60" s="14">
        <v>1</v>
      </c>
      <c r="E60" s="15">
        <v>15</v>
      </c>
      <c r="F60" s="15">
        <f>D60*E60</f>
        <v>15</v>
      </c>
      <c r="G60" s="13" t="s">
        <v>141</v>
      </c>
      <c r="H60" s="13"/>
      <c r="I60" s="13" t="str">
        <f>UPPER(TEXT(A60,"MMMM"))</f>
        <v>OCTUBRE</v>
      </c>
      <c r="J60" s="13">
        <f>+YEAR(A60)</f>
        <v>2025</v>
      </c>
      <c r="K60" s="13" t="s">
        <v>18</v>
      </c>
      <c r="L60" s="13" t="s">
        <v>143</v>
      </c>
    </row>
    <row r="61" spans="1:14" x14ac:dyDescent="0.25">
      <c r="A61" s="12">
        <v>45948</v>
      </c>
      <c r="B61" s="12" t="s">
        <v>67</v>
      </c>
      <c r="C61" s="13" t="s">
        <v>72</v>
      </c>
      <c r="D61" s="14">
        <v>2</v>
      </c>
      <c r="E61" s="15">
        <v>0.2</v>
      </c>
      <c r="F61" s="15">
        <f>D61*E61</f>
        <v>0.4</v>
      </c>
      <c r="G61" s="13" t="s">
        <v>142</v>
      </c>
      <c r="H61" s="13"/>
      <c r="I61" s="13" t="str">
        <f>UPPER(TEXT(A61,"MMMM"))</f>
        <v>OCTUBRE</v>
      </c>
      <c r="J61" s="13">
        <f>+YEAR(A61)</f>
        <v>2025</v>
      </c>
      <c r="K61" s="13" t="s">
        <v>18</v>
      </c>
      <c r="L61" s="13" t="s">
        <v>143</v>
      </c>
    </row>
    <row r="62" spans="1:14" x14ac:dyDescent="0.25">
      <c r="A62" s="12">
        <v>45951</v>
      </c>
      <c r="B62" s="12" t="s">
        <v>67</v>
      </c>
      <c r="C62" s="13" t="s">
        <v>72</v>
      </c>
      <c r="D62" s="14">
        <v>1</v>
      </c>
      <c r="E62" s="15">
        <v>3</v>
      </c>
      <c r="F62" s="15">
        <f>D62*E62</f>
        <v>3</v>
      </c>
      <c r="G62" s="13" t="s">
        <v>154</v>
      </c>
      <c r="H62" s="13"/>
      <c r="I62" s="13" t="str">
        <f>UPPER(TEXT(A62,"MMMM"))</f>
        <v>OCTUBRE</v>
      </c>
      <c r="J62" s="13">
        <f>+YEAR(A62)</f>
        <v>2025</v>
      </c>
      <c r="K62" s="13" t="s">
        <v>18</v>
      </c>
      <c r="L62" s="13"/>
    </row>
    <row r="63" spans="1:14" x14ac:dyDescent="0.25">
      <c r="A63" s="12">
        <v>45951</v>
      </c>
      <c r="B63" s="12" t="s">
        <v>67</v>
      </c>
      <c r="C63" s="13" t="s">
        <v>72</v>
      </c>
      <c r="D63" s="14">
        <v>1</v>
      </c>
      <c r="E63" s="15">
        <v>3.35</v>
      </c>
      <c r="F63" s="15">
        <f>D63*E63</f>
        <v>3.35</v>
      </c>
      <c r="G63" s="13" t="s">
        <v>31</v>
      </c>
      <c r="H63" s="13"/>
      <c r="I63" s="13" t="str">
        <f>UPPER(TEXT(A63,"MMMM"))</f>
        <v>OCTUBRE</v>
      </c>
      <c r="J63" s="13">
        <f>+YEAR(A63)</f>
        <v>2025</v>
      </c>
      <c r="K63" s="13" t="s">
        <v>18</v>
      </c>
      <c r="L63" s="13"/>
    </row>
    <row r="64" spans="1:14" x14ac:dyDescent="0.25">
      <c r="A64" s="12">
        <v>45951</v>
      </c>
      <c r="B64" s="12" t="s">
        <v>67</v>
      </c>
      <c r="C64" s="13" t="s">
        <v>72</v>
      </c>
      <c r="D64" s="14">
        <v>1</v>
      </c>
      <c r="E64" s="15">
        <v>20</v>
      </c>
      <c r="F64" s="15">
        <f>D64*E64</f>
        <v>20</v>
      </c>
      <c r="G64" s="13" t="s">
        <v>155</v>
      </c>
      <c r="H64" s="13"/>
      <c r="I64" s="13" t="str">
        <f>UPPER(TEXT(A64,"MMMM"))</f>
        <v>OCTUBRE</v>
      </c>
      <c r="J64" s="13">
        <f>+YEAR(A64)</f>
        <v>2025</v>
      </c>
      <c r="K64" s="13" t="s">
        <v>18</v>
      </c>
      <c r="L64" s="13"/>
    </row>
    <row r="65" spans="1:14" x14ac:dyDescent="0.25">
      <c r="E65" s="31" t="s">
        <v>57</v>
      </c>
      <c r="F65" s="32">
        <f>SUM(F60:F64)</f>
        <v>41.75</v>
      </c>
    </row>
    <row r="66" spans="1:14" x14ac:dyDescent="0.25">
      <c r="H66" t="s">
        <v>104</v>
      </c>
    </row>
    <row r="67" spans="1:14" x14ac:dyDescent="0.25">
      <c r="D67" t="s">
        <v>123</v>
      </c>
      <c r="F67" s="16">
        <f>G54-F65</f>
        <v>442.25</v>
      </c>
      <c r="H67" t="s">
        <v>1</v>
      </c>
    </row>
    <row r="68" spans="1:14" ht="15.75" thickBot="1" x14ac:dyDescent="0.3"/>
    <row r="69" spans="1:14" ht="15.75" thickBot="1" x14ac:dyDescent="0.3">
      <c r="F69" s="33"/>
      <c r="G69" s="34" t="s">
        <v>156</v>
      </c>
      <c r="H69" s="35"/>
    </row>
    <row r="70" spans="1:14" ht="20.45" customHeight="1" x14ac:dyDescent="0.4">
      <c r="A70" s="28"/>
      <c r="B70" s="28"/>
      <c r="C70" s="28"/>
      <c r="D70" s="28"/>
      <c r="E70" s="28"/>
      <c r="F70" s="36">
        <v>20</v>
      </c>
      <c r="G70" s="37">
        <v>8</v>
      </c>
      <c r="H70" s="38">
        <f>F70*G70</f>
        <v>160</v>
      </c>
      <c r="I70" s="28"/>
      <c r="J70" s="28"/>
      <c r="K70" s="28"/>
      <c r="L70" s="28"/>
      <c r="M70" s="28"/>
      <c r="N70" s="28"/>
    </row>
    <row r="71" spans="1:14" x14ac:dyDescent="0.25">
      <c r="F71" s="39">
        <v>10</v>
      </c>
      <c r="G71" s="40">
        <v>8</v>
      </c>
      <c r="H71" s="41">
        <f>F71*G71</f>
        <v>80</v>
      </c>
    </row>
    <row r="72" spans="1:14" x14ac:dyDescent="0.25">
      <c r="F72" s="39">
        <v>5</v>
      </c>
      <c r="G72" s="40">
        <v>10</v>
      </c>
      <c r="H72" s="41">
        <f>F72*G72</f>
        <v>50</v>
      </c>
    </row>
    <row r="73" spans="1:14" x14ac:dyDescent="0.25">
      <c r="F73" s="39">
        <v>1</v>
      </c>
      <c r="G73" s="40">
        <v>1</v>
      </c>
      <c r="H73" s="41">
        <f>F73*G73</f>
        <v>1</v>
      </c>
    </row>
    <row r="74" spans="1:14" x14ac:dyDescent="0.25">
      <c r="F74" s="39">
        <v>0.25</v>
      </c>
      <c r="G74" s="40">
        <v>5</v>
      </c>
      <c r="H74" s="41">
        <f>F74*G74</f>
        <v>1.25</v>
      </c>
    </row>
    <row r="75" spans="1:14" x14ac:dyDescent="0.25">
      <c r="F75" s="39"/>
      <c r="G75" s="40"/>
      <c r="H75" s="41"/>
    </row>
    <row r="76" spans="1:14" ht="15.75" thickBot="1" x14ac:dyDescent="0.3">
      <c r="F76" s="42"/>
      <c r="G76" s="43"/>
      <c r="H76" s="44">
        <f>SUM(H70:H75)</f>
        <v>292.25</v>
      </c>
    </row>
    <row r="79" spans="1:14" ht="26.25" x14ac:dyDescent="0.4">
      <c r="A79" s="90" t="s">
        <v>103</v>
      </c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</row>
    <row r="80" spans="1:14" ht="15.75" thickBot="1" x14ac:dyDescent="0.3">
      <c r="A80" s="21" t="s">
        <v>1</v>
      </c>
      <c r="B80" s="22" t="s">
        <v>11</v>
      </c>
      <c r="C80" s="22" t="s">
        <v>12</v>
      </c>
      <c r="D80" s="22" t="s">
        <v>9</v>
      </c>
      <c r="E80" s="22" t="s">
        <v>3</v>
      </c>
      <c r="F80" s="22" t="s">
        <v>4</v>
      </c>
      <c r="G80" s="22" t="s">
        <v>5</v>
      </c>
      <c r="H80" s="22" t="s">
        <v>6</v>
      </c>
      <c r="I80" s="22" t="s">
        <v>36</v>
      </c>
      <c r="J80" s="22" t="s">
        <v>10</v>
      </c>
      <c r="K80" s="22" t="s">
        <v>7</v>
      </c>
      <c r="L80" s="22" t="s">
        <v>8</v>
      </c>
      <c r="M80" s="22" t="s">
        <v>75</v>
      </c>
      <c r="N80" s="22" t="s">
        <v>100</v>
      </c>
    </row>
    <row r="81" spans="1:14" ht="15.75" thickTop="1" x14ac:dyDescent="0.25">
      <c r="A81" s="24">
        <v>45954</v>
      </c>
      <c r="B81" s="25" t="s">
        <v>180</v>
      </c>
      <c r="C81" s="25" t="s">
        <v>181</v>
      </c>
      <c r="D81" s="19" t="s">
        <v>17</v>
      </c>
      <c r="E81" s="19">
        <v>1</v>
      </c>
      <c r="F81" s="19">
        <v>60</v>
      </c>
      <c r="G81" s="19">
        <f t="shared" ref="G81:G97" si="6">E81*F81</f>
        <v>60</v>
      </c>
      <c r="H81" s="19" t="s">
        <v>38</v>
      </c>
      <c r="I81" s="19" t="s">
        <v>182</v>
      </c>
      <c r="J81" s="19" t="s">
        <v>18</v>
      </c>
      <c r="K81" s="19" t="str">
        <f t="shared" ref="K81:K97" si="7">UPPER(TEXT(A81,"MMMM"))</f>
        <v>OCTUBRE</v>
      </c>
      <c r="L81" s="19">
        <f t="shared" ref="L81:L97" si="8">+YEAR(A81)</f>
        <v>2025</v>
      </c>
      <c r="M81" s="19">
        <v>574</v>
      </c>
      <c r="N81" s="17" t="s">
        <v>197</v>
      </c>
    </row>
    <row r="82" spans="1:14" x14ac:dyDescent="0.25">
      <c r="A82" s="26">
        <v>45953</v>
      </c>
      <c r="B82" s="27" t="s">
        <v>109</v>
      </c>
      <c r="C82" s="27" t="s">
        <v>110</v>
      </c>
      <c r="D82" s="17" t="s">
        <v>17</v>
      </c>
      <c r="E82" s="17">
        <v>1</v>
      </c>
      <c r="F82" s="17">
        <v>5</v>
      </c>
      <c r="G82" s="17">
        <f t="shared" si="6"/>
        <v>5</v>
      </c>
      <c r="H82" s="17" t="s">
        <v>38</v>
      </c>
      <c r="I82" s="17" t="s">
        <v>111</v>
      </c>
      <c r="J82" s="17" t="s">
        <v>18</v>
      </c>
      <c r="K82" s="17" t="str">
        <f t="shared" si="7"/>
        <v>OCTUBRE</v>
      </c>
      <c r="L82" s="17">
        <f t="shared" si="8"/>
        <v>2025</v>
      </c>
      <c r="M82" s="17">
        <v>601</v>
      </c>
      <c r="N82" s="17" t="s">
        <v>192</v>
      </c>
    </row>
    <row r="83" spans="1:14" x14ac:dyDescent="0.25">
      <c r="A83" s="24">
        <v>45953</v>
      </c>
      <c r="B83" s="25" t="s">
        <v>105</v>
      </c>
      <c r="C83" s="25" t="s">
        <v>125</v>
      </c>
      <c r="D83" s="19" t="s">
        <v>17</v>
      </c>
      <c r="E83" s="19">
        <v>1</v>
      </c>
      <c r="F83" s="19">
        <v>150</v>
      </c>
      <c r="G83" s="19">
        <f t="shared" si="6"/>
        <v>150</v>
      </c>
      <c r="H83" s="19" t="s">
        <v>38</v>
      </c>
      <c r="I83" s="19"/>
      <c r="J83" s="19" t="s">
        <v>18</v>
      </c>
      <c r="K83" s="19" t="str">
        <f t="shared" si="7"/>
        <v>OCTUBRE</v>
      </c>
      <c r="L83" s="19">
        <f t="shared" si="8"/>
        <v>2025</v>
      </c>
      <c r="M83" s="19">
        <v>603</v>
      </c>
      <c r="N83" s="19" t="s">
        <v>191</v>
      </c>
    </row>
    <row r="84" spans="1:14" x14ac:dyDescent="0.25">
      <c r="A84" s="24">
        <v>45953</v>
      </c>
      <c r="B84" s="25" t="s">
        <v>128</v>
      </c>
      <c r="C84" s="25" t="s">
        <v>129</v>
      </c>
      <c r="D84" s="19" t="s">
        <v>17</v>
      </c>
      <c r="E84" s="19">
        <v>1</v>
      </c>
      <c r="F84" s="19">
        <v>40</v>
      </c>
      <c r="G84" s="19">
        <f t="shared" si="6"/>
        <v>40</v>
      </c>
      <c r="H84" s="19" t="s">
        <v>38</v>
      </c>
      <c r="I84" s="19"/>
      <c r="J84" s="19" t="s">
        <v>18</v>
      </c>
      <c r="K84" s="19" t="str">
        <f t="shared" si="7"/>
        <v>OCTUBRE</v>
      </c>
      <c r="L84" s="19">
        <f t="shared" si="8"/>
        <v>2025</v>
      </c>
      <c r="M84" s="19">
        <v>605</v>
      </c>
      <c r="N84" s="19" t="s">
        <v>195</v>
      </c>
    </row>
    <row r="85" spans="1:14" x14ac:dyDescent="0.25">
      <c r="A85" s="26">
        <v>45952</v>
      </c>
      <c r="B85" s="27" t="s">
        <v>144</v>
      </c>
      <c r="C85" s="27" t="s">
        <v>145</v>
      </c>
      <c r="D85" s="17" t="s">
        <v>70</v>
      </c>
      <c r="E85" s="17">
        <v>1</v>
      </c>
      <c r="F85" s="17">
        <v>12</v>
      </c>
      <c r="G85" s="17">
        <f t="shared" si="6"/>
        <v>12</v>
      </c>
      <c r="H85" s="17" t="s">
        <v>38</v>
      </c>
      <c r="I85" s="17" t="s">
        <v>158</v>
      </c>
      <c r="J85" s="17" t="s">
        <v>18</v>
      </c>
      <c r="K85" s="17" t="str">
        <f t="shared" si="7"/>
        <v>OCTUBRE</v>
      </c>
      <c r="L85" s="17">
        <f t="shared" si="8"/>
        <v>2025</v>
      </c>
      <c r="M85" s="17">
        <v>609</v>
      </c>
      <c r="N85" s="17" t="s">
        <v>185</v>
      </c>
    </row>
    <row r="86" spans="1:14" x14ac:dyDescent="0.25">
      <c r="A86" s="24">
        <v>45952</v>
      </c>
      <c r="B86" s="25" t="s">
        <v>165</v>
      </c>
      <c r="C86" s="25" t="s">
        <v>149</v>
      </c>
      <c r="D86" s="19" t="s">
        <v>17</v>
      </c>
      <c r="E86" s="19">
        <v>1</v>
      </c>
      <c r="F86" s="19">
        <v>40</v>
      </c>
      <c r="G86" s="19">
        <f t="shared" si="6"/>
        <v>40</v>
      </c>
      <c r="H86" s="19" t="s">
        <v>38</v>
      </c>
      <c r="I86" s="19"/>
      <c r="J86" s="19" t="s">
        <v>18</v>
      </c>
      <c r="K86" s="19" t="str">
        <f t="shared" si="7"/>
        <v>OCTUBRE</v>
      </c>
      <c r="L86" s="19">
        <f t="shared" si="8"/>
        <v>2025</v>
      </c>
      <c r="M86" s="19">
        <v>611</v>
      </c>
      <c r="N86" s="19" t="s">
        <v>188</v>
      </c>
    </row>
    <row r="87" spans="1:14" x14ac:dyDescent="0.25">
      <c r="A87" s="24">
        <v>45951</v>
      </c>
      <c r="B87" s="25" t="s">
        <v>157</v>
      </c>
      <c r="C87" s="25" t="s">
        <v>247</v>
      </c>
      <c r="D87" s="19" t="s">
        <v>17</v>
      </c>
      <c r="E87" s="19">
        <v>1</v>
      </c>
      <c r="F87" s="19">
        <v>115</v>
      </c>
      <c r="G87" s="19">
        <f t="shared" si="6"/>
        <v>115</v>
      </c>
      <c r="H87" s="19" t="s">
        <v>38</v>
      </c>
      <c r="I87" s="19" t="s">
        <v>248</v>
      </c>
      <c r="J87" s="19" t="s">
        <v>84</v>
      </c>
      <c r="K87" s="19" t="str">
        <f t="shared" si="7"/>
        <v>OCTUBRE</v>
      </c>
      <c r="L87" s="19">
        <f t="shared" si="8"/>
        <v>2025</v>
      </c>
      <c r="M87" s="19">
        <v>612</v>
      </c>
      <c r="N87" s="19"/>
    </row>
    <row r="88" spans="1:14" x14ac:dyDescent="0.25">
      <c r="A88" s="26">
        <v>45952</v>
      </c>
      <c r="B88" s="27" t="s">
        <v>163</v>
      </c>
      <c r="C88" s="27" t="s">
        <v>164</v>
      </c>
      <c r="D88" s="17" t="s">
        <v>17</v>
      </c>
      <c r="E88" s="17">
        <v>1</v>
      </c>
      <c r="F88" s="17">
        <v>20</v>
      </c>
      <c r="G88" s="17">
        <f t="shared" si="6"/>
        <v>20</v>
      </c>
      <c r="H88" s="17" t="s">
        <v>37</v>
      </c>
      <c r="I88" s="17"/>
      <c r="J88" s="17" t="s">
        <v>18</v>
      </c>
      <c r="K88" s="17" t="str">
        <f t="shared" si="7"/>
        <v>OCTUBRE</v>
      </c>
      <c r="L88" s="17">
        <f t="shared" si="8"/>
        <v>2025</v>
      </c>
      <c r="M88" s="17">
        <v>613</v>
      </c>
      <c r="N88" s="17"/>
    </row>
    <row r="89" spans="1:14" x14ac:dyDescent="0.25">
      <c r="A89" s="24">
        <v>45953</v>
      </c>
      <c r="B89" s="25" t="s">
        <v>170</v>
      </c>
      <c r="C89" s="25" t="s">
        <v>171</v>
      </c>
      <c r="D89" s="19" t="s">
        <v>17</v>
      </c>
      <c r="E89" s="19">
        <v>1</v>
      </c>
      <c r="F89" s="19">
        <v>39</v>
      </c>
      <c r="G89" s="19">
        <f t="shared" si="6"/>
        <v>39</v>
      </c>
      <c r="H89" s="19" t="s">
        <v>38</v>
      </c>
      <c r="I89" s="19" t="s">
        <v>172</v>
      </c>
      <c r="J89" s="19" t="s">
        <v>18</v>
      </c>
      <c r="K89" s="19" t="str">
        <f t="shared" si="7"/>
        <v>OCTUBRE</v>
      </c>
      <c r="L89" s="19">
        <f t="shared" si="8"/>
        <v>2025</v>
      </c>
      <c r="M89" s="19">
        <v>614</v>
      </c>
      <c r="N89" s="19" t="s">
        <v>193</v>
      </c>
    </row>
    <row r="90" spans="1:14" x14ac:dyDescent="0.25">
      <c r="A90" s="26">
        <v>45953</v>
      </c>
      <c r="B90" s="27" t="s">
        <v>168</v>
      </c>
      <c r="C90" s="27" t="s">
        <v>169</v>
      </c>
      <c r="D90" s="17" t="s">
        <v>17</v>
      </c>
      <c r="E90" s="17">
        <v>1</v>
      </c>
      <c r="F90" s="17">
        <v>30</v>
      </c>
      <c r="G90" s="17">
        <f t="shared" si="6"/>
        <v>30</v>
      </c>
      <c r="H90" s="17" t="s">
        <v>37</v>
      </c>
      <c r="I90" s="17"/>
      <c r="J90" s="17" t="s">
        <v>18</v>
      </c>
      <c r="K90" s="17" t="str">
        <f t="shared" si="7"/>
        <v>OCTUBRE</v>
      </c>
      <c r="L90" s="17">
        <f t="shared" si="8"/>
        <v>2025</v>
      </c>
      <c r="M90" s="17">
        <v>617</v>
      </c>
      <c r="N90" s="17" t="s">
        <v>189</v>
      </c>
    </row>
    <row r="91" spans="1:14" x14ac:dyDescent="0.25">
      <c r="A91" s="26">
        <v>45953</v>
      </c>
      <c r="B91" s="27" t="s">
        <v>131</v>
      </c>
      <c r="C91" s="27" t="s">
        <v>173</v>
      </c>
      <c r="D91" s="17" t="s">
        <v>17</v>
      </c>
      <c r="E91" s="17">
        <v>1</v>
      </c>
      <c r="F91" s="17">
        <v>15</v>
      </c>
      <c r="G91" s="17">
        <f t="shared" si="6"/>
        <v>15</v>
      </c>
      <c r="H91" s="17" t="s">
        <v>37</v>
      </c>
      <c r="I91" s="17"/>
      <c r="J91" s="17" t="s">
        <v>18</v>
      </c>
      <c r="K91" s="17" t="str">
        <f t="shared" si="7"/>
        <v>OCTUBRE</v>
      </c>
      <c r="L91" s="17">
        <f t="shared" si="8"/>
        <v>2025</v>
      </c>
      <c r="M91" s="17">
        <v>618</v>
      </c>
      <c r="N91" s="17" t="s">
        <v>194</v>
      </c>
    </row>
    <row r="92" spans="1:14" x14ac:dyDescent="0.25">
      <c r="A92" s="24">
        <v>45954</v>
      </c>
      <c r="B92" s="25" t="s">
        <v>131</v>
      </c>
      <c r="C92" s="19" t="s">
        <v>173</v>
      </c>
      <c r="D92" s="19" t="s">
        <v>17</v>
      </c>
      <c r="E92" s="19">
        <v>1</v>
      </c>
      <c r="F92" s="19">
        <v>70</v>
      </c>
      <c r="G92" s="19">
        <f t="shared" si="6"/>
        <v>70</v>
      </c>
      <c r="H92" s="19" t="s">
        <v>38</v>
      </c>
      <c r="I92" s="19" t="s">
        <v>17</v>
      </c>
      <c r="J92" s="19" t="s">
        <v>18</v>
      </c>
      <c r="K92" s="19" t="str">
        <f t="shared" si="7"/>
        <v>OCTUBRE</v>
      </c>
      <c r="L92" s="19">
        <f t="shared" si="8"/>
        <v>2025</v>
      </c>
      <c r="M92" s="19">
        <v>618</v>
      </c>
      <c r="N92" s="17" t="s">
        <v>198</v>
      </c>
    </row>
    <row r="93" spans="1:14" x14ac:dyDescent="0.25">
      <c r="A93" s="24">
        <v>45952</v>
      </c>
      <c r="B93" s="25" t="s">
        <v>159</v>
      </c>
      <c r="C93" s="19" t="s">
        <v>160</v>
      </c>
      <c r="D93" s="19" t="s">
        <v>17</v>
      </c>
      <c r="E93" s="19">
        <v>1</v>
      </c>
      <c r="F93" s="19">
        <v>100</v>
      </c>
      <c r="G93" s="19">
        <f t="shared" si="6"/>
        <v>100</v>
      </c>
      <c r="H93" s="19" t="s">
        <v>37</v>
      </c>
      <c r="I93" s="19" t="s">
        <v>161</v>
      </c>
      <c r="J93" s="19" t="s">
        <v>18</v>
      </c>
      <c r="K93" s="19" t="str">
        <f t="shared" si="7"/>
        <v>OCTUBRE</v>
      </c>
      <c r="L93" s="19">
        <f t="shared" si="8"/>
        <v>2025</v>
      </c>
      <c r="M93" s="19" t="s">
        <v>162</v>
      </c>
      <c r="N93" s="19" t="s">
        <v>186</v>
      </c>
    </row>
    <row r="94" spans="1:14" x14ac:dyDescent="0.25">
      <c r="A94" s="26">
        <v>45952</v>
      </c>
      <c r="B94" s="27" t="s">
        <v>166</v>
      </c>
      <c r="C94" s="17" t="s">
        <v>71</v>
      </c>
      <c r="D94" s="17" t="s">
        <v>17</v>
      </c>
      <c r="E94" s="17">
        <v>1</v>
      </c>
      <c r="F94" s="17">
        <v>20</v>
      </c>
      <c r="G94" s="17">
        <f t="shared" si="6"/>
        <v>20</v>
      </c>
      <c r="H94" s="17" t="s">
        <v>37</v>
      </c>
      <c r="I94" s="17" t="s">
        <v>167</v>
      </c>
      <c r="J94" s="17" t="s">
        <v>18</v>
      </c>
      <c r="K94" s="17" t="str">
        <f t="shared" si="7"/>
        <v>OCTUBRE</v>
      </c>
      <c r="L94" s="17">
        <f t="shared" si="8"/>
        <v>2025</v>
      </c>
      <c r="M94" s="17" t="s">
        <v>136</v>
      </c>
      <c r="N94" s="17"/>
    </row>
    <row r="95" spans="1:14" x14ac:dyDescent="0.25">
      <c r="A95" s="24">
        <v>45953</v>
      </c>
      <c r="B95" s="25" t="s">
        <v>166</v>
      </c>
      <c r="C95" s="19" t="s">
        <v>71</v>
      </c>
      <c r="D95" s="19" t="s">
        <v>17</v>
      </c>
      <c r="E95" s="19">
        <v>1</v>
      </c>
      <c r="F95" s="19">
        <v>5</v>
      </c>
      <c r="G95" s="19">
        <f t="shared" si="6"/>
        <v>5</v>
      </c>
      <c r="H95" s="19" t="s">
        <v>38</v>
      </c>
      <c r="I95" s="19" t="s">
        <v>167</v>
      </c>
      <c r="J95" s="19" t="s">
        <v>18</v>
      </c>
      <c r="K95" s="19" t="str">
        <f t="shared" si="7"/>
        <v>OCTUBRE</v>
      </c>
      <c r="L95" s="19">
        <f t="shared" si="8"/>
        <v>2025</v>
      </c>
      <c r="M95" s="19" t="s">
        <v>136</v>
      </c>
      <c r="N95" s="47"/>
    </row>
    <row r="96" spans="1:14" x14ac:dyDescent="0.25">
      <c r="A96" s="45">
        <v>45953</v>
      </c>
      <c r="B96" s="46" t="s">
        <v>174</v>
      </c>
      <c r="C96" s="46" t="s">
        <v>175</v>
      </c>
      <c r="D96" s="46" t="s">
        <v>21</v>
      </c>
      <c r="E96" s="46">
        <v>1</v>
      </c>
      <c r="F96" s="46">
        <v>5</v>
      </c>
      <c r="G96" s="46">
        <f t="shared" si="6"/>
        <v>5</v>
      </c>
      <c r="H96" s="46" t="s">
        <v>38</v>
      </c>
      <c r="I96" s="46"/>
      <c r="J96" s="46" t="s">
        <v>18</v>
      </c>
      <c r="K96" s="46" t="str">
        <f t="shared" si="7"/>
        <v>OCTUBRE</v>
      </c>
      <c r="L96" s="46">
        <f t="shared" si="8"/>
        <v>2025</v>
      </c>
      <c r="M96" s="46" t="s">
        <v>136</v>
      </c>
      <c r="N96" s="46" t="s">
        <v>196</v>
      </c>
    </row>
    <row r="97" spans="1:14" x14ac:dyDescent="0.25">
      <c r="A97" s="45">
        <v>45954</v>
      </c>
      <c r="B97" s="46" t="s">
        <v>107</v>
      </c>
      <c r="C97" s="46" t="s">
        <v>199</v>
      </c>
      <c r="D97" s="46" t="s">
        <v>17</v>
      </c>
      <c r="E97" s="46">
        <v>1</v>
      </c>
      <c r="F97" s="46">
        <v>10</v>
      </c>
      <c r="G97" s="46">
        <f t="shared" si="6"/>
        <v>10</v>
      </c>
      <c r="H97" s="46" t="s">
        <v>37</v>
      </c>
      <c r="I97" s="46" t="s">
        <v>17</v>
      </c>
      <c r="J97" s="46" t="s">
        <v>18</v>
      </c>
      <c r="K97" s="46" t="str">
        <f t="shared" si="7"/>
        <v>OCTUBRE</v>
      </c>
      <c r="L97" s="46">
        <f t="shared" si="8"/>
        <v>2025</v>
      </c>
      <c r="M97" s="46"/>
      <c r="N97" s="46" t="s">
        <v>186</v>
      </c>
    </row>
    <row r="98" spans="1:14" x14ac:dyDescent="0.25">
      <c r="F98" s="29" t="s">
        <v>5</v>
      </c>
      <c r="G98" s="29">
        <f>SUM(G81:G97)</f>
        <v>736</v>
      </c>
    </row>
    <row r="100" spans="1:14" x14ac:dyDescent="0.25">
      <c r="A100" s="11" t="s">
        <v>1</v>
      </c>
      <c r="B100" s="11" t="s">
        <v>2</v>
      </c>
      <c r="C100" s="11" t="s">
        <v>61</v>
      </c>
      <c r="D100" s="11" t="s">
        <v>3</v>
      </c>
      <c r="E100" s="11" t="s">
        <v>4</v>
      </c>
      <c r="F100" s="11" t="s">
        <v>57</v>
      </c>
      <c r="G100" s="11" t="s">
        <v>58</v>
      </c>
      <c r="H100" s="11" t="s">
        <v>59</v>
      </c>
      <c r="I100" s="11" t="s">
        <v>7</v>
      </c>
      <c r="J100" s="11" t="s">
        <v>8</v>
      </c>
      <c r="K100" s="11" t="s">
        <v>10</v>
      </c>
      <c r="L100" s="11" t="s">
        <v>100</v>
      </c>
    </row>
    <row r="101" spans="1:14" x14ac:dyDescent="0.25">
      <c r="A101" s="12">
        <v>45952</v>
      </c>
      <c r="B101" s="12" t="s">
        <v>67</v>
      </c>
      <c r="C101" s="13" t="s">
        <v>72</v>
      </c>
      <c r="D101" s="14">
        <v>1</v>
      </c>
      <c r="E101" s="15">
        <v>14</v>
      </c>
      <c r="F101" s="15">
        <f>D101*E101</f>
        <v>14</v>
      </c>
      <c r="G101" s="13" t="s">
        <v>176</v>
      </c>
      <c r="H101" s="13"/>
      <c r="I101" s="13" t="str">
        <f t="shared" ref="I101:I107" si="9">UPPER(TEXT(A101,"MMMM"))</f>
        <v>OCTUBRE</v>
      </c>
      <c r="J101" s="13">
        <f t="shared" ref="J101:J107" si="10">+YEAR(A101)</f>
        <v>2025</v>
      </c>
      <c r="K101" s="13" t="s">
        <v>18</v>
      </c>
      <c r="L101" t="s">
        <v>240</v>
      </c>
    </row>
    <row r="102" spans="1:14" x14ac:dyDescent="0.25">
      <c r="A102" s="12">
        <v>45953</v>
      </c>
      <c r="B102" s="12" t="s">
        <v>67</v>
      </c>
      <c r="C102" s="13" t="s">
        <v>72</v>
      </c>
      <c r="D102" s="14">
        <v>1</v>
      </c>
      <c r="E102" s="15">
        <v>0.75</v>
      </c>
      <c r="F102" s="15">
        <f t="shared" ref="F102:F107" si="11">D102*E102</f>
        <v>0.75</v>
      </c>
      <c r="G102" s="13" t="s">
        <v>177</v>
      </c>
      <c r="H102" s="13"/>
      <c r="I102" s="13" t="str">
        <f t="shared" si="9"/>
        <v>OCTUBRE</v>
      </c>
      <c r="J102" s="13">
        <f t="shared" si="10"/>
        <v>2025</v>
      </c>
      <c r="K102" s="13" t="s">
        <v>18</v>
      </c>
      <c r="L102" t="s">
        <v>241</v>
      </c>
    </row>
    <row r="103" spans="1:14" x14ac:dyDescent="0.25">
      <c r="A103" s="12">
        <v>45953</v>
      </c>
      <c r="B103" s="12" t="s">
        <v>19</v>
      </c>
      <c r="C103" s="13" t="s">
        <v>64</v>
      </c>
      <c r="D103" s="14">
        <v>1</v>
      </c>
      <c r="E103" s="15">
        <v>5</v>
      </c>
      <c r="F103" s="15">
        <f t="shared" si="11"/>
        <v>5</v>
      </c>
      <c r="G103" s="13"/>
      <c r="H103" s="13"/>
      <c r="I103" s="13" t="str">
        <f t="shared" si="9"/>
        <v>OCTUBRE</v>
      </c>
      <c r="J103" s="13">
        <f t="shared" si="10"/>
        <v>2025</v>
      </c>
      <c r="K103" s="13" t="s">
        <v>18</v>
      </c>
      <c r="L103" t="s">
        <v>241</v>
      </c>
    </row>
    <row r="104" spans="1:14" x14ac:dyDescent="0.25">
      <c r="A104" s="12">
        <v>45953</v>
      </c>
      <c r="B104" s="12"/>
      <c r="C104" s="13" t="s">
        <v>72</v>
      </c>
      <c r="D104" s="14">
        <v>1</v>
      </c>
      <c r="E104" s="15">
        <v>1.25</v>
      </c>
      <c r="F104" s="15">
        <f t="shared" si="11"/>
        <v>1.25</v>
      </c>
      <c r="G104" s="13" t="s">
        <v>178</v>
      </c>
      <c r="H104" s="13"/>
      <c r="I104" s="13" t="str">
        <f t="shared" si="9"/>
        <v>OCTUBRE</v>
      </c>
      <c r="J104" s="13">
        <f t="shared" si="10"/>
        <v>2025</v>
      </c>
      <c r="K104" s="13" t="s">
        <v>18</v>
      </c>
      <c r="L104" t="s">
        <v>241</v>
      </c>
    </row>
    <row r="105" spans="1:14" x14ac:dyDescent="0.25">
      <c r="A105" s="12">
        <v>45954</v>
      </c>
      <c r="B105" s="12" t="s">
        <v>22</v>
      </c>
      <c r="C105" s="13" t="s">
        <v>72</v>
      </c>
      <c r="D105" s="14">
        <v>1</v>
      </c>
      <c r="E105" s="15">
        <v>11</v>
      </c>
      <c r="F105" s="15">
        <f t="shared" si="11"/>
        <v>11</v>
      </c>
      <c r="G105" s="13" t="s">
        <v>178</v>
      </c>
      <c r="H105" s="13"/>
      <c r="I105" s="13" t="str">
        <f t="shared" si="9"/>
        <v>OCTUBRE</v>
      </c>
      <c r="J105" s="13">
        <f t="shared" si="10"/>
        <v>2025</v>
      </c>
      <c r="K105" s="13" t="s">
        <v>18</v>
      </c>
      <c r="L105" t="s">
        <v>242</v>
      </c>
    </row>
    <row r="106" spans="1:14" x14ac:dyDescent="0.25">
      <c r="A106" s="12">
        <v>45954</v>
      </c>
      <c r="B106" s="12" t="s">
        <v>22</v>
      </c>
      <c r="C106" s="13" t="s">
        <v>72</v>
      </c>
      <c r="D106" s="14">
        <v>1</v>
      </c>
      <c r="E106" s="15">
        <v>104</v>
      </c>
      <c r="F106" s="15">
        <f t="shared" si="11"/>
        <v>104</v>
      </c>
      <c r="G106" s="13" t="s">
        <v>179</v>
      </c>
      <c r="H106" s="13"/>
      <c r="I106" s="13" t="str">
        <f t="shared" si="9"/>
        <v>OCTUBRE</v>
      </c>
      <c r="J106" s="13">
        <f t="shared" si="10"/>
        <v>2025</v>
      </c>
      <c r="K106" s="13" t="s">
        <v>18</v>
      </c>
      <c r="L106" t="s">
        <v>242</v>
      </c>
    </row>
    <row r="107" spans="1:14" x14ac:dyDescent="0.25">
      <c r="A107" s="12">
        <v>45954</v>
      </c>
      <c r="B107" s="12" t="s">
        <v>68</v>
      </c>
      <c r="C107" s="13" t="s">
        <v>72</v>
      </c>
      <c r="D107" s="14">
        <v>1</v>
      </c>
      <c r="E107" s="15">
        <v>100</v>
      </c>
      <c r="F107" s="15">
        <f t="shared" si="11"/>
        <v>100</v>
      </c>
      <c r="G107" s="13" t="s">
        <v>184</v>
      </c>
      <c r="H107" s="13"/>
      <c r="I107" s="13" t="str">
        <f t="shared" si="9"/>
        <v>OCTUBRE</v>
      </c>
      <c r="J107" s="13">
        <f t="shared" si="10"/>
        <v>2025</v>
      </c>
      <c r="K107" s="13" t="s">
        <v>18</v>
      </c>
      <c r="L107" s="13"/>
    </row>
    <row r="108" spans="1:14" x14ac:dyDescent="0.25">
      <c r="E108" s="31" t="s">
        <v>57</v>
      </c>
      <c r="F108" s="32">
        <f>SUM(F100:F107)</f>
        <v>236</v>
      </c>
    </row>
    <row r="111" spans="1:14" x14ac:dyDescent="0.25">
      <c r="E111" t="s">
        <v>183</v>
      </c>
      <c r="F111" s="16">
        <f>G98-F108</f>
        <v>500</v>
      </c>
    </row>
    <row r="115" spans="1:15" ht="26.25" x14ac:dyDescent="0.4">
      <c r="A115" s="90" t="s">
        <v>103</v>
      </c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</row>
    <row r="116" spans="1:15" ht="15.75" thickBot="1" x14ac:dyDescent="0.3">
      <c r="A116" s="21" t="s">
        <v>1</v>
      </c>
      <c r="B116" s="22" t="s">
        <v>11</v>
      </c>
      <c r="C116" s="22" t="s">
        <v>12</v>
      </c>
      <c r="D116" s="22" t="s">
        <v>9</v>
      </c>
      <c r="E116" s="22" t="s">
        <v>3</v>
      </c>
      <c r="F116" s="22" t="s">
        <v>4</v>
      </c>
      <c r="G116" s="22" t="s">
        <v>5</v>
      </c>
      <c r="H116" s="22" t="s">
        <v>6</v>
      </c>
      <c r="I116" s="22" t="s">
        <v>36</v>
      </c>
      <c r="J116" s="22" t="s">
        <v>10</v>
      </c>
      <c r="K116" s="22" t="s">
        <v>7</v>
      </c>
      <c r="L116" s="22" t="s">
        <v>8</v>
      </c>
      <c r="M116" s="22" t="s">
        <v>75</v>
      </c>
      <c r="N116" s="22" t="s">
        <v>100</v>
      </c>
    </row>
    <row r="117" spans="1:15" ht="15.75" thickTop="1" x14ac:dyDescent="0.25">
      <c r="A117" s="26">
        <v>45957</v>
      </c>
      <c r="B117" s="27" t="s">
        <v>126</v>
      </c>
      <c r="C117" s="27" t="s">
        <v>127</v>
      </c>
      <c r="D117" s="17" t="s">
        <v>17</v>
      </c>
      <c r="E117" s="17">
        <v>1</v>
      </c>
      <c r="F117" s="17">
        <v>260</v>
      </c>
      <c r="G117" s="17">
        <f>E117*F117</f>
        <v>260</v>
      </c>
      <c r="H117" s="17" t="s">
        <v>38</v>
      </c>
      <c r="I117" s="17" t="s">
        <v>151</v>
      </c>
      <c r="J117" s="17" t="s">
        <v>18</v>
      </c>
      <c r="K117" s="17" t="str">
        <f>UPPER(TEXT(A117,"MMMM"))</f>
        <v>OCTUBRE</v>
      </c>
      <c r="L117" s="17">
        <f>+YEAR(A117)</f>
        <v>2025</v>
      </c>
      <c r="M117" s="17">
        <v>604</v>
      </c>
      <c r="N117" s="17"/>
      <c r="O117" s="46"/>
    </row>
    <row r="118" spans="1:15" x14ac:dyDescent="0.25">
      <c r="A118" s="24">
        <v>45957</v>
      </c>
      <c r="B118" s="25" t="s">
        <v>130</v>
      </c>
      <c r="C118" s="25" t="s">
        <v>13</v>
      </c>
      <c r="D118" s="19" t="s">
        <v>17</v>
      </c>
      <c r="E118" s="19">
        <v>1</v>
      </c>
      <c r="F118" s="19">
        <v>70</v>
      </c>
      <c r="G118" s="19">
        <f>E118*F118</f>
        <v>70</v>
      </c>
      <c r="H118" s="19" t="s">
        <v>38</v>
      </c>
      <c r="I118" s="19" t="s">
        <v>151</v>
      </c>
      <c r="J118" s="19" t="s">
        <v>18</v>
      </c>
      <c r="K118" s="19" t="str">
        <f>UPPER(TEXT(A118,"MMMM"))</f>
        <v>OCTUBRE</v>
      </c>
      <c r="L118" s="19">
        <f>+YEAR(A118)</f>
        <v>2025</v>
      </c>
      <c r="M118" s="19">
        <v>606</v>
      </c>
      <c r="N118" s="17"/>
    </row>
    <row r="119" spans="1:15" x14ac:dyDescent="0.25">
      <c r="A119" s="24">
        <v>45957</v>
      </c>
      <c r="B119" s="25" t="s">
        <v>244</v>
      </c>
      <c r="C119" s="25" t="s">
        <v>245</v>
      </c>
      <c r="D119" s="19"/>
      <c r="E119" s="19"/>
      <c r="F119" s="19"/>
      <c r="G119" s="19"/>
      <c r="H119" s="19"/>
      <c r="I119" s="19"/>
      <c r="J119" s="19"/>
      <c r="K119" s="19"/>
      <c r="L119" s="19"/>
      <c r="M119" s="19">
        <v>615</v>
      </c>
      <c r="N119" s="17" t="s">
        <v>246</v>
      </c>
    </row>
    <row r="120" spans="1:15" x14ac:dyDescent="0.25">
      <c r="A120" s="26">
        <v>45955</v>
      </c>
      <c r="B120" s="27" t="s">
        <v>200</v>
      </c>
      <c r="C120" s="27" t="s">
        <v>201</v>
      </c>
      <c r="D120" s="17" t="s">
        <v>17</v>
      </c>
      <c r="E120" s="17">
        <v>1</v>
      </c>
      <c r="F120" s="17">
        <v>35</v>
      </c>
      <c r="G120" s="17"/>
      <c r="H120" s="17" t="s">
        <v>38</v>
      </c>
      <c r="I120" s="17" t="s">
        <v>202</v>
      </c>
      <c r="J120" s="17" t="s">
        <v>27</v>
      </c>
      <c r="K120" s="17" t="str">
        <f t="shared" ref="K120:K132" si="12">UPPER(TEXT(A120,"MMMM"))</f>
        <v>OCTUBRE</v>
      </c>
      <c r="L120" s="17">
        <f t="shared" ref="L120:L132" si="13">+YEAR(A120)</f>
        <v>2025</v>
      </c>
      <c r="M120" s="17">
        <v>616</v>
      </c>
      <c r="N120" s="17" t="s">
        <v>203</v>
      </c>
    </row>
    <row r="121" spans="1:15" x14ac:dyDescent="0.25">
      <c r="A121" s="24">
        <v>45955</v>
      </c>
      <c r="B121" s="25" t="s">
        <v>168</v>
      </c>
      <c r="C121" s="19" t="s">
        <v>169</v>
      </c>
      <c r="D121" s="19" t="s">
        <v>17</v>
      </c>
      <c r="E121" s="19">
        <v>1</v>
      </c>
      <c r="F121" s="19">
        <v>65</v>
      </c>
      <c r="G121" s="19">
        <v>35</v>
      </c>
      <c r="H121" s="19" t="s">
        <v>38</v>
      </c>
      <c r="I121" s="19" t="s">
        <v>17</v>
      </c>
      <c r="J121" s="19" t="s">
        <v>18</v>
      </c>
      <c r="K121" s="19" t="str">
        <f t="shared" si="12"/>
        <v>OCTUBRE</v>
      </c>
      <c r="L121" s="19">
        <f t="shared" si="13"/>
        <v>2025</v>
      </c>
      <c r="M121" s="19">
        <v>617</v>
      </c>
      <c r="N121" s="19" t="s">
        <v>204</v>
      </c>
    </row>
    <row r="122" spans="1:15" x14ac:dyDescent="0.25">
      <c r="A122" s="26">
        <v>45955</v>
      </c>
      <c r="B122" s="27" t="s">
        <v>168</v>
      </c>
      <c r="C122" s="17" t="s">
        <v>169</v>
      </c>
      <c r="D122" s="17" t="s">
        <v>21</v>
      </c>
      <c r="E122" s="17">
        <v>1</v>
      </c>
      <c r="F122" s="17">
        <v>5</v>
      </c>
      <c r="G122" s="17">
        <f>E122*F122</f>
        <v>5</v>
      </c>
      <c r="H122" s="17" t="s">
        <v>38</v>
      </c>
      <c r="I122" s="17"/>
      <c r="J122" s="17" t="s">
        <v>18</v>
      </c>
      <c r="K122" s="17" t="str">
        <f t="shared" si="12"/>
        <v>OCTUBRE</v>
      </c>
      <c r="L122" s="17">
        <f t="shared" si="13"/>
        <v>2025</v>
      </c>
      <c r="M122" s="17">
        <v>617</v>
      </c>
      <c r="N122" s="17" t="s">
        <v>205</v>
      </c>
    </row>
    <row r="123" spans="1:15" x14ac:dyDescent="0.25">
      <c r="A123" s="24">
        <v>45957</v>
      </c>
      <c r="B123" s="25" t="s">
        <v>206</v>
      </c>
      <c r="C123" s="19" t="s">
        <v>207</v>
      </c>
      <c r="D123" s="19" t="s">
        <v>17</v>
      </c>
      <c r="E123" s="19">
        <v>1</v>
      </c>
      <c r="F123" s="19">
        <v>40</v>
      </c>
      <c r="G123" s="19">
        <f>E123*F123</f>
        <v>40</v>
      </c>
      <c r="H123" s="19" t="s">
        <v>37</v>
      </c>
      <c r="I123" s="19" t="s">
        <v>208</v>
      </c>
      <c r="J123" s="19"/>
      <c r="K123" s="19" t="str">
        <f t="shared" si="12"/>
        <v>OCTUBRE</v>
      </c>
      <c r="L123" s="19">
        <f t="shared" si="13"/>
        <v>2025</v>
      </c>
      <c r="M123" s="19">
        <v>619</v>
      </c>
      <c r="N123" s="19"/>
    </row>
    <row r="124" spans="1:15" x14ac:dyDescent="0.25">
      <c r="A124" s="26">
        <v>45957</v>
      </c>
      <c r="B124" s="27" t="s">
        <v>220</v>
      </c>
      <c r="C124" s="17" t="s">
        <v>221</v>
      </c>
      <c r="D124" s="17" t="s">
        <v>17</v>
      </c>
      <c r="E124" s="17">
        <v>1</v>
      </c>
      <c r="F124" s="17">
        <v>30</v>
      </c>
      <c r="G124" s="17"/>
      <c r="H124" s="17" t="s">
        <v>37</v>
      </c>
      <c r="I124" s="17" t="s">
        <v>219</v>
      </c>
      <c r="J124" s="17" t="s">
        <v>30</v>
      </c>
      <c r="K124" s="17" t="str">
        <f t="shared" si="12"/>
        <v>OCTUBRE</v>
      </c>
      <c r="L124" s="17">
        <f t="shared" si="13"/>
        <v>2025</v>
      </c>
      <c r="M124" s="17">
        <v>620</v>
      </c>
      <c r="N124" s="17"/>
      <c r="O124" s="51"/>
    </row>
    <row r="125" spans="1:15" x14ac:dyDescent="0.25">
      <c r="A125" s="60">
        <v>45957</v>
      </c>
      <c r="B125" s="61" t="s">
        <v>217</v>
      </c>
      <c r="C125" s="62" t="s">
        <v>218</v>
      </c>
      <c r="D125" s="47" t="s">
        <v>17</v>
      </c>
      <c r="E125" s="47">
        <v>1</v>
      </c>
      <c r="F125" s="47">
        <v>30</v>
      </c>
      <c r="G125" s="47">
        <f>E125*F125</f>
        <v>30</v>
      </c>
      <c r="H125" s="47" t="s">
        <v>37</v>
      </c>
      <c r="I125" s="47" t="s">
        <v>219</v>
      </c>
      <c r="J125" s="47" t="s">
        <v>18</v>
      </c>
      <c r="K125" s="47" t="str">
        <f t="shared" si="12"/>
        <v>OCTUBRE</v>
      </c>
      <c r="L125" s="47">
        <f t="shared" si="13"/>
        <v>2025</v>
      </c>
      <c r="M125" s="47">
        <v>621</v>
      </c>
      <c r="N125" s="47"/>
    </row>
    <row r="126" spans="1:15" x14ac:dyDescent="0.25">
      <c r="A126" s="26">
        <v>45957</v>
      </c>
      <c r="B126" s="27" t="s">
        <v>222</v>
      </c>
      <c r="C126" s="17" t="s">
        <v>223</v>
      </c>
      <c r="D126" s="17" t="s">
        <v>17</v>
      </c>
      <c r="E126" s="17">
        <v>1</v>
      </c>
      <c r="F126" s="17">
        <v>100</v>
      </c>
      <c r="G126" s="17"/>
      <c r="H126" s="17" t="s">
        <v>37</v>
      </c>
      <c r="I126" s="17" t="s">
        <v>224</v>
      </c>
      <c r="J126" s="17" t="s">
        <v>32</v>
      </c>
      <c r="K126" s="17" t="str">
        <f t="shared" si="12"/>
        <v>OCTUBRE</v>
      </c>
      <c r="L126" s="17">
        <f t="shared" si="13"/>
        <v>2025</v>
      </c>
      <c r="M126" s="17">
        <v>622</v>
      </c>
      <c r="N126" s="17"/>
    </row>
    <row r="127" spans="1:15" x14ac:dyDescent="0.25">
      <c r="A127" s="26">
        <v>45959</v>
      </c>
      <c r="B127" s="27" t="s">
        <v>217</v>
      </c>
      <c r="C127" s="17" t="s">
        <v>218</v>
      </c>
      <c r="D127" s="17" t="s">
        <v>17</v>
      </c>
      <c r="E127" s="17">
        <v>1</v>
      </c>
      <c r="F127" s="17">
        <v>0</v>
      </c>
      <c r="G127" s="17">
        <v>0</v>
      </c>
      <c r="H127" s="17"/>
      <c r="I127" s="17" t="s">
        <v>249</v>
      </c>
      <c r="J127" s="17"/>
      <c r="K127" s="17" t="str">
        <f t="shared" si="12"/>
        <v>OCTUBRE</v>
      </c>
      <c r="L127" s="17">
        <f t="shared" si="13"/>
        <v>2025</v>
      </c>
      <c r="M127" s="17">
        <v>623</v>
      </c>
      <c r="N127" s="17"/>
    </row>
    <row r="128" spans="1:15" x14ac:dyDescent="0.25">
      <c r="A128" s="54">
        <v>45959</v>
      </c>
      <c r="B128" s="27" t="s">
        <v>229</v>
      </c>
      <c r="C128" s="17" t="s">
        <v>230</v>
      </c>
      <c r="D128" s="17" t="s">
        <v>17</v>
      </c>
      <c r="E128" s="17">
        <v>1</v>
      </c>
      <c r="F128" s="17">
        <v>50</v>
      </c>
      <c r="G128" s="17">
        <f>E128*F128</f>
        <v>50</v>
      </c>
      <c r="H128" s="17" t="s">
        <v>37</v>
      </c>
      <c r="I128" s="17" t="s">
        <v>231</v>
      </c>
      <c r="J128" s="17" t="s">
        <v>18</v>
      </c>
      <c r="K128" s="17" t="str">
        <f t="shared" si="12"/>
        <v>OCTUBRE</v>
      </c>
      <c r="L128" s="17">
        <f t="shared" si="13"/>
        <v>2025</v>
      </c>
      <c r="M128" s="17">
        <v>624</v>
      </c>
      <c r="N128" s="19"/>
    </row>
    <row r="129" spans="1:14" x14ac:dyDescent="0.25">
      <c r="A129" s="55">
        <v>45959</v>
      </c>
      <c r="B129" s="25" t="s">
        <v>232</v>
      </c>
      <c r="C129" s="19" t="s">
        <v>233</v>
      </c>
      <c r="D129" s="19" t="s">
        <v>17</v>
      </c>
      <c r="E129" s="19">
        <v>1</v>
      </c>
      <c r="F129" s="19">
        <v>100</v>
      </c>
      <c r="G129" s="19"/>
      <c r="H129" s="19" t="s">
        <v>38</v>
      </c>
      <c r="I129" s="19" t="s">
        <v>151</v>
      </c>
      <c r="J129" s="19" t="s">
        <v>84</v>
      </c>
      <c r="K129" s="19" t="str">
        <f t="shared" si="12"/>
        <v>OCTUBRE</v>
      </c>
      <c r="L129" s="19">
        <f t="shared" si="13"/>
        <v>2025</v>
      </c>
      <c r="M129" s="19" t="s">
        <v>162</v>
      </c>
      <c r="N129" s="19"/>
    </row>
    <row r="130" spans="1:14" x14ac:dyDescent="0.25">
      <c r="A130" s="48">
        <v>45955</v>
      </c>
      <c r="B130" s="49" t="s">
        <v>225</v>
      </c>
      <c r="C130" s="19" t="s">
        <v>69</v>
      </c>
      <c r="D130" s="50" t="s">
        <v>70</v>
      </c>
      <c r="E130" s="50">
        <v>1</v>
      </c>
      <c r="F130" s="50">
        <v>2.5</v>
      </c>
      <c r="G130" s="50">
        <f>E130*F130</f>
        <v>2.5</v>
      </c>
      <c r="H130" s="50" t="s">
        <v>38</v>
      </c>
      <c r="I130" s="50" t="s">
        <v>214</v>
      </c>
      <c r="J130" s="50" t="s">
        <v>18</v>
      </c>
      <c r="K130" s="50" t="str">
        <f t="shared" si="12"/>
        <v>OCTUBRE</v>
      </c>
      <c r="L130" s="50">
        <f t="shared" si="13"/>
        <v>2025</v>
      </c>
      <c r="M130" s="19" t="s">
        <v>136</v>
      </c>
      <c r="N130" s="19"/>
    </row>
    <row r="131" spans="1:14" x14ac:dyDescent="0.25">
      <c r="A131" s="26">
        <v>45957</v>
      </c>
      <c r="B131" s="27" t="s">
        <v>209</v>
      </c>
      <c r="C131" s="17" t="s">
        <v>210</v>
      </c>
      <c r="D131" s="17" t="s">
        <v>21</v>
      </c>
      <c r="E131" s="17">
        <v>1</v>
      </c>
      <c r="F131" s="17">
        <v>5</v>
      </c>
      <c r="G131" s="17">
        <f>E131*F131</f>
        <v>5</v>
      </c>
      <c r="H131" s="17" t="s">
        <v>38</v>
      </c>
      <c r="I131" s="17" t="s">
        <v>211</v>
      </c>
      <c r="J131" s="17" t="s">
        <v>18</v>
      </c>
      <c r="K131" s="17" t="str">
        <f t="shared" si="12"/>
        <v>OCTUBRE</v>
      </c>
      <c r="L131" s="17">
        <f t="shared" si="13"/>
        <v>2025</v>
      </c>
      <c r="M131" s="17" t="s">
        <v>136</v>
      </c>
      <c r="N131" s="46"/>
    </row>
    <row r="132" spans="1:14" x14ac:dyDescent="0.25">
      <c r="A132" s="24">
        <v>45957</v>
      </c>
      <c r="B132" s="25" t="s">
        <v>212</v>
      </c>
      <c r="C132" s="19" t="s">
        <v>213</v>
      </c>
      <c r="D132" s="19" t="s">
        <v>21</v>
      </c>
      <c r="E132" s="19">
        <v>1</v>
      </c>
      <c r="F132" s="19">
        <v>5</v>
      </c>
      <c r="G132" s="19">
        <f>E132*F132</f>
        <v>5</v>
      </c>
      <c r="H132" s="19" t="s">
        <v>38</v>
      </c>
      <c r="I132" s="19" t="s">
        <v>211</v>
      </c>
      <c r="J132" s="19" t="s">
        <v>18</v>
      </c>
      <c r="K132" s="19" t="str">
        <f t="shared" si="12"/>
        <v>OCTUBRE</v>
      </c>
      <c r="L132" s="19">
        <f t="shared" si="13"/>
        <v>2025</v>
      </c>
      <c r="M132" s="19" t="s">
        <v>136</v>
      </c>
      <c r="N132" s="47"/>
    </row>
    <row r="133" spans="1:14" x14ac:dyDescent="0.25">
      <c r="F133" s="29" t="s">
        <v>5</v>
      </c>
      <c r="G133" s="29">
        <f>SUM(G117:G132)</f>
        <v>502.5</v>
      </c>
    </row>
    <row r="136" spans="1:14" x14ac:dyDescent="0.25">
      <c r="A136" s="11" t="s">
        <v>1</v>
      </c>
      <c r="B136" s="11" t="s">
        <v>2</v>
      </c>
      <c r="C136" s="11" t="s">
        <v>61</v>
      </c>
      <c r="D136" s="11" t="s">
        <v>3</v>
      </c>
      <c r="E136" s="11" t="s">
        <v>4</v>
      </c>
      <c r="F136" s="11" t="s">
        <v>57</v>
      </c>
      <c r="G136" s="11" t="s">
        <v>58</v>
      </c>
      <c r="H136" s="11" t="s">
        <v>59</v>
      </c>
      <c r="I136" s="11" t="s">
        <v>7</v>
      </c>
      <c r="J136" s="11" t="s">
        <v>8</v>
      </c>
      <c r="K136" s="11" t="s">
        <v>10</v>
      </c>
      <c r="L136" s="11" t="s">
        <v>90</v>
      </c>
    </row>
    <row r="137" spans="1:14" x14ac:dyDescent="0.25">
      <c r="A137" s="12">
        <v>45955</v>
      </c>
      <c r="B137" s="12" t="s">
        <v>67</v>
      </c>
      <c r="C137" s="13"/>
      <c r="D137" s="14">
        <v>1</v>
      </c>
      <c r="E137" s="15">
        <v>1</v>
      </c>
      <c r="F137" s="15">
        <f t="shared" ref="F137:F143" si="14">E137*D137</f>
        <v>1</v>
      </c>
      <c r="G137" s="13" t="s">
        <v>215</v>
      </c>
      <c r="H137" s="13"/>
      <c r="I137" s="13" t="s">
        <v>227</v>
      </c>
      <c r="J137" s="13"/>
      <c r="K137" s="13"/>
      <c r="L137" t="s">
        <v>243</v>
      </c>
    </row>
    <row r="138" spans="1:14" x14ac:dyDescent="0.25">
      <c r="A138" s="12">
        <v>45957</v>
      </c>
      <c r="B138" s="12" t="s">
        <v>67</v>
      </c>
      <c r="C138" s="13" t="s">
        <v>72</v>
      </c>
      <c r="D138" s="14">
        <v>1</v>
      </c>
      <c r="E138" s="15">
        <v>1.05</v>
      </c>
      <c r="F138" s="15">
        <f t="shared" si="14"/>
        <v>1.05</v>
      </c>
      <c r="G138" s="13" t="s">
        <v>216</v>
      </c>
      <c r="H138" s="13"/>
      <c r="I138" s="13" t="str">
        <f>UPPER(TEXT(A138,"MMMM"))</f>
        <v>OCTUBRE</v>
      </c>
      <c r="J138" s="13">
        <f>+YEAR(A138)</f>
        <v>2025</v>
      </c>
      <c r="K138" s="13" t="s">
        <v>18</v>
      </c>
      <c r="L138" t="s">
        <v>243</v>
      </c>
    </row>
    <row r="139" spans="1:14" x14ac:dyDescent="0.25">
      <c r="A139" s="12">
        <v>45959</v>
      </c>
      <c r="B139" s="12" t="s">
        <v>67</v>
      </c>
      <c r="C139" s="13"/>
      <c r="D139" s="14">
        <v>1</v>
      </c>
      <c r="E139" s="15">
        <v>1</v>
      </c>
      <c r="F139" s="15">
        <f t="shared" si="14"/>
        <v>1</v>
      </c>
      <c r="G139" s="13" t="s">
        <v>226</v>
      </c>
      <c r="H139" s="13"/>
      <c r="I139" s="13"/>
      <c r="J139" s="13"/>
      <c r="K139" s="13"/>
      <c r="L139" t="s">
        <v>243</v>
      </c>
    </row>
    <row r="140" spans="1:14" x14ac:dyDescent="0.25">
      <c r="A140" s="12">
        <v>45959</v>
      </c>
      <c r="B140" s="12" t="s">
        <v>67</v>
      </c>
      <c r="C140" s="13" t="s">
        <v>72</v>
      </c>
      <c r="D140" s="14">
        <v>1</v>
      </c>
      <c r="E140" s="15">
        <v>2</v>
      </c>
      <c r="F140" s="15">
        <f t="shared" si="14"/>
        <v>2</v>
      </c>
      <c r="G140" s="13" t="s">
        <v>239</v>
      </c>
      <c r="H140" s="13"/>
      <c r="I140" s="13" t="str">
        <f>UPPER(TEXT(A140,"MMMM"))</f>
        <v>OCTUBRE</v>
      </c>
      <c r="J140" s="13">
        <f>+YEAR(A140)</f>
        <v>2025</v>
      </c>
      <c r="K140" s="13" t="s">
        <v>18</v>
      </c>
      <c r="L140" t="s">
        <v>243</v>
      </c>
    </row>
    <row r="141" spans="1:14" x14ac:dyDescent="0.25">
      <c r="A141" s="12">
        <v>45959</v>
      </c>
      <c r="B141" s="12" t="s">
        <v>19</v>
      </c>
      <c r="C141" s="13" t="s">
        <v>72</v>
      </c>
      <c r="D141" s="14">
        <v>1</v>
      </c>
      <c r="E141" s="15">
        <v>3</v>
      </c>
      <c r="F141" s="15">
        <f t="shared" si="14"/>
        <v>3</v>
      </c>
      <c r="G141" s="13" t="s">
        <v>228</v>
      </c>
      <c r="H141" s="13"/>
      <c r="I141" s="13" t="str">
        <f>UPPER(TEXT(A141,"MMMM"))</f>
        <v>OCTUBRE</v>
      </c>
      <c r="J141" s="13">
        <f>+YEAR(A141)</f>
        <v>2025</v>
      </c>
      <c r="K141" s="13" t="s">
        <v>18</v>
      </c>
      <c r="L141" t="s">
        <v>243</v>
      </c>
    </row>
    <row r="142" spans="1:14" x14ac:dyDescent="0.25">
      <c r="A142" s="12">
        <v>45959</v>
      </c>
      <c r="B142" s="12" t="s">
        <v>25</v>
      </c>
      <c r="C142" s="13" t="s">
        <v>72</v>
      </c>
      <c r="D142" s="14">
        <v>1</v>
      </c>
      <c r="E142" s="15">
        <v>63</v>
      </c>
      <c r="F142" s="15">
        <f t="shared" si="14"/>
        <v>63</v>
      </c>
      <c r="G142" s="13" t="s">
        <v>235</v>
      </c>
      <c r="H142" s="13"/>
      <c r="I142" s="13" t="str">
        <f>UPPER(TEXT(A142,"MMMM"))</f>
        <v>OCTUBRE</v>
      </c>
      <c r="J142" s="13">
        <f>+YEAR(A142)</f>
        <v>2025</v>
      </c>
      <c r="K142" s="13" t="s">
        <v>18</v>
      </c>
      <c r="L142" t="s">
        <v>243</v>
      </c>
    </row>
    <row r="143" spans="1:14" x14ac:dyDescent="0.25">
      <c r="A143" s="12">
        <v>45960</v>
      </c>
      <c r="B143" s="12" t="s">
        <v>69</v>
      </c>
      <c r="C143" s="13" t="s">
        <v>72</v>
      </c>
      <c r="D143" s="14">
        <v>1</v>
      </c>
      <c r="E143" s="15">
        <v>50</v>
      </c>
      <c r="F143" s="15">
        <f t="shared" si="14"/>
        <v>50</v>
      </c>
      <c r="G143" s="13" t="s">
        <v>236</v>
      </c>
      <c r="H143" s="13"/>
      <c r="I143" s="13" t="str">
        <f>UPPER(TEXT(A143,"MMMM"))</f>
        <v>OCTUBRE</v>
      </c>
      <c r="J143" s="13">
        <f>+YEAR(A143)</f>
        <v>2025</v>
      </c>
      <c r="K143" s="13" t="s">
        <v>18</v>
      </c>
      <c r="L143" t="s">
        <v>243</v>
      </c>
    </row>
    <row r="144" spans="1:14" ht="15.75" thickBot="1" x14ac:dyDescent="0.3">
      <c r="E144" s="56" t="s">
        <v>57</v>
      </c>
      <c r="F144" s="57">
        <f>SUM(F137:F143)</f>
        <v>121.05</v>
      </c>
    </row>
    <row r="145" spans="1:14" ht="15.75" thickBot="1" x14ac:dyDescent="0.3">
      <c r="H145" s="33"/>
      <c r="I145" s="34" t="s">
        <v>156</v>
      </c>
      <c r="J145" s="35"/>
    </row>
    <row r="146" spans="1:14" x14ac:dyDescent="0.25">
      <c r="H146" s="36">
        <v>20</v>
      </c>
      <c r="I146" s="37">
        <v>16</v>
      </c>
      <c r="J146" s="38">
        <f t="shared" ref="J146:J152" si="15">H146*I146</f>
        <v>320</v>
      </c>
    </row>
    <row r="147" spans="1:14" x14ac:dyDescent="0.25">
      <c r="E147" t="s">
        <v>237</v>
      </c>
      <c r="F147" s="16">
        <f>G133-F144</f>
        <v>381.45</v>
      </c>
      <c r="H147" s="39">
        <v>10</v>
      </c>
      <c r="I147" s="40">
        <v>4</v>
      </c>
      <c r="J147" s="41">
        <f t="shared" si="15"/>
        <v>40</v>
      </c>
    </row>
    <row r="148" spans="1:14" x14ac:dyDescent="0.25">
      <c r="H148" s="39">
        <v>5</v>
      </c>
      <c r="I148" s="40">
        <v>4</v>
      </c>
      <c r="J148" s="41">
        <f t="shared" si="15"/>
        <v>20</v>
      </c>
    </row>
    <row r="149" spans="1:14" x14ac:dyDescent="0.25">
      <c r="H149" s="39">
        <v>1</v>
      </c>
      <c r="I149" s="40">
        <v>1</v>
      </c>
      <c r="J149" s="41">
        <f t="shared" si="15"/>
        <v>1</v>
      </c>
    </row>
    <row r="150" spans="1:14" x14ac:dyDescent="0.25">
      <c r="H150" s="39">
        <v>0.25</v>
      </c>
      <c r="I150" s="40"/>
      <c r="J150" s="41">
        <f t="shared" si="15"/>
        <v>0</v>
      </c>
    </row>
    <row r="151" spans="1:14" x14ac:dyDescent="0.25">
      <c r="H151" s="39">
        <v>0.1</v>
      </c>
      <c r="I151" s="40">
        <v>4</v>
      </c>
      <c r="J151" s="41">
        <f t="shared" si="15"/>
        <v>0.4</v>
      </c>
    </row>
    <row r="152" spans="1:14" x14ac:dyDescent="0.25">
      <c r="H152" s="39">
        <v>0.05</v>
      </c>
      <c r="I152" s="40">
        <v>1</v>
      </c>
      <c r="J152" s="41">
        <f t="shared" si="15"/>
        <v>0.05</v>
      </c>
    </row>
    <row r="153" spans="1:14" ht="15.75" thickBot="1" x14ac:dyDescent="0.3">
      <c r="H153" s="42"/>
      <c r="I153" s="43"/>
      <c r="J153" s="58">
        <f>SUM(J146:J152)</f>
        <v>381.45</v>
      </c>
    </row>
    <row r="155" spans="1:14" x14ac:dyDescent="0.25">
      <c r="E155" t="s">
        <v>238</v>
      </c>
      <c r="F155" s="59">
        <f ca="1">NOW()</f>
        <v>46183.505807638889</v>
      </c>
    </row>
    <row r="157" spans="1:14" ht="26.25" x14ac:dyDescent="0.4">
      <c r="A157" s="90" t="s">
        <v>103</v>
      </c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</row>
    <row r="158" spans="1:14" ht="15.75" thickBot="1" x14ac:dyDescent="0.3">
      <c r="A158" s="21" t="s">
        <v>1</v>
      </c>
      <c r="B158" s="22" t="s">
        <v>11</v>
      </c>
      <c r="C158" s="22" t="s">
        <v>12</v>
      </c>
      <c r="D158" s="22" t="s">
        <v>9</v>
      </c>
      <c r="E158" s="22" t="s">
        <v>3</v>
      </c>
      <c r="F158" s="22" t="s">
        <v>4</v>
      </c>
      <c r="G158" s="22" t="s">
        <v>5</v>
      </c>
      <c r="H158" s="22" t="s">
        <v>6</v>
      </c>
      <c r="I158" s="22" t="s">
        <v>36</v>
      </c>
      <c r="J158" s="22" t="s">
        <v>10</v>
      </c>
      <c r="K158" s="22" t="s">
        <v>7</v>
      </c>
      <c r="L158" s="22" t="s">
        <v>8</v>
      </c>
      <c r="M158" s="22" t="s">
        <v>75</v>
      </c>
      <c r="N158" s="22" t="s">
        <v>100</v>
      </c>
    </row>
    <row r="159" spans="1:14" ht="15.75" thickTop="1" x14ac:dyDescent="0.25">
      <c r="A159" s="26">
        <v>45961</v>
      </c>
      <c r="B159" s="27"/>
      <c r="C159" s="27"/>
      <c r="D159" s="17"/>
      <c r="E159" s="17"/>
      <c r="F159" s="17"/>
      <c r="G159" s="17">
        <f>F159-E159</f>
        <v>0</v>
      </c>
      <c r="H159" s="17" t="s">
        <v>38</v>
      </c>
      <c r="I159" s="17"/>
      <c r="J159" s="17" t="s">
        <v>27</v>
      </c>
      <c r="K159" s="17" t="str">
        <f t="shared" ref="K159:K172" si="16">UPPER(TEXT(A159,"MMMM"))</f>
        <v>OCTUBRE</v>
      </c>
      <c r="L159" s="17">
        <f t="shared" ref="L159:L172" si="17">+YEAR(A159)</f>
        <v>2025</v>
      </c>
      <c r="M159" s="17">
        <v>625</v>
      </c>
      <c r="N159" s="17"/>
    </row>
    <row r="160" spans="1:14" x14ac:dyDescent="0.25">
      <c r="A160" s="24"/>
      <c r="B160" s="25"/>
      <c r="C160" s="25"/>
      <c r="D160" s="19"/>
      <c r="E160" s="19"/>
      <c r="F160" s="19"/>
      <c r="G160" s="17">
        <f t="shared" ref="G160:G172" si="18">F160-E160</f>
        <v>0</v>
      </c>
      <c r="H160" s="19" t="s">
        <v>38</v>
      </c>
      <c r="I160" s="19"/>
      <c r="J160" s="19" t="s">
        <v>18</v>
      </c>
      <c r="K160" s="19" t="str">
        <f t="shared" si="16"/>
        <v>ENERO</v>
      </c>
      <c r="L160" s="19">
        <f t="shared" si="17"/>
        <v>1900</v>
      </c>
      <c r="M160" s="19">
        <v>626</v>
      </c>
      <c r="N160" s="19"/>
    </row>
    <row r="161" spans="1:14" x14ac:dyDescent="0.25">
      <c r="A161" s="26"/>
      <c r="B161" s="27"/>
      <c r="C161" s="27"/>
      <c r="D161" s="17"/>
      <c r="E161" s="17"/>
      <c r="F161" s="17"/>
      <c r="G161" s="17">
        <f t="shared" si="18"/>
        <v>0</v>
      </c>
      <c r="H161" s="17" t="s">
        <v>38</v>
      </c>
      <c r="I161" s="17"/>
      <c r="J161" s="17" t="s">
        <v>18</v>
      </c>
      <c r="K161" s="17" t="str">
        <f t="shared" si="16"/>
        <v>ENERO</v>
      </c>
      <c r="L161" s="17">
        <f t="shared" si="17"/>
        <v>1900</v>
      </c>
      <c r="M161" s="17">
        <v>627</v>
      </c>
      <c r="N161" s="17"/>
    </row>
    <row r="162" spans="1:14" x14ac:dyDescent="0.25">
      <c r="A162" s="48">
        <v>45961</v>
      </c>
      <c r="B162" s="49"/>
      <c r="C162" s="19"/>
      <c r="D162" s="50"/>
      <c r="E162" s="50"/>
      <c r="F162" s="50"/>
      <c r="G162" s="17">
        <f t="shared" si="18"/>
        <v>0</v>
      </c>
      <c r="H162" s="50" t="s">
        <v>38</v>
      </c>
      <c r="I162" s="50"/>
      <c r="J162" s="50" t="s">
        <v>18</v>
      </c>
      <c r="K162" s="50" t="str">
        <f t="shared" si="16"/>
        <v>OCTUBRE</v>
      </c>
      <c r="L162" s="50">
        <f t="shared" si="17"/>
        <v>2025</v>
      </c>
      <c r="M162" s="19">
        <v>628</v>
      </c>
      <c r="N162" s="19"/>
    </row>
    <row r="163" spans="1:14" x14ac:dyDescent="0.25">
      <c r="A163" s="26"/>
      <c r="B163" s="27"/>
      <c r="C163" s="17"/>
      <c r="D163" s="17"/>
      <c r="E163" s="17"/>
      <c r="F163" s="17"/>
      <c r="G163" s="17">
        <f t="shared" si="18"/>
        <v>0</v>
      </c>
      <c r="H163" s="17" t="s">
        <v>38</v>
      </c>
      <c r="I163" s="17"/>
      <c r="J163" s="17" t="s">
        <v>18</v>
      </c>
      <c r="K163" s="17" t="str">
        <f t="shared" si="16"/>
        <v>ENERO</v>
      </c>
      <c r="L163" s="17">
        <f t="shared" si="17"/>
        <v>1900</v>
      </c>
      <c r="M163" s="17">
        <v>629</v>
      </c>
      <c r="N163" s="17"/>
    </row>
    <row r="164" spans="1:14" x14ac:dyDescent="0.25">
      <c r="A164" s="24"/>
      <c r="B164" s="25"/>
      <c r="C164" s="19"/>
      <c r="D164" s="19"/>
      <c r="E164" s="19"/>
      <c r="F164" s="19"/>
      <c r="G164" s="17">
        <f t="shared" si="18"/>
        <v>0</v>
      </c>
      <c r="H164" s="19" t="s">
        <v>38</v>
      </c>
      <c r="I164" s="19"/>
      <c r="J164" s="19" t="s">
        <v>18</v>
      </c>
      <c r="K164" s="19" t="str">
        <f t="shared" si="16"/>
        <v>ENERO</v>
      </c>
      <c r="L164" s="19">
        <f t="shared" si="17"/>
        <v>1900</v>
      </c>
      <c r="M164" s="19">
        <v>630</v>
      </c>
      <c r="N164" s="17"/>
    </row>
    <row r="165" spans="1:14" x14ac:dyDescent="0.25">
      <c r="A165" s="24"/>
      <c r="B165" s="25"/>
      <c r="C165" s="19"/>
      <c r="D165" s="19"/>
      <c r="E165" s="19"/>
      <c r="F165" s="19"/>
      <c r="G165" s="17">
        <f t="shared" si="18"/>
        <v>0</v>
      </c>
      <c r="H165" s="19" t="s">
        <v>37</v>
      </c>
      <c r="I165" s="19"/>
      <c r="J165" s="19" t="s">
        <v>18</v>
      </c>
      <c r="K165" s="19" t="str">
        <f t="shared" si="16"/>
        <v>ENERO</v>
      </c>
      <c r="L165" s="19">
        <f t="shared" si="17"/>
        <v>1900</v>
      </c>
      <c r="M165" s="19">
        <v>631</v>
      </c>
      <c r="N165" s="19"/>
    </row>
    <row r="166" spans="1:14" x14ac:dyDescent="0.25">
      <c r="A166" s="45"/>
      <c r="B166" s="52"/>
      <c r="C166" s="53"/>
      <c r="D166" s="46"/>
      <c r="E166" s="46"/>
      <c r="F166" s="46"/>
      <c r="G166" s="17">
        <f t="shared" si="18"/>
        <v>0</v>
      </c>
      <c r="H166" s="46" t="s">
        <v>37</v>
      </c>
      <c r="I166" s="46"/>
      <c r="J166" s="46" t="s">
        <v>30</v>
      </c>
      <c r="K166" s="46" t="str">
        <f t="shared" si="16"/>
        <v>ENERO</v>
      </c>
      <c r="L166" s="46">
        <f t="shared" si="17"/>
        <v>1900</v>
      </c>
      <c r="M166" s="46"/>
      <c r="N166" s="46"/>
    </row>
    <row r="167" spans="1:14" x14ac:dyDescent="0.25">
      <c r="A167" s="24"/>
      <c r="B167" s="25"/>
      <c r="C167" s="19"/>
      <c r="D167" s="19"/>
      <c r="E167" s="19"/>
      <c r="F167" s="19"/>
      <c r="G167" s="17">
        <f t="shared" si="18"/>
        <v>0</v>
      </c>
      <c r="H167" s="19" t="s">
        <v>37</v>
      </c>
      <c r="I167" s="19"/>
      <c r="J167" s="19" t="s">
        <v>18</v>
      </c>
      <c r="K167" s="19" t="str">
        <f t="shared" si="16"/>
        <v>ENERO</v>
      </c>
      <c r="L167" s="19">
        <f t="shared" si="17"/>
        <v>1900</v>
      </c>
      <c r="M167" s="19"/>
      <c r="N167" s="19"/>
    </row>
    <row r="168" spans="1:14" x14ac:dyDescent="0.25">
      <c r="A168" s="26"/>
      <c r="B168" s="27"/>
      <c r="C168" s="17"/>
      <c r="D168" s="17"/>
      <c r="E168" s="17"/>
      <c r="F168" s="17"/>
      <c r="G168" s="17">
        <f t="shared" si="18"/>
        <v>0</v>
      </c>
      <c r="H168" s="17" t="s">
        <v>37</v>
      </c>
      <c r="I168" s="17"/>
      <c r="J168" s="17" t="s">
        <v>32</v>
      </c>
      <c r="K168" s="17" t="str">
        <f t="shared" si="16"/>
        <v>ENERO</v>
      </c>
      <c r="L168" s="17">
        <f t="shared" si="17"/>
        <v>1900</v>
      </c>
      <c r="M168" s="17"/>
      <c r="N168" s="17"/>
    </row>
    <row r="169" spans="1:14" x14ac:dyDescent="0.25">
      <c r="A169" s="26"/>
      <c r="B169" s="27"/>
      <c r="C169" s="17"/>
      <c r="D169" s="17"/>
      <c r="E169" s="17"/>
      <c r="F169" s="17"/>
      <c r="G169" s="17">
        <f t="shared" si="18"/>
        <v>0</v>
      </c>
      <c r="H169" s="17" t="s">
        <v>38</v>
      </c>
      <c r="I169" s="17"/>
      <c r="J169" s="17" t="s">
        <v>18</v>
      </c>
      <c r="K169" s="17" t="str">
        <f t="shared" si="16"/>
        <v>ENERO</v>
      </c>
      <c r="L169" s="17">
        <f t="shared" si="17"/>
        <v>1900</v>
      </c>
      <c r="M169" s="17"/>
      <c r="N169" s="17"/>
    </row>
    <row r="170" spans="1:14" x14ac:dyDescent="0.25">
      <c r="A170" s="24"/>
      <c r="B170" s="25"/>
      <c r="C170" s="19"/>
      <c r="D170" s="19"/>
      <c r="E170" s="19"/>
      <c r="F170" s="19"/>
      <c r="G170" s="17">
        <f t="shared" si="18"/>
        <v>0</v>
      </c>
      <c r="H170" s="19" t="s">
        <v>38</v>
      </c>
      <c r="I170" s="19"/>
      <c r="J170" s="19" t="s">
        <v>18</v>
      </c>
      <c r="K170" s="19" t="str">
        <f t="shared" si="16"/>
        <v>ENERO</v>
      </c>
      <c r="L170" s="19">
        <f t="shared" si="17"/>
        <v>1900</v>
      </c>
      <c r="M170" s="19"/>
      <c r="N170" s="19"/>
    </row>
    <row r="171" spans="1:14" x14ac:dyDescent="0.25">
      <c r="A171" s="54"/>
      <c r="B171" s="27"/>
      <c r="C171" s="17"/>
      <c r="D171" s="17"/>
      <c r="E171" s="17"/>
      <c r="F171" s="17"/>
      <c r="G171" s="17">
        <f t="shared" si="18"/>
        <v>0</v>
      </c>
      <c r="H171" s="17" t="s">
        <v>37</v>
      </c>
      <c r="I171" s="17"/>
      <c r="J171" s="17" t="s">
        <v>18</v>
      </c>
      <c r="K171" s="17" t="str">
        <f t="shared" si="16"/>
        <v>ENERO</v>
      </c>
      <c r="L171" s="17">
        <f t="shared" si="17"/>
        <v>1900</v>
      </c>
      <c r="M171" s="17"/>
      <c r="N171" s="47"/>
    </row>
    <row r="172" spans="1:14" x14ac:dyDescent="0.25">
      <c r="A172" s="55"/>
      <c r="B172" s="25"/>
      <c r="C172" s="19"/>
      <c r="D172" s="19"/>
      <c r="E172" s="19"/>
      <c r="F172" s="19"/>
      <c r="G172" s="17">
        <f t="shared" si="18"/>
        <v>0</v>
      </c>
      <c r="H172" s="19" t="s">
        <v>38</v>
      </c>
      <c r="I172" s="19"/>
      <c r="J172" s="19" t="s">
        <v>84</v>
      </c>
      <c r="K172" s="19" t="str">
        <f t="shared" si="16"/>
        <v>ENERO</v>
      </c>
      <c r="L172" s="19">
        <f t="shared" si="17"/>
        <v>1900</v>
      </c>
      <c r="M172" s="19"/>
      <c r="N172" s="47"/>
    </row>
    <row r="173" spans="1:14" x14ac:dyDescent="0.25">
      <c r="F173" s="29" t="s">
        <v>5</v>
      </c>
      <c r="G173" s="29">
        <f>SUM(G159:G172)</f>
        <v>0</v>
      </c>
    </row>
    <row r="176" spans="1:14" x14ac:dyDescent="0.25">
      <c r="A176" s="11" t="s">
        <v>1</v>
      </c>
      <c r="B176" s="11" t="s">
        <v>2</v>
      </c>
      <c r="C176" s="11" t="s">
        <v>61</v>
      </c>
      <c r="D176" s="11" t="s">
        <v>3</v>
      </c>
      <c r="E176" s="11" t="s">
        <v>4</v>
      </c>
      <c r="F176" s="11" t="s">
        <v>57</v>
      </c>
      <c r="G176" s="11" t="s">
        <v>58</v>
      </c>
      <c r="H176" s="11" t="s">
        <v>59</v>
      </c>
      <c r="I176" s="11" t="s">
        <v>7</v>
      </c>
      <c r="J176" s="11" t="s">
        <v>8</v>
      </c>
      <c r="K176" s="11" t="s">
        <v>10</v>
      </c>
      <c r="L176" s="11" t="s">
        <v>90</v>
      </c>
    </row>
    <row r="177" spans="1:12" x14ac:dyDescent="0.25">
      <c r="A177" s="12">
        <v>45955</v>
      </c>
      <c r="B177" s="12" t="s">
        <v>67</v>
      </c>
      <c r="C177" s="13"/>
      <c r="D177" s="14">
        <v>1</v>
      </c>
      <c r="E177" s="15">
        <v>1</v>
      </c>
      <c r="F177" s="15">
        <f t="shared" ref="F177:F183" si="19">E177*D177</f>
        <v>1</v>
      </c>
      <c r="G177" s="13" t="s">
        <v>215</v>
      </c>
      <c r="H177" s="13"/>
      <c r="I177" s="13" t="s">
        <v>227</v>
      </c>
      <c r="J177" s="13"/>
      <c r="K177" s="13"/>
      <c r="L177" t="s">
        <v>243</v>
      </c>
    </row>
    <row r="178" spans="1:12" x14ac:dyDescent="0.25">
      <c r="A178" s="12">
        <v>45957</v>
      </c>
      <c r="B178" s="12" t="s">
        <v>67</v>
      </c>
      <c r="C178" s="13" t="s">
        <v>72</v>
      </c>
      <c r="D178" s="14">
        <v>1</v>
      </c>
      <c r="E178" s="15">
        <v>1.05</v>
      </c>
      <c r="F178" s="15">
        <f t="shared" si="19"/>
        <v>1.05</v>
      </c>
      <c r="G178" s="13" t="s">
        <v>216</v>
      </c>
      <c r="H178" s="13"/>
      <c r="I178" s="13" t="str">
        <f>UPPER(TEXT(A178,"MMMM"))</f>
        <v>OCTUBRE</v>
      </c>
      <c r="J178" s="13">
        <f>+YEAR(A178)</f>
        <v>2025</v>
      </c>
      <c r="K178" s="13" t="s">
        <v>18</v>
      </c>
      <c r="L178" t="s">
        <v>243</v>
      </c>
    </row>
    <row r="179" spans="1:12" x14ac:dyDescent="0.25">
      <c r="A179" s="12">
        <v>45959</v>
      </c>
      <c r="B179" s="12" t="s">
        <v>67</v>
      </c>
      <c r="C179" s="13"/>
      <c r="D179" s="14">
        <v>1</v>
      </c>
      <c r="E179" s="15">
        <v>1</v>
      </c>
      <c r="F179" s="15">
        <f t="shared" si="19"/>
        <v>1</v>
      </c>
      <c r="G179" s="13" t="s">
        <v>226</v>
      </c>
      <c r="H179" s="13"/>
      <c r="I179" s="13"/>
      <c r="J179" s="13"/>
      <c r="K179" s="13"/>
      <c r="L179" t="s">
        <v>243</v>
      </c>
    </row>
    <row r="180" spans="1:12" x14ac:dyDescent="0.25">
      <c r="A180" s="12">
        <v>45959</v>
      </c>
      <c r="B180" s="12" t="s">
        <v>67</v>
      </c>
      <c r="C180" s="13" t="s">
        <v>72</v>
      </c>
      <c r="D180" s="14">
        <v>1</v>
      </c>
      <c r="E180" s="15">
        <v>2</v>
      </c>
      <c r="F180" s="15">
        <f t="shared" si="19"/>
        <v>2</v>
      </c>
      <c r="G180" s="13" t="s">
        <v>239</v>
      </c>
      <c r="H180" s="13"/>
      <c r="I180" s="13" t="str">
        <f>UPPER(TEXT(A180,"MMMM"))</f>
        <v>OCTUBRE</v>
      </c>
      <c r="J180" s="13">
        <f>+YEAR(A180)</f>
        <v>2025</v>
      </c>
      <c r="K180" s="13" t="s">
        <v>18</v>
      </c>
      <c r="L180" t="s">
        <v>243</v>
      </c>
    </row>
    <row r="181" spans="1:12" x14ac:dyDescent="0.25">
      <c r="A181" s="12">
        <v>45959</v>
      </c>
      <c r="B181" s="12" t="s">
        <v>19</v>
      </c>
      <c r="C181" s="13" t="s">
        <v>72</v>
      </c>
      <c r="D181" s="14">
        <v>1</v>
      </c>
      <c r="E181" s="15">
        <v>3</v>
      </c>
      <c r="F181" s="15">
        <f t="shared" si="19"/>
        <v>3</v>
      </c>
      <c r="G181" s="13" t="s">
        <v>228</v>
      </c>
      <c r="H181" s="13"/>
      <c r="I181" s="13" t="str">
        <f>UPPER(TEXT(A181,"MMMM"))</f>
        <v>OCTUBRE</v>
      </c>
      <c r="J181" s="13">
        <f>+YEAR(A181)</f>
        <v>2025</v>
      </c>
      <c r="K181" s="13" t="s">
        <v>18</v>
      </c>
      <c r="L181" t="s">
        <v>243</v>
      </c>
    </row>
    <row r="182" spans="1:12" x14ac:dyDescent="0.25">
      <c r="A182" s="12">
        <v>45959</v>
      </c>
      <c r="B182" s="12" t="s">
        <v>25</v>
      </c>
      <c r="C182" s="13" t="s">
        <v>72</v>
      </c>
      <c r="D182" s="14">
        <v>1</v>
      </c>
      <c r="E182" s="15">
        <v>63</v>
      </c>
      <c r="F182" s="15">
        <f t="shared" si="19"/>
        <v>63</v>
      </c>
      <c r="G182" s="13" t="s">
        <v>235</v>
      </c>
      <c r="H182" s="13"/>
      <c r="I182" s="13" t="str">
        <f>UPPER(TEXT(A182,"MMMM"))</f>
        <v>OCTUBRE</v>
      </c>
      <c r="J182" s="13">
        <f>+YEAR(A182)</f>
        <v>2025</v>
      </c>
      <c r="K182" s="13" t="s">
        <v>18</v>
      </c>
      <c r="L182" t="s">
        <v>243</v>
      </c>
    </row>
    <row r="183" spans="1:12" x14ac:dyDescent="0.25">
      <c r="A183" s="12">
        <v>45960</v>
      </c>
      <c r="B183" s="12" t="s">
        <v>69</v>
      </c>
      <c r="C183" s="13" t="s">
        <v>72</v>
      </c>
      <c r="D183" s="14">
        <v>1</v>
      </c>
      <c r="E183" s="15">
        <v>50</v>
      </c>
      <c r="F183" s="15">
        <f t="shared" si="19"/>
        <v>50</v>
      </c>
      <c r="G183" s="13" t="s">
        <v>236</v>
      </c>
      <c r="H183" s="13"/>
      <c r="I183" s="13" t="str">
        <f>UPPER(TEXT(A183,"MMMM"))</f>
        <v>OCTUBRE</v>
      </c>
      <c r="J183" s="13">
        <f>+YEAR(A183)</f>
        <v>2025</v>
      </c>
      <c r="K183" s="13" t="s">
        <v>18</v>
      </c>
      <c r="L183" t="s">
        <v>243</v>
      </c>
    </row>
    <row r="184" spans="1:12" ht="15.75" thickBot="1" x14ac:dyDescent="0.3">
      <c r="E184" s="56" t="s">
        <v>57</v>
      </c>
      <c r="F184" s="57">
        <f>SUM(F177:F183)</f>
        <v>121.05</v>
      </c>
    </row>
    <row r="185" spans="1:12" ht="15.75" thickBot="1" x14ac:dyDescent="0.3">
      <c r="H185" s="33"/>
      <c r="I185" s="34" t="s">
        <v>156</v>
      </c>
      <c r="J185" s="35"/>
    </row>
    <row r="186" spans="1:12" x14ac:dyDescent="0.25">
      <c r="H186" s="36">
        <v>20</v>
      </c>
      <c r="I186" s="37">
        <v>16</v>
      </c>
      <c r="J186" s="38">
        <f t="shared" ref="J186:J192" si="20">H186*I186</f>
        <v>320</v>
      </c>
    </row>
    <row r="187" spans="1:12" x14ac:dyDescent="0.25">
      <c r="E187" t="s">
        <v>237</v>
      </c>
      <c r="F187" s="16">
        <f>G173-F184</f>
        <v>-121.05</v>
      </c>
      <c r="H187" s="39">
        <v>10</v>
      </c>
      <c r="I187" s="40">
        <v>4</v>
      </c>
      <c r="J187" s="41">
        <f t="shared" si="20"/>
        <v>40</v>
      </c>
    </row>
    <row r="188" spans="1:12" x14ac:dyDescent="0.25">
      <c r="H188" s="39">
        <v>5</v>
      </c>
      <c r="I188" s="40">
        <v>4</v>
      </c>
      <c r="J188" s="41">
        <f t="shared" si="20"/>
        <v>20</v>
      </c>
    </row>
    <row r="189" spans="1:12" x14ac:dyDescent="0.25">
      <c r="H189" s="39">
        <v>1</v>
      </c>
      <c r="I189" s="40">
        <v>1</v>
      </c>
      <c r="J189" s="41">
        <f t="shared" si="20"/>
        <v>1</v>
      </c>
    </row>
    <row r="190" spans="1:12" x14ac:dyDescent="0.25">
      <c r="H190" s="39">
        <v>0.25</v>
      </c>
      <c r="I190" s="40"/>
      <c r="J190" s="41">
        <f t="shared" si="20"/>
        <v>0</v>
      </c>
    </row>
    <row r="191" spans="1:12" x14ac:dyDescent="0.25">
      <c r="H191" s="39">
        <v>0.1</v>
      </c>
      <c r="I191" s="40">
        <v>4</v>
      </c>
      <c r="J191" s="41">
        <f t="shared" si="20"/>
        <v>0.4</v>
      </c>
    </row>
    <row r="192" spans="1:12" x14ac:dyDescent="0.25">
      <c r="H192" s="39">
        <v>0.05</v>
      </c>
      <c r="I192" s="40">
        <v>1</v>
      </c>
      <c r="J192" s="41">
        <f t="shared" si="20"/>
        <v>0.05</v>
      </c>
    </row>
    <row r="193" spans="5:10" ht="15.75" thickBot="1" x14ac:dyDescent="0.3">
      <c r="H193" s="42"/>
      <c r="I193" s="43"/>
      <c r="J193" s="58">
        <f>SUM(J186:J192)</f>
        <v>381.45</v>
      </c>
    </row>
    <row r="195" spans="5:10" x14ac:dyDescent="0.25">
      <c r="E195" t="s">
        <v>238</v>
      </c>
      <c r="F195" s="59">
        <f ca="1">NOW()</f>
        <v>46183.505807638889</v>
      </c>
    </row>
  </sheetData>
  <autoFilter ref="A80:P80" xr:uid="{547169E1-B2F0-46C9-B563-108301DECDA7}">
    <sortState ref="A81:P98">
      <sortCondition ref="M80"/>
    </sortState>
  </autoFilter>
  <mergeCells count="6">
    <mergeCell ref="A157:N157"/>
    <mergeCell ref="A115:N115"/>
    <mergeCell ref="A1:N1"/>
    <mergeCell ref="A21:N21"/>
    <mergeCell ref="A40:N40"/>
    <mergeCell ref="A79:N79"/>
  </mergeCells>
  <pageMargins left="0.7" right="0.7" top="0.75" bottom="0.75" header="0.3" footer="0.3"/>
  <pageSetup paperSize="9" scale="16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6A31F5F9-E961-48AC-9E84-6BE6898F669E}">
          <x14:formula1>
            <xm:f>'CUENTAS CONTABLES'!$G$5:$G$11</xm:f>
          </x14:formula1>
          <xm:sqref>J3:J10 K177:K183 J159:J172 K137:K143 J117:J132 K101:K107 J81:J97 K60:K64 J42:J53 L31:L32 J23:J28 L12:L13</xm:sqref>
        </x14:dataValidation>
        <x14:dataValidation type="list" allowBlank="1" showInputMessage="1" showErrorMessage="1" xr:uid="{AD213A92-F59B-49B0-865D-8103DA838A55}">
          <x14:formula1>
            <xm:f>'CUENTAS CONTABLES'!$E$5:$E$10</xm:f>
          </x14:formula1>
          <xm:sqref>D3:D10 D159:D172 D117:D132 D81:D97 D42:D53 D23:D28</xm:sqref>
        </x14:dataValidation>
        <x14:dataValidation type="list" allowBlank="1" showInputMessage="1" showErrorMessage="1" xr:uid="{4F9E5FF3-04B3-4F2E-AE1E-FF04ADE1645E}">
          <x14:formula1>
            <xm:f>'CUENTAS CONTABLES'!$A$5:$A$7</xm:f>
          </x14:formula1>
          <xm:sqref>H4:H10 H159:H161 H117:H120 H81:H91 H42:H53 H23:H28</xm:sqref>
        </x14:dataValidation>
        <x14:dataValidation type="list" allowBlank="1" showInputMessage="1" showErrorMessage="1" xr:uid="{D5E0E747-E0B4-41C8-AF25-35E7B69D9A7D}">
          <x14:formula1>
            <xm:f>'CUENTAS CONTABLES'!$C$5:$C$15</xm:f>
          </x14:formula1>
          <xm:sqref>C12:C13 B177:B183 B137:B143 B101:B107 B60:B64 C31:C32</xm:sqref>
        </x14:dataValidation>
        <x14:dataValidation type="list" allowBlank="1" showInputMessage="1" showErrorMessage="1" xr:uid="{091EA181-3EED-44A7-A3C6-0B349A340A46}">
          <x14:formula1>
            <xm:f>'CUENTAS CONTABLES'!$I$5:$I$14</xm:f>
          </x14:formula1>
          <xm:sqref>D12:D13 C177:C183 C137:C143 C101:C107 C60:C64 D31:D32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1C7B-AB7B-4DD2-BFA1-A1EC4BF9D9DF}">
  <dimension ref="A1:F1"/>
  <sheetViews>
    <sheetView workbookViewId="0">
      <selection sqref="A1:F1"/>
    </sheetView>
  </sheetViews>
  <sheetFormatPr baseColWidth="10" defaultRowHeight="15" x14ac:dyDescent="0.25"/>
  <sheetData>
    <row r="1" spans="1:6" ht="35.450000000000003" customHeight="1" x14ac:dyDescent="0.25">
      <c r="A1" s="80"/>
      <c r="B1" s="80"/>
      <c r="C1" s="80"/>
      <c r="D1" s="80"/>
      <c r="E1" s="80"/>
      <c r="F1" s="80"/>
    </row>
  </sheetData>
  <mergeCells count="1">
    <mergeCell ref="A1:F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54E0B-9AC0-40C6-91FE-FA230B283EB2}">
  <dimension ref="A1:F13"/>
  <sheetViews>
    <sheetView workbookViewId="0">
      <selection activeCell="A10" sqref="A10"/>
    </sheetView>
  </sheetViews>
  <sheetFormatPr baseColWidth="10" defaultRowHeight="15" x14ac:dyDescent="0.25"/>
  <cols>
    <col min="1" max="1" width="16.5703125" bestFit="1" customWidth="1"/>
  </cols>
  <sheetData>
    <row r="1" spans="1:6" ht="35.450000000000003" customHeight="1" x14ac:dyDescent="0.25">
      <c r="A1" s="80"/>
      <c r="B1" s="80"/>
      <c r="C1" s="80"/>
      <c r="D1" s="80"/>
      <c r="E1" s="80"/>
      <c r="F1" s="80"/>
    </row>
    <row r="10" spans="1:6" x14ac:dyDescent="0.25">
      <c r="A10" s="1" t="s">
        <v>34</v>
      </c>
    </row>
    <row r="11" spans="1:6" x14ac:dyDescent="0.25">
      <c r="A11" s="2" t="s">
        <v>17</v>
      </c>
    </row>
    <row r="12" spans="1:6" x14ac:dyDescent="0.25">
      <c r="A12" s="2" t="s">
        <v>21</v>
      </c>
    </row>
    <row r="13" spans="1:6" x14ac:dyDescent="0.25">
      <c r="A13" s="2" t="s">
        <v>35</v>
      </c>
    </row>
  </sheetData>
  <mergeCells count="1">
    <mergeCell ref="A1:F1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7CC4F-0DB5-4376-8C0F-408DE905136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D615C-28D7-4512-9E06-ABA07E71869C}">
  <dimension ref="A1:K25"/>
  <sheetViews>
    <sheetView workbookViewId="0">
      <selection activeCell="G17" sqref="G16:G17"/>
    </sheetView>
  </sheetViews>
  <sheetFormatPr baseColWidth="10" defaultRowHeight="15" x14ac:dyDescent="0.25"/>
  <cols>
    <col min="1" max="1" width="22.85546875" customWidth="1"/>
    <col min="2" max="2" width="11" customWidth="1"/>
    <col min="3" max="3" width="15.7109375" customWidth="1"/>
    <col min="4" max="4" width="12.42578125" customWidth="1"/>
    <col min="5" max="5" width="17.140625" customWidth="1"/>
    <col min="6" max="6" width="14.28515625" customWidth="1"/>
    <col min="7" max="7" width="15" customWidth="1"/>
    <col min="9" max="9" width="16.7109375" customWidth="1"/>
    <col min="10" max="10" width="11.5703125" customWidth="1"/>
    <col min="12" max="12" width="16.140625" customWidth="1"/>
  </cols>
  <sheetData>
    <row r="1" spans="1:11" ht="35.450000000000003" customHeight="1" x14ac:dyDescent="0.25">
      <c r="A1" s="80"/>
      <c r="B1" s="80"/>
      <c r="C1" s="80"/>
      <c r="D1" s="80"/>
      <c r="E1" s="80"/>
      <c r="F1" s="80"/>
    </row>
    <row r="4" spans="1:11" x14ac:dyDescent="0.25">
      <c r="A4" t="s">
        <v>14</v>
      </c>
      <c r="C4" t="s">
        <v>15</v>
      </c>
      <c r="E4" t="s">
        <v>9</v>
      </c>
      <c r="G4" t="s">
        <v>10</v>
      </c>
      <c r="I4" t="s">
        <v>61</v>
      </c>
      <c r="K4" t="s">
        <v>351</v>
      </c>
    </row>
    <row r="5" spans="1:11" x14ac:dyDescent="0.25">
      <c r="A5" t="s">
        <v>37</v>
      </c>
      <c r="C5" t="s">
        <v>16</v>
      </c>
      <c r="E5" t="s">
        <v>17</v>
      </c>
      <c r="G5" t="s">
        <v>18</v>
      </c>
      <c r="I5" t="s">
        <v>62</v>
      </c>
      <c r="K5" t="s">
        <v>352</v>
      </c>
    </row>
    <row r="6" spans="1:11" x14ac:dyDescent="0.25">
      <c r="A6" t="s">
        <v>38</v>
      </c>
      <c r="C6" t="s">
        <v>19</v>
      </c>
      <c r="E6" t="s">
        <v>21</v>
      </c>
      <c r="G6" t="s">
        <v>20</v>
      </c>
      <c r="I6" t="s">
        <v>63</v>
      </c>
      <c r="K6" t="s">
        <v>353</v>
      </c>
    </row>
    <row r="7" spans="1:11" x14ac:dyDescent="0.25">
      <c r="C7" t="s">
        <v>22</v>
      </c>
      <c r="E7" t="s">
        <v>23</v>
      </c>
      <c r="G7" t="s">
        <v>83</v>
      </c>
      <c r="I7" t="s">
        <v>64</v>
      </c>
    </row>
    <row r="8" spans="1:11" x14ac:dyDescent="0.25">
      <c r="C8" t="s">
        <v>25</v>
      </c>
      <c r="E8" t="s">
        <v>26</v>
      </c>
      <c r="G8" t="s">
        <v>27</v>
      </c>
      <c r="I8" t="s">
        <v>65</v>
      </c>
    </row>
    <row r="9" spans="1:11" x14ac:dyDescent="0.25">
      <c r="C9" t="s">
        <v>28</v>
      </c>
      <c r="E9" t="s">
        <v>29</v>
      </c>
      <c r="G9" t="s">
        <v>30</v>
      </c>
      <c r="I9" t="s">
        <v>66</v>
      </c>
    </row>
    <row r="10" spans="1:11" x14ac:dyDescent="0.25">
      <c r="C10" t="s">
        <v>31</v>
      </c>
      <c r="E10" t="s">
        <v>70</v>
      </c>
      <c r="G10" t="s">
        <v>32</v>
      </c>
      <c r="I10" t="s">
        <v>24</v>
      </c>
    </row>
    <row r="11" spans="1:11" x14ac:dyDescent="0.25">
      <c r="C11" t="s">
        <v>67</v>
      </c>
      <c r="G11" t="s">
        <v>84</v>
      </c>
      <c r="I11" t="s">
        <v>27</v>
      </c>
    </row>
    <row r="12" spans="1:11" x14ac:dyDescent="0.25">
      <c r="C12" t="s">
        <v>33</v>
      </c>
      <c r="G12" t="s">
        <v>68</v>
      </c>
      <c r="I12" t="s">
        <v>30</v>
      </c>
    </row>
    <row r="13" spans="1:11" x14ac:dyDescent="0.25">
      <c r="C13" t="s">
        <v>25</v>
      </c>
      <c r="G13" t="s">
        <v>456</v>
      </c>
      <c r="I13" t="s">
        <v>32</v>
      </c>
    </row>
    <row r="14" spans="1:11" x14ac:dyDescent="0.25">
      <c r="C14" t="s">
        <v>68</v>
      </c>
      <c r="G14" t="s">
        <v>69</v>
      </c>
      <c r="I14" t="s">
        <v>72</v>
      </c>
    </row>
    <row r="15" spans="1:11" x14ac:dyDescent="0.25">
      <c r="C15" t="s">
        <v>69</v>
      </c>
      <c r="I15" t="s">
        <v>376</v>
      </c>
    </row>
    <row r="16" spans="1:11" x14ac:dyDescent="0.25">
      <c r="C16" t="s">
        <v>72</v>
      </c>
      <c r="I16" t="s">
        <v>389</v>
      </c>
    </row>
    <row r="17" spans="9:9" x14ac:dyDescent="0.25">
      <c r="I17" t="s">
        <v>390</v>
      </c>
    </row>
    <row r="18" spans="9:9" x14ac:dyDescent="0.25">
      <c r="I18" t="s">
        <v>68</v>
      </c>
    </row>
    <row r="19" spans="9:9" x14ac:dyDescent="0.25">
      <c r="I19" t="s">
        <v>69</v>
      </c>
    </row>
    <row r="20" spans="9:9" x14ac:dyDescent="0.25">
      <c r="I20" t="s">
        <v>420</v>
      </c>
    </row>
    <row r="21" spans="9:9" x14ac:dyDescent="0.25">
      <c r="I21" t="s">
        <v>421</v>
      </c>
    </row>
    <row r="22" spans="9:9" x14ac:dyDescent="0.25">
      <c r="I22" t="s">
        <v>423</v>
      </c>
    </row>
    <row r="23" spans="9:9" x14ac:dyDescent="0.25">
      <c r="I23" t="s">
        <v>425</v>
      </c>
    </row>
    <row r="24" spans="9:9" x14ac:dyDescent="0.25">
      <c r="I24" t="s">
        <v>428</v>
      </c>
    </row>
    <row r="25" spans="9:9" x14ac:dyDescent="0.25">
      <c r="I25" t="s">
        <v>430</v>
      </c>
    </row>
  </sheetData>
  <mergeCells count="1">
    <mergeCell ref="A1:F1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C62B0E-4674-4F13-9A5F-132C3B4506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INGRESOS</vt:lpstr>
      <vt:lpstr>EGRESOS</vt:lpstr>
      <vt:lpstr>FACTURAS</vt:lpstr>
      <vt:lpstr>RESUMEN 1</vt:lpstr>
      <vt:lpstr>REPORTE CAJA</vt:lpstr>
      <vt:lpstr>RESUMEN 2</vt:lpstr>
      <vt:lpstr>TABLA</vt:lpstr>
      <vt:lpstr>Hoja1</vt:lpstr>
      <vt:lpstr>CUENTAS CONTABLES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Bryam</dc:creator>
  <cp:lastModifiedBy>LENOVO</cp:lastModifiedBy>
  <cp:lastPrinted>2025-10-30T16:27:31Z</cp:lastPrinted>
  <dcterms:created xsi:type="dcterms:W3CDTF">2024-09-13T20:03:48Z</dcterms:created>
  <dcterms:modified xsi:type="dcterms:W3CDTF">2026-06-10T17:47:41Z</dcterms:modified>
</cp:coreProperties>
</file>