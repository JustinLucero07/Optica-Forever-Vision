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ryam\Desktop\"/>
    </mc:Choice>
  </mc:AlternateContent>
  <xr:revisionPtr revIDLastSave="0" documentId="13_ncr:1_{58F4C9A1-6EFB-4C9E-AA1E-FF48A78CCC01}" xr6:coauthVersionLast="47" xr6:coauthVersionMax="47" xr10:uidLastSave="{00000000-0000-0000-0000-000000000000}"/>
  <bookViews>
    <workbookView xWindow="-108" yWindow="-108" windowWidth="23256" windowHeight="12576" xr2:uid="{C3415AEA-9BD2-4E48-A53C-D8D3F84FBBF2}"/>
  </bookViews>
  <sheets>
    <sheet name="INGRESOS" sheetId="1" r:id="rId1"/>
    <sheet name="EGRESOS" sheetId="2" r:id="rId2"/>
    <sheet name="FACTURAS" sheetId="8" r:id="rId3"/>
    <sheet name="RESUMEN 1" sheetId="3" r:id="rId4"/>
    <sheet name="REPORTE CAJA" sheetId="7" r:id="rId5"/>
    <sheet name="RESUMEN 2" sheetId="4" r:id="rId6"/>
    <sheet name="TABLA" sheetId="5" r:id="rId7"/>
    <sheet name="Hoja1" sheetId="9" r:id="rId8"/>
    <sheet name="CUENTAS CONTABLES" sheetId="6" r:id="rId9"/>
  </sheets>
  <definedNames>
    <definedName name="_xlnm._FilterDatabase" localSheetId="0" hidden="1">INGRESOS!$A$3:$A$177</definedName>
    <definedName name="_xlnm._FilterDatabase" localSheetId="4" hidden="1">'REPORTE CAJA'!$A$80:$P$80</definedName>
  </definedNames>
  <calcPr calcId="18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5" i="8" l="1"/>
  <c r="G66" i="8"/>
  <c r="G67" i="8"/>
  <c r="G69" i="8"/>
  <c r="G68" i="8"/>
  <c r="G70" i="8"/>
  <c r="G71" i="8"/>
  <c r="G72" i="8"/>
  <c r="H65" i="8"/>
  <c r="H66" i="8"/>
  <c r="H67" i="8"/>
  <c r="H69" i="8"/>
  <c r="H68" i="8"/>
  <c r="H70" i="8"/>
  <c r="H71" i="8"/>
  <c r="H72" i="8"/>
  <c r="G47" i="8"/>
  <c r="G54" i="8"/>
  <c r="G62" i="8"/>
  <c r="G64" i="8"/>
  <c r="H47" i="8"/>
  <c r="H54" i="8"/>
  <c r="H62" i="8"/>
  <c r="H64" i="8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60" i="2"/>
  <c r="I161" i="2"/>
  <c r="I162" i="2"/>
  <c r="I163" i="2"/>
  <c r="I164" i="2"/>
  <c r="I165" i="2"/>
  <c r="I166" i="2"/>
  <c r="J146" i="2"/>
  <c r="J147" i="2"/>
  <c r="J148" i="2"/>
  <c r="J149" i="2"/>
  <c r="J150" i="2"/>
  <c r="J151" i="2"/>
  <c r="J152" i="2"/>
  <c r="J153" i="2"/>
  <c r="J154" i="2"/>
  <c r="J156" i="2"/>
  <c r="J157" i="2"/>
  <c r="J158" i="2"/>
  <c r="J159" i="2"/>
  <c r="J160" i="2"/>
  <c r="J161" i="2"/>
  <c r="J162" i="2"/>
  <c r="J163" i="2"/>
  <c r="J164" i="2"/>
  <c r="J165" i="2"/>
  <c r="J166" i="2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G48" i="8"/>
  <c r="G45" i="8"/>
  <c r="G46" i="8"/>
  <c r="G42" i="8"/>
  <c r="G43" i="8"/>
  <c r="G44" i="8"/>
  <c r="G56" i="8"/>
  <c r="G57" i="8"/>
  <c r="G63" i="8"/>
  <c r="H48" i="8"/>
  <c r="H45" i="8"/>
  <c r="H46" i="8"/>
  <c r="H42" i="8"/>
  <c r="H43" i="8"/>
  <c r="H44" i="8"/>
  <c r="H56" i="8"/>
  <c r="H57" i="8"/>
  <c r="H63" i="8"/>
  <c r="G58" i="8"/>
  <c r="G50" i="8"/>
  <c r="G52" i="8"/>
  <c r="G53" i="8"/>
  <c r="G51" i="8"/>
  <c r="G49" i="8"/>
  <c r="G59" i="8"/>
  <c r="G60" i="8"/>
  <c r="G55" i="8"/>
  <c r="H58" i="8"/>
  <c r="H50" i="8"/>
  <c r="H52" i="8"/>
  <c r="H53" i="8"/>
  <c r="H51" i="8"/>
  <c r="H49" i="8"/>
  <c r="H59" i="8"/>
  <c r="H60" i="8"/>
  <c r="H55" i="8"/>
  <c r="F144" i="2"/>
  <c r="I144" i="2"/>
  <c r="J144" i="2"/>
  <c r="G134" i="1"/>
  <c r="G135" i="1"/>
  <c r="K134" i="1"/>
  <c r="K135" i="1"/>
  <c r="K136" i="1"/>
  <c r="K137" i="1"/>
  <c r="L134" i="1"/>
  <c r="L135" i="1"/>
  <c r="L136" i="1"/>
  <c r="L137" i="1"/>
  <c r="G132" i="1"/>
  <c r="G133" i="1"/>
  <c r="K132" i="1"/>
  <c r="K133" i="1"/>
  <c r="L132" i="1"/>
  <c r="L133" i="1"/>
  <c r="G131" i="1"/>
  <c r="K131" i="1"/>
  <c r="L131" i="1"/>
  <c r="G130" i="1"/>
  <c r="K130" i="1"/>
  <c r="L130" i="1"/>
  <c r="G129" i="1"/>
  <c r="K129" i="1"/>
  <c r="L129" i="1"/>
  <c r="G128" i="1"/>
  <c r="K128" i="1"/>
  <c r="L128" i="1"/>
  <c r="G127" i="1"/>
  <c r="K127" i="1"/>
  <c r="L127" i="1"/>
  <c r="F143" i="2"/>
  <c r="I143" i="2"/>
  <c r="J143" i="2"/>
  <c r="F142" i="2"/>
  <c r="I142" i="2"/>
  <c r="J142" i="2"/>
  <c r="F135" i="2"/>
  <c r="F136" i="2"/>
  <c r="F137" i="2"/>
  <c r="F138" i="2"/>
  <c r="F139" i="2"/>
  <c r="F140" i="2"/>
  <c r="F141" i="2"/>
  <c r="I135" i="2"/>
  <c r="I136" i="2"/>
  <c r="I137" i="2"/>
  <c r="I138" i="2"/>
  <c r="I139" i="2"/>
  <c r="I140" i="2"/>
  <c r="I141" i="2"/>
  <c r="J135" i="2"/>
  <c r="J136" i="2"/>
  <c r="J137" i="2"/>
  <c r="J138" i="2"/>
  <c r="J139" i="2"/>
  <c r="J140" i="2"/>
  <c r="J141" i="2"/>
  <c r="F134" i="2"/>
  <c r="I134" i="2"/>
  <c r="J134" i="2"/>
  <c r="G121" i="1"/>
  <c r="G122" i="1"/>
  <c r="G123" i="1"/>
  <c r="G124" i="1"/>
  <c r="G125" i="1"/>
  <c r="G126" i="1"/>
  <c r="K121" i="1"/>
  <c r="K122" i="1"/>
  <c r="K123" i="1"/>
  <c r="K124" i="1"/>
  <c r="K125" i="1"/>
  <c r="K126" i="1"/>
  <c r="L121" i="1"/>
  <c r="L122" i="1"/>
  <c r="L123" i="1"/>
  <c r="L124" i="1"/>
  <c r="L125" i="1"/>
  <c r="L126" i="1"/>
  <c r="K113" i="1" l="1"/>
  <c r="K114" i="1"/>
  <c r="K115" i="1"/>
  <c r="K116" i="1"/>
  <c r="K117" i="1"/>
  <c r="K118" i="1"/>
  <c r="K119" i="1"/>
  <c r="K120" i="1"/>
  <c r="L113" i="1"/>
  <c r="L114" i="1"/>
  <c r="L115" i="1"/>
  <c r="L116" i="1"/>
  <c r="L117" i="1"/>
  <c r="L118" i="1"/>
  <c r="L119" i="1"/>
  <c r="L120" i="1"/>
  <c r="G112" i="1"/>
  <c r="G113" i="1"/>
  <c r="G114" i="1"/>
  <c r="G115" i="1"/>
  <c r="G116" i="1"/>
  <c r="G117" i="1"/>
  <c r="G118" i="1"/>
  <c r="G119" i="1"/>
  <c r="G120" i="1"/>
  <c r="K112" i="1"/>
  <c r="L112" i="1"/>
  <c r="F132" i="2"/>
  <c r="F133" i="2"/>
  <c r="I132" i="2"/>
  <c r="I133" i="2"/>
  <c r="J126" i="2"/>
  <c r="J128" i="2"/>
  <c r="J129" i="2"/>
  <c r="J97" i="2"/>
  <c r="J98" i="2"/>
  <c r="J116" i="2"/>
  <c r="J117" i="2"/>
  <c r="J123" i="2"/>
  <c r="J127" i="2"/>
  <c r="J130" i="2"/>
  <c r="J110" i="2"/>
  <c r="J118" i="2"/>
  <c r="J121" i="2"/>
  <c r="J131" i="2"/>
  <c r="J132" i="2"/>
  <c r="J133" i="2"/>
  <c r="F110" i="2"/>
  <c r="F118" i="2"/>
  <c r="F121" i="2"/>
  <c r="F131" i="2"/>
  <c r="I126" i="2"/>
  <c r="I128" i="2"/>
  <c r="I129" i="2"/>
  <c r="I97" i="2"/>
  <c r="I98" i="2"/>
  <c r="I116" i="2"/>
  <c r="I117" i="2"/>
  <c r="I123" i="2"/>
  <c r="I127" i="2"/>
  <c r="I130" i="2"/>
  <c r="I110" i="2"/>
  <c r="I118" i="2"/>
  <c r="I121" i="2"/>
  <c r="I131" i="2"/>
  <c r="F129" i="2"/>
  <c r="F97" i="2"/>
  <c r="F98" i="2"/>
  <c r="F116" i="2"/>
  <c r="F117" i="2"/>
  <c r="F123" i="2"/>
  <c r="F127" i="2"/>
  <c r="F130" i="2"/>
  <c r="F101" i="2"/>
  <c r="F102" i="2"/>
  <c r="F103" i="2"/>
  <c r="F105" i="2"/>
  <c r="F107" i="2"/>
  <c r="F108" i="2"/>
  <c r="F111" i="2"/>
  <c r="F112" i="2"/>
  <c r="F113" i="2"/>
  <c r="F114" i="2"/>
  <c r="F115" i="2"/>
  <c r="F104" i="2"/>
  <c r="F106" i="2"/>
  <c r="F109" i="2"/>
  <c r="F119" i="2"/>
  <c r="F120" i="2"/>
  <c r="F122" i="2"/>
  <c r="F124" i="2"/>
  <c r="F125" i="2"/>
  <c r="F126" i="2"/>
  <c r="F128" i="2"/>
  <c r="J104" i="2"/>
  <c r="J106" i="2"/>
  <c r="J109" i="2"/>
  <c r="J119" i="2"/>
  <c r="J120" i="2"/>
  <c r="J122" i="2"/>
  <c r="J124" i="2"/>
  <c r="J125" i="2"/>
  <c r="I104" i="2"/>
  <c r="I106" i="2"/>
  <c r="I109" i="2"/>
  <c r="I119" i="2"/>
  <c r="I120" i="2"/>
  <c r="I122" i="2"/>
  <c r="I124" i="2"/>
  <c r="I125" i="2"/>
  <c r="G111" i="1"/>
  <c r="K111" i="1"/>
  <c r="L111" i="1"/>
  <c r="G109" i="1"/>
  <c r="F73" i="2" l="1"/>
  <c r="I73" i="2"/>
  <c r="J73" i="2"/>
  <c r="F59" i="2"/>
  <c r="I59" i="2"/>
  <c r="J59" i="2"/>
  <c r="I114" i="2"/>
  <c r="J114" i="2"/>
  <c r="I115" i="2"/>
  <c r="J115" i="2"/>
  <c r="I113" i="2"/>
  <c r="J113" i="2"/>
  <c r="F8" i="2"/>
  <c r="I8" i="2"/>
  <c r="J8" i="2"/>
  <c r="F7" i="2"/>
  <c r="I7" i="2"/>
  <c r="J7" i="2"/>
  <c r="I112" i="2"/>
  <c r="J112" i="2"/>
  <c r="I111" i="2"/>
  <c r="J111" i="2"/>
  <c r="I108" i="2"/>
  <c r="J108" i="2"/>
  <c r="I105" i="2"/>
  <c r="J105" i="2"/>
  <c r="F66" i="2"/>
  <c r="I66" i="2"/>
  <c r="J66" i="2"/>
  <c r="F67" i="2"/>
  <c r="I67" i="2"/>
  <c r="J67" i="2"/>
  <c r="F74" i="2"/>
  <c r="I74" i="2"/>
  <c r="J74" i="2"/>
  <c r="F75" i="2"/>
  <c r="I75" i="2"/>
  <c r="J75" i="2"/>
  <c r="F76" i="2"/>
  <c r="I76" i="2"/>
  <c r="J76" i="2"/>
  <c r="F77" i="2"/>
  <c r="I77" i="2"/>
  <c r="J77" i="2"/>
  <c r="F80" i="2"/>
  <c r="I80" i="2"/>
  <c r="J80" i="2"/>
  <c r="F81" i="2"/>
  <c r="I81" i="2"/>
  <c r="J81" i="2"/>
  <c r="F86" i="2"/>
  <c r="I86" i="2"/>
  <c r="J86" i="2"/>
  <c r="F87" i="2"/>
  <c r="I87" i="2"/>
  <c r="J87" i="2"/>
  <c r="F88" i="2"/>
  <c r="I88" i="2"/>
  <c r="J88" i="2"/>
  <c r="F89" i="2"/>
  <c r="I89" i="2"/>
  <c r="J89" i="2"/>
  <c r="F57" i="2"/>
  <c r="I57" i="2"/>
  <c r="J57" i="2"/>
  <c r="F58" i="2"/>
  <c r="I58" i="2"/>
  <c r="J58" i="2"/>
  <c r="F63" i="2"/>
  <c r="I63" i="2"/>
  <c r="J63" i="2"/>
  <c r="F36" i="2"/>
  <c r="I36" i="2"/>
  <c r="J36" i="2"/>
  <c r="F37" i="2"/>
  <c r="I37" i="2"/>
  <c r="J37" i="2"/>
  <c r="F41" i="2"/>
  <c r="I41" i="2"/>
  <c r="J41" i="2"/>
  <c r="F45" i="2"/>
  <c r="I45" i="2"/>
  <c r="J45" i="2"/>
  <c r="F54" i="2"/>
  <c r="I54" i="2"/>
  <c r="J54" i="2"/>
  <c r="F55" i="2"/>
  <c r="I55" i="2"/>
  <c r="J55" i="2"/>
  <c r="F33" i="2"/>
  <c r="F34" i="2"/>
  <c r="F35" i="2"/>
  <c r="I33" i="2"/>
  <c r="I34" i="2"/>
  <c r="I35" i="2"/>
  <c r="J33" i="2"/>
  <c r="J34" i="2"/>
  <c r="J35" i="2"/>
  <c r="F10" i="2"/>
  <c r="F11" i="2"/>
  <c r="F12" i="2"/>
  <c r="F13" i="2"/>
  <c r="F24" i="2"/>
  <c r="F26" i="2"/>
  <c r="I10" i="2"/>
  <c r="I11" i="2"/>
  <c r="I12" i="2"/>
  <c r="I13" i="2"/>
  <c r="I24" i="2"/>
  <c r="I26" i="2"/>
  <c r="J10" i="2"/>
  <c r="J11" i="2"/>
  <c r="J12" i="2"/>
  <c r="J13" i="2"/>
  <c r="J24" i="2"/>
  <c r="J26" i="2"/>
  <c r="G86" i="1"/>
  <c r="G87" i="1"/>
  <c r="G89" i="1"/>
  <c r="G90" i="1"/>
  <c r="G5" i="1"/>
  <c r="G17" i="1"/>
  <c r="G24" i="1"/>
  <c r="G21" i="1"/>
  <c r="G67" i="1"/>
  <c r="G95" i="1"/>
  <c r="G92" i="1"/>
  <c r="G93" i="1"/>
  <c r="G91" i="1"/>
  <c r="G88" i="1"/>
  <c r="G28" i="1"/>
  <c r="G51" i="1"/>
  <c r="G94" i="1"/>
  <c r="G97" i="1"/>
  <c r="G98" i="1"/>
  <c r="G99" i="1"/>
  <c r="G100" i="1"/>
  <c r="G101" i="1"/>
  <c r="G102" i="1"/>
  <c r="G103" i="1"/>
  <c r="G104" i="1"/>
  <c r="G105" i="1"/>
  <c r="G4" i="1"/>
  <c r="F99" i="2"/>
  <c r="F100" i="2"/>
  <c r="I99" i="2"/>
  <c r="I100" i="2"/>
  <c r="I101" i="2"/>
  <c r="I102" i="2"/>
  <c r="I107" i="2"/>
  <c r="I103" i="2"/>
  <c r="I9" i="2"/>
  <c r="J99" i="2"/>
  <c r="J100" i="2"/>
  <c r="J101" i="2"/>
  <c r="J102" i="2"/>
  <c r="J107" i="2"/>
  <c r="J103" i="2"/>
  <c r="J9" i="2"/>
  <c r="F9" i="2"/>
  <c r="I5" i="2" l="1"/>
  <c r="I6" i="2"/>
  <c r="I14" i="2"/>
  <c r="I15" i="2"/>
  <c r="I16" i="2"/>
  <c r="I17" i="2"/>
  <c r="I18" i="2"/>
  <c r="I19" i="2"/>
  <c r="I20" i="2"/>
  <c r="I21" i="2"/>
  <c r="I22" i="2"/>
  <c r="I23" i="2"/>
  <c r="I25" i="2"/>
  <c r="I27" i="2"/>
  <c r="I28" i="2"/>
  <c r="I29" i="2"/>
  <c r="I30" i="2"/>
  <c r="I31" i="2"/>
  <c r="I32" i="2"/>
  <c r="I40" i="2"/>
  <c r="I38" i="2"/>
  <c r="I39" i="2"/>
  <c r="I44" i="2"/>
  <c r="I42" i="2"/>
  <c r="I43" i="2"/>
  <c r="I46" i="2"/>
  <c r="I47" i="2"/>
  <c r="I49" i="2"/>
  <c r="I48" i="2"/>
  <c r="I50" i="2"/>
  <c r="I51" i="2"/>
  <c r="I52" i="2"/>
  <c r="I53" i="2"/>
  <c r="I56" i="2"/>
  <c r="I60" i="2"/>
  <c r="I61" i="2"/>
  <c r="I62" i="2"/>
  <c r="I64" i="2"/>
  <c r="I65" i="2"/>
  <c r="I68" i="2"/>
  <c r="I69" i="2"/>
  <c r="I70" i="2"/>
  <c r="I71" i="2"/>
  <c r="I72" i="2"/>
  <c r="I78" i="2"/>
  <c r="I79" i="2"/>
  <c r="I82" i="2"/>
  <c r="I83" i="2"/>
  <c r="I84" i="2"/>
  <c r="I85" i="2"/>
  <c r="I90" i="2"/>
  <c r="I91" i="2"/>
  <c r="I92" i="2"/>
  <c r="I96" i="2"/>
  <c r="I93" i="2"/>
  <c r="I94" i="2"/>
  <c r="L37" i="1"/>
  <c r="L39" i="1"/>
  <c r="L36" i="1"/>
  <c r="K37" i="1"/>
  <c r="K39" i="1"/>
  <c r="F95" i="2"/>
  <c r="I95" i="2"/>
  <c r="J95" i="2"/>
  <c r="J94" i="2"/>
  <c r="J93" i="2"/>
  <c r="J96" i="2"/>
  <c r="J92" i="2"/>
  <c r="F92" i="2"/>
  <c r="F96" i="2"/>
  <c r="F93" i="2"/>
  <c r="F94" i="2"/>
  <c r="L81" i="1"/>
  <c r="L82" i="1"/>
  <c r="L80" i="1"/>
  <c r="L4" i="1"/>
  <c r="L86" i="1"/>
  <c r="L87" i="1"/>
  <c r="L89" i="1"/>
  <c r="L90" i="1"/>
  <c r="L5" i="1"/>
  <c r="L17" i="1"/>
  <c r="L24" i="1"/>
  <c r="L21" i="1"/>
  <c r="L67" i="1"/>
  <c r="L95" i="1"/>
  <c r="L92" i="1"/>
  <c r="L93" i="1"/>
  <c r="L91" i="1"/>
  <c r="L88" i="1"/>
  <c r="L28" i="1"/>
  <c r="L51" i="1"/>
  <c r="L94" i="1"/>
  <c r="L97" i="1"/>
  <c r="L98" i="1"/>
  <c r="L99" i="1"/>
  <c r="L100" i="1"/>
  <c r="L101" i="1"/>
  <c r="L102" i="1"/>
  <c r="L103" i="1"/>
  <c r="L104" i="1"/>
  <c r="L105" i="1"/>
  <c r="L106" i="1"/>
  <c r="L108" i="1"/>
  <c r="L109" i="1"/>
  <c r="L110" i="1"/>
  <c r="L84" i="1"/>
  <c r="L85" i="1"/>
  <c r="L96" i="1"/>
  <c r="L107" i="1"/>
  <c r="K81" i="1"/>
  <c r="K82" i="1"/>
  <c r="K80" i="1"/>
  <c r="K4" i="1"/>
  <c r="K86" i="1"/>
  <c r="K87" i="1"/>
  <c r="K89" i="1"/>
  <c r="K90" i="1"/>
  <c r="K5" i="1"/>
  <c r="K17" i="1"/>
  <c r="K24" i="1"/>
  <c r="K21" i="1"/>
  <c r="K67" i="1"/>
  <c r="K95" i="1"/>
  <c r="K92" i="1"/>
  <c r="K93" i="1"/>
  <c r="K91" i="1"/>
  <c r="K88" i="1"/>
  <c r="K28" i="1"/>
  <c r="K51" i="1"/>
  <c r="K94" i="1"/>
  <c r="K97" i="1"/>
  <c r="K98" i="1"/>
  <c r="K99" i="1"/>
  <c r="K100" i="1"/>
  <c r="K101" i="1"/>
  <c r="K102" i="1"/>
  <c r="K103" i="1"/>
  <c r="K104" i="1"/>
  <c r="K105" i="1"/>
  <c r="K106" i="1"/>
  <c r="K108" i="1"/>
  <c r="K109" i="1"/>
  <c r="K110" i="1"/>
  <c r="K84" i="1"/>
  <c r="K85" i="1"/>
  <c r="K96" i="1"/>
  <c r="K107" i="1"/>
  <c r="G82" i="1"/>
  <c r="G80" i="1"/>
  <c r="G106" i="1"/>
  <c r="G108" i="1"/>
  <c r="G110" i="1"/>
  <c r="G84" i="1"/>
  <c r="G85" i="1"/>
  <c r="G96" i="1"/>
  <c r="G107" i="1"/>
  <c r="G81" i="1"/>
  <c r="L83" i="1"/>
  <c r="K83" i="1"/>
  <c r="G83" i="1"/>
  <c r="G68" i="1"/>
  <c r="K68" i="1"/>
  <c r="L68" i="1"/>
  <c r="G37" i="1"/>
  <c r="G39" i="1"/>
  <c r="G36" i="1"/>
  <c r="G8" i="1"/>
  <c r="G24" i="8"/>
  <c r="G25" i="8"/>
  <c r="G61" i="8"/>
  <c r="H24" i="8"/>
  <c r="H25" i="8"/>
  <c r="H61" i="8"/>
  <c r="G12" i="8"/>
  <c r="H12" i="8"/>
  <c r="G17" i="8"/>
  <c r="G23" i="8"/>
  <c r="H17" i="8"/>
  <c r="H23" i="8"/>
  <c r="G38" i="8"/>
  <c r="H38" i="8"/>
  <c r="G20" i="8"/>
  <c r="G28" i="8"/>
  <c r="G31" i="8"/>
  <c r="G37" i="8"/>
  <c r="H20" i="8"/>
  <c r="H28" i="8"/>
  <c r="H31" i="8"/>
  <c r="H37" i="8"/>
  <c r="G10" i="8"/>
  <c r="H10" i="8"/>
  <c r="G70" i="1"/>
  <c r="G69" i="1"/>
  <c r="G64" i="1"/>
  <c r="G65" i="1"/>
  <c r="G66" i="1"/>
  <c r="G58" i="1"/>
  <c r="G61" i="1"/>
  <c r="G63" i="1"/>
  <c r="G59" i="1"/>
  <c r="G62" i="1"/>
  <c r="G60" i="1"/>
  <c r="G57" i="1"/>
  <c r="G55" i="1"/>
  <c r="G56" i="1"/>
  <c r="G54" i="1"/>
  <c r="G53" i="1"/>
  <c r="G48" i="1"/>
  <c r="G15" i="8"/>
  <c r="G16" i="8"/>
  <c r="G27" i="8"/>
  <c r="G22" i="8"/>
  <c r="G9" i="8"/>
  <c r="H15" i="8"/>
  <c r="H16" i="8"/>
  <c r="H27" i="8"/>
  <c r="H22" i="8"/>
  <c r="H9" i="8"/>
  <c r="G34" i="8"/>
  <c r="G36" i="8"/>
  <c r="G39" i="8"/>
  <c r="G40" i="8"/>
  <c r="G41" i="8"/>
  <c r="H34" i="8"/>
  <c r="H36" i="8"/>
  <c r="H39" i="8"/>
  <c r="H40" i="8"/>
  <c r="H41" i="8"/>
  <c r="G26" i="8"/>
  <c r="G30" i="8"/>
  <c r="G29" i="8"/>
  <c r="G32" i="8"/>
  <c r="G33" i="8"/>
  <c r="G35" i="8"/>
  <c r="H26" i="8"/>
  <c r="H30" i="8"/>
  <c r="H29" i="8"/>
  <c r="H32" i="8"/>
  <c r="H33" i="8"/>
  <c r="H35" i="8"/>
  <c r="G14" i="8"/>
  <c r="G21" i="8"/>
  <c r="H14" i="8"/>
  <c r="H21" i="8"/>
  <c r="G11" i="8"/>
  <c r="G13" i="8"/>
  <c r="H11" i="8"/>
  <c r="H13" i="8"/>
  <c r="F91" i="2"/>
  <c r="J91" i="2"/>
  <c r="F90" i="2"/>
  <c r="J90" i="2"/>
  <c r="F85" i="2"/>
  <c r="J85" i="2"/>
  <c r="G78" i="1"/>
  <c r="K78" i="1"/>
  <c r="L78" i="1"/>
  <c r="G18" i="8"/>
  <c r="G19" i="8"/>
  <c r="H18" i="8"/>
  <c r="H19" i="8"/>
  <c r="G7" i="8"/>
  <c r="G8" i="8"/>
  <c r="H7" i="8"/>
  <c r="H8" i="8"/>
  <c r="G6" i="8"/>
  <c r="H6" i="8"/>
  <c r="G5" i="8"/>
  <c r="H5" i="8"/>
  <c r="H4" i="8"/>
  <c r="G4" i="8"/>
  <c r="F84" i="2"/>
  <c r="J65" i="2"/>
  <c r="J68" i="2"/>
  <c r="J69" i="2"/>
  <c r="J70" i="2"/>
  <c r="J71" i="2"/>
  <c r="J72" i="2"/>
  <c r="J78" i="2"/>
  <c r="J79" i="2"/>
  <c r="J82" i="2"/>
  <c r="J83" i="2"/>
  <c r="J84" i="2"/>
  <c r="F83" i="2"/>
  <c r="F82" i="2"/>
  <c r="G79" i="1"/>
  <c r="K79" i="1"/>
  <c r="L79" i="1"/>
  <c r="G75" i="1"/>
  <c r="K75" i="1"/>
  <c r="L75" i="1"/>
  <c r="G74" i="1"/>
  <c r="K74" i="1"/>
  <c r="L74" i="1"/>
  <c r="G76" i="1"/>
  <c r="K76" i="1"/>
  <c r="L76" i="1"/>
  <c r="C29" i="3" l="1"/>
  <c r="C28" i="3"/>
  <c r="G28" i="3"/>
  <c r="H28" i="3"/>
  <c r="D26" i="3"/>
  <c r="I28" i="3"/>
  <c r="G27" i="3"/>
  <c r="E27" i="3"/>
  <c r="J28" i="3"/>
  <c r="C26" i="3"/>
  <c r="D27" i="3"/>
  <c r="K28" i="3"/>
  <c r="D28" i="3"/>
  <c r="L28" i="3"/>
  <c r="E28" i="3"/>
  <c r="M28" i="3"/>
  <c r="F28" i="3"/>
  <c r="N28" i="3"/>
  <c r="N27" i="3"/>
  <c r="H27" i="3"/>
  <c r="I27" i="3"/>
  <c r="J27" i="3"/>
  <c r="K27" i="3"/>
  <c r="C27" i="3"/>
  <c r="L27" i="3"/>
  <c r="M27" i="3"/>
  <c r="F27" i="3"/>
  <c r="F26" i="3"/>
  <c r="N26" i="3"/>
  <c r="K26" i="3"/>
  <c r="L26" i="3"/>
  <c r="G26" i="3"/>
  <c r="M26" i="3"/>
  <c r="H26" i="3"/>
  <c r="I26" i="3"/>
  <c r="J26" i="3"/>
  <c r="E26" i="3"/>
  <c r="K22" i="1"/>
  <c r="K20" i="1"/>
  <c r="K31" i="1"/>
  <c r="K27" i="1"/>
  <c r="L22" i="1"/>
  <c r="L20" i="1"/>
  <c r="L60" i="1"/>
  <c r="K60" i="1"/>
  <c r="G71" i="1"/>
  <c r="K71" i="1"/>
  <c r="L71" i="1"/>
  <c r="G72" i="1"/>
  <c r="K72" i="1"/>
  <c r="L72" i="1"/>
  <c r="F79" i="2"/>
  <c r="F78" i="2"/>
  <c r="F72" i="2"/>
  <c r="F71" i="2"/>
  <c r="F70" i="2"/>
  <c r="G73" i="1"/>
  <c r="K73" i="1"/>
  <c r="L73" i="1"/>
  <c r="G77" i="1"/>
  <c r="K77" i="1"/>
  <c r="L77" i="1"/>
  <c r="F61" i="2"/>
  <c r="K70" i="1"/>
  <c r="L70" i="1"/>
  <c r="F69" i="2"/>
  <c r="F68" i="2"/>
  <c r="K69" i="1"/>
  <c r="L69" i="1"/>
  <c r="F65" i="2"/>
  <c r="F64" i="2"/>
  <c r="J64" i="2"/>
  <c r="F62" i="2"/>
  <c r="J62" i="2"/>
  <c r="K64" i="1"/>
  <c r="L64" i="1"/>
  <c r="K65" i="1"/>
  <c r="L65" i="1"/>
  <c r="J61" i="2"/>
  <c r="F60" i="2"/>
  <c r="J60" i="2"/>
  <c r="K66" i="1"/>
  <c r="L66" i="1"/>
  <c r="K58" i="1"/>
  <c r="L58" i="1"/>
  <c r="K61" i="1"/>
  <c r="L61" i="1"/>
  <c r="K63" i="1"/>
  <c r="L63" i="1"/>
  <c r="G22" i="1"/>
  <c r="K59" i="1"/>
  <c r="L59" i="1"/>
  <c r="K62" i="1"/>
  <c r="L62" i="1"/>
  <c r="F56" i="2"/>
  <c r="J56" i="2"/>
  <c r="F53" i="2"/>
  <c r="J53" i="2"/>
  <c r="F52" i="2"/>
  <c r="J52" i="2"/>
  <c r="F51" i="2"/>
  <c r="J51" i="2"/>
  <c r="F50" i="2"/>
  <c r="J50" i="2"/>
  <c r="F47" i="2"/>
  <c r="J47" i="2"/>
  <c r="F48" i="2"/>
  <c r="J48" i="2"/>
  <c r="F49" i="2"/>
  <c r="J49" i="2"/>
  <c r="F46" i="2"/>
  <c r="J46" i="2"/>
  <c r="K127" i="7"/>
  <c r="L127" i="7"/>
  <c r="G87" i="7"/>
  <c r="K87" i="7"/>
  <c r="L87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F195" i="7"/>
  <c r="J192" i="7"/>
  <c r="J191" i="7"/>
  <c r="J190" i="7"/>
  <c r="J189" i="7"/>
  <c r="J188" i="7"/>
  <c r="J187" i="7"/>
  <c r="J186" i="7"/>
  <c r="J183" i="7"/>
  <c r="I183" i="7"/>
  <c r="F183" i="7"/>
  <c r="J182" i="7"/>
  <c r="I182" i="7"/>
  <c r="F182" i="7"/>
  <c r="J181" i="7"/>
  <c r="I181" i="7"/>
  <c r="F181" i="7"/>
  <c r="J180" i="7"/>
  <c r="I180" i="7"/>
  <c r="F180" i="7"/>
  <c r="F179" i="7"/>
  <c r="J178" i="7"/>
  <c r="I178" i="7"/>
  <c r="F178" i="7"/>
  <c r="F177" i="7"/>
  <c r="L172" i="7"/>
  <c r="K172" i="7"/>
  <c r="L171" i="7"/>
  <c r="K171" i="7"/>
  <c r="L170" i="7"/>
  <c r="K170" i="7"/>
  <c r="L169" i="7"/>
  <c r="K169" i="7"/>
  <c r="L168" i="7"/>
  <c r="K168" i="7"/>
  <c r="L167" i="7"/>
  <c r="K167" i="7"/>
  <c r="L166" i="7"/>
  <c r="K166" i="7"/>
  <c r="L165" i="7"/>
  <c r="K165" i="7"/>
  <c r="L164" i="7"/>
  <c r="K164" i="7"/>
  <c r="L163" i="7"/>
  <c r="K163" i="7"/>
  <c r="L162" i="7"/>
  <c r="K162" i="7"/>
  <c r="L161" i="7"/>
  <c r="K161" i="7"/>
  <c r="L160" i="7"/>
  <c r="K160" i="7"/>
  <c r="L159" i="7"/>
  <c r="K159" i="7"/>
  <c r="F155" i="7"/>
  <c r="J152" i="7"/>
  <c r="J151" i="7"/>
  <c r="J150" i="7"/>
  <c r="J149" i="7"/>
  <c r="J148" i="7"/>
  <c r="J147" i="7"/>
  <c r="J146" i="7"/>
  <c r="F143" i="7"/>
  <c r="F142" i="7"/>
  <c r="F141" i="7"/>
  <c r="F140" i="7"/>
  <c r="F138" i="7"/>
  <c r="F139" i="7"/>
  <c r="F137" i="7"/>
  <c r="J143" i="7"/>
  <c r="I143" i="7"/>
  <c r="J142" i="7"/>
  <c r="I142" i="7"/>
  <c r="J141" i="7"/>
  <c r="I141" i="7"/>
  <c r="J140" i="7"/>
  <c r="I140" i="7"/>
  <c r="J138" i="7"/>
  <c r="I138" i="7"/>
  <c r="L129" i="7"/>
  <c r="K129" i="7"/>
  <c r="L128" i="7"/>
  <c r="K128" i="7"/>
  <c r="G128" i="7"/>
  <c r="L57" i="1"/>
  <c r="K57" i="1"/>
  <c r="L55" i="1"/>
  <c r="K55" i="1"/>
  <c r="L56" i="1"/>
  <c r="K56" i="1"/>
  <c r="L54" i="1"/>
  <c r="K54" i="1"/>
  <c r="L130" i="7"/>
  <c r="K130" i="7"/>
  <c r="G130" i="7"/>
  <c r="L118" i="7"/>
  <c r="K118" i="7"/>
  <c r="G118" i="7"/>
  <c r="L126" i="7"/>
  <c r="K126" i="7"/>
  <c r="L125" i="7"/>
  <c r="K125" i="7"/>
  <c r="G125" i="7"/>
  <c r="L124" i="7"/>
  <c r="K124" i="7"/>
  <c r="F184" i="7" l="1"/>
  <c r="J193" i="7"/>
  <c r="J153" i="7"/>
  <c r="G173" i="7"/>
  <c r="F144" i="7"/>
  <c r="L117" i="7"/>
  <c r="K117" i="7"/>
  <c r="G117" i="7"/>
  <c r="L132" i="7"/>
  <c r="K132" i="7"/>
  <c r="G132" i="7"/>
  <c r="L131" i="7"/>
  <c r="K131" i="7"/>
  <c r="G131" i="7"/>
  <c r="L123" i="7"/>
  <c r="K123" i="7"/>
  <c r="G123" i="7"/>
  <c r="L53" i="1"/>
  <c r="K53" i="1"/>
  <c r="K120" i="7"/>
  <c r="L120" i="7"/>
  <c r="K121" i="7"/>
  <c r="L121" i="7"/>
  <c r="G122" i="7"/>
  <c r="K122" i="7"/>
  <c r="L122" i="7"/>
  <c r="K97" i="7"/>
  <c r="L97" i="7"/>
  <c r="K92" i="7"/>
  <c r="L92" i="7"/>
  <c r="G97" i="7"/>
  <c r="G92" i="7"/>
  <c r="F107" i="7"/>
  <c r="J107" i="7"/>
  <c r="I107" i="7"/>
  <c r="F106" i="7"/>
  <c r="F105" i="7"/>
  <c r="J106" i="7"/>
  <c r="I106" i="7"/>
  <c r="J105" i="7"/>
  <c r="I105" i="7"/>
  <c r="L81" i="7"/>
  <c r="K81" i="7"/>
  <c r="G81" i="7"/>
  <c r="F187" i="7" l="1"/>
  <c r="G133" i="7"/>
  <c r="F147" i="7" s="1"/>
  <c r="F102" i="7"/>
  <c r="F103" i="7"/>
  <c r="F104" i="7"/>
  <c r="F101" i="7"/>
  <c r="F108" i="7" s="1"/>
  <c r="J104" i="7"/>
  <c r="I104" i="7"/>
  <c r="J103" i="7"/>
  <c r="I103" i="7"/>
  <c r="J102" i="7"/>
  <c r="I102" i="7"/>
  <c r="J101" i="7"/>
  <c r="I101" i="7"/>
  <c r="G85" i="7"/>
  <c r="L96" i="7"/>
  <c r="K96" i="7"/>
  <c r="G96" i="7"/>
  <c r="L84" i="7"/>
  <c r="K84" i="7"/>
  <c r="G84" i="7"/>
  <c r="L91" i="7"/>
  <c r="K91" i="7"/>
  <c r="G91" i="7"/>
  <c r="L89" i="7"/>
  <c r="K89" i="7"/>
  <c r="G89" i="7"/>
  <c r="L82" i="7"/>
  <c r="K82" i="7"/>
  <c r="G82" i="7"/>
  <c r="L83" i="7"/>
  <c r="K83" i="7"/>
  <c r="G83" i="7"/>
  <c r="L90" i="7"/>
  <c r="K90" i="7"/>
  <c r="G90" i="7"/>
  <c r="L95" i="7"/>
  <c r="K95" i="7"/>
  <c r="G95" i="7"/>
  <c r="L94" i="7"/>
  <c r="K94" i="7"/>
  <c r="G94" i="7"/>
  <c r="L86" i="7"/>
  <c r="K86" i="7"/>
  <c r="G86" i="7"/>
  <c r="L88" i="7"/>
  <c r="K88" i="7"/>
  <c r="G88" i="7"/>
  <c r="L93" i="7"/>
  <c r="K93" i="7"/>
  <c r="G93" i="7"/>
  <c r="L85" i="7"/>
  <c r="K85" i="7"/>
  <c r="G40" i="1"/>
  <c r="K40" i="1"/>
  <c r="L40" i="1"/>
  <c r="G52" i="1"/>
  <c r="K52" i="1"/>
  <c r="L52" i="1"/>
  <c r="K48" i="1"/>
  <c r="L48" i="1"/>
  <c r="H74" i="7"/>
  <c r="H73" i="7"/>
  <c r="H72" i="7"/>
  <c r="H71" i="7"/>
  <c r="H70" i="7"/>
  <c r="F64" i="7"/>
  <c r="F63" i="7"/>
  <c r="F62" i="7"/>
  <c r="F61" i="7"/>
  <c r="F60" i="7"/>
  <c r="J64" i="7"/>
  <c r="I64" i="7"/>
  <c r="J63" i="7"/>
  <c r="I63" i="7"/>
  <c r="J62" i="7"/>
  <c r="I62" i="7"/>
  <c r="J61" i="7"/>
  <c r="I61" i="7"/>
  <c r="J60" i="7"/>
  <c r="I60" i="7"/>
  <c r="L42" i="7"/>
  <c r="K42" i="7"/>
  <c r="G42" i="7"/>
  <c r="L52" i="7"/>
  <c r="K52" i="7"/>
  <c r="G52" i="7"/>
  <c r="L51" i="7"/>
  <c r="K51" i="7"/>
  <c r="G51" i="7"/>
  <c r="L50" i="7"/>
  <c r="K50" i="7"/>
  <c r="G50" i="7"/>
  <c r="G34" i="1"/>
  <c r="F35" i="7"/>
  <c r="F34" i="7"/>
  <c r="K32" i="7"/>
  <c r="J32" i="7"/>
  <c r="G32" i="7"/>
  <c r="K31" i="7"/>
  <c r="J31" i="7"/>
  <c r="G31" i="7"/>
  <c r="L25" i="7"/>
  <c r="K25" i="7"/>
  <c r="G25" i="7"/>
  <c r="L24" i="7"/>
  <c r="K24" i="7"/>
  <c r="G24" i="7"/>
  <c r="L26" i="7"/>
  <c r="K26" i="7"/>
  <c r="G26" i="7"/>
  <c r="L27" i="7"/>
  <c r="K27" i="7"/>
  <c r="G27" i="7"/>
  <c r="L28" i="7"/>
  <c r="K28" i="7"/>
  <c r="G28" i="7"/>
  <c r="L23" i="7"/>
  <c r="K23" i="7"/>
  <c r="G23" i="7"/>
  <c r="G10" i="7"/>
  <c r="G9" i="7"/>
  <c r="F16" i="7"/>
  <c r="K10" i="7"/>
  <c r="J10" i="7"/>
  <c r="K9" i="7"/>
  <c r="J9" i="7"/>
  <c r="L13" i="7"/>
  <c r="K13" i="7"/>
  <c r="G13" i="7"/>
  <c r="L12" i="7"/>
  <c r="K12" i="7"/>
  <c r="G12" i="7"/>
  <c r="L8" i="7"/>
  <c r="K8" i="7"/>
  <c r="G8" i="7"/>
  <c r="L7" i="7"/>
  <c r="K7" i="7"/>
  <c r="G7" i="7"/>
  <c r="L6" i="7"/>
  <c r="K6" i="7"/>
  <c r="G6" i="7"/>
  <c r="L5" i="7"/>
  <c r="K5" i="7"/>
  <c r="G5" i="7"/>
  <c r="L4" i="7"/>
  <c r="K4" i="7"/>
  <c r="G4" i="7"/>
  <c r="L3" i="7"/>
  <c r="K3" i="7"/>
  <c r="G3" i="7"/>
  <c r="K9" i="1"/>
  <c r="K6" i="1"/>
  <c r="K7" i="1"/>
  <c r="K14" i="1"/>
  <c r="K10" i="1"/>
  <c r="K11" i="1"/>
  <c r="K12" i="1"/>
  <c r="K15" i="1"/>
  <c r="K18" i="1"/>
  <c r="K19" i="1"/>
  <c r="K13" i="1"/>
  <c r="K16" i="1"/>
  <c r="K23" i="1"/>
  <c r="K30" i="1"/>
  <c r="K25" i="1"/>
  <c r="K29" i="1"/>
  <c r="K32" i="1"/>
  <c r="K33" i="1"/>
  <c r="K34" i="1"/>
  <c r="K26" i="1"/>
  <c r="K38" i="1"/>
  <c r="K36" i="1"/>
  <c r="K47" i="1"/>
  <c r="K35" i="1"/>
  <c r="K42" i="1"/>
  <c r="K43" i="1"/>
  <c r="K49" i="1"/>
  <c r="K46" i="1"/>
  <c r="K45" i="1"/>
  <c r="K44" i="1"/>
  <c r="K41" i="1"/>
  <c r="K50" i="1"/>
  <c r="G50" i="1"/>
  <c r="L50" i="1"/>
  <c r="K8" i="1"/>
  <c r="L8" i="1"/>
  <c r="G9" i="1"/>
  <c r="L9" i="1"/>
  <c r="G6" i="1"/>
  <c r="L6" i="1"/>
  <c r="G7" i="1"/>
  <c r="L7" i="1"/>
  <c r="G14" i="1"/>
  <c r="L14" i="1"/>
  <c r="G10" i="1"/>
  <c r="L10" i="1"/>
  <c r="G11" i="1"/>
  <c r="L11" i="1"/>
  <c r="G12" i="1"/>
  <c r="L12" i="1"/>
  <c r="G15" i="1"/>
  <c r="L15" i="1"/>
  <c r="G18" i="1"/>
  <c r="L18" i="1"/>
  <c r="G19" i="1"/>
  <c r="L19" i="1"/>
  <c r="G13" i="1"/>
  <c r="L13" i="1"/>
  <c r="G16" i="1"/>
  <c r="L16" i="1"/>
  <c r="G23" i="1"/>
  <c r="L23" i="1"/>
  <c r="G20" i="1"/>
  <c r="G31" i="1"/>
  <c r="L31" i="1"/>
  <c r="G27" i="1"/>
  <c r="L27" i="1"/>
  <c r="G30" i="1"/>
  <c r="L30" i="1"/>
  <c r="G25" i="1"/>
  <c r="L25" i="1"/>
  <c r="G29" i="1"/>
  <c r="L29" i="1"/>
  <c r="G32" i="1"/>
  <c r="L32" i="1"/>
  <c r="G33" i="1"/>
  <c r="L33" i="1"/>
  <c r="L34" i="1"/>
  <c r="G26" i="1"/>
  <c r="L26" i="1"/>
  <c r="G38" i="1"/>
  <c r="L38" i="1"/>
  <c r="G47" i="1"/>
  <c r="L47" i="1"/>
  <c r="G35" i="1"/>
  <c r="L35" i="1"/>
  <c r="G42" i="1"/>
  <c r="L42" i="1"/>
  <c r="G43" i="1"/>
  <c r="L43" i="1"/>
  <c r="G49" i="1"/>
  <c r="L49" i="1"/>
  <c r="G46" i="1"/>
  <c r="L46" i="1"/>
  <c r="G45" i="1"/>
  <c r="L45" i="1"/>
  <c r="G44" i="1"/>
  <c r="L44" i="1"/>
  <c r="G41" i="1"/>
  <c r="L41" i="1"/>
  <c r="F43" i="2"/>
  <c r="J43" i="2"/>
  <c r="F42" i="2"/>
  <c r="J42" i="2"/>
  <c r="F44" i="2"/>
  <c r="J44" i="2"/>
  <c r="F39" i="2"/>
  <c r="J39" i="2"/>
  <c r="F38" i="2"/>
  <c r="J38" i="2"/>
  <c r="F40" i="2"/>
  <c r="J40" i="2"/>
  <c r="F32" i="2"/>
  <c r="J32" i="2"/>
  <c r="F31" i="2"/>
  <c r="J31" i="2"/>
  <c r="F30" i="2"/>
  <c r="J30" i="2"/>
  <c r="F29" i="2"/>
  <c r="J29" i="2"/>
  <c r="F28" i="2"/>
  <c r="J28" i="2"/>
  <c r="F27" i="2"/>
  <c r="J27" i="2"/>
  <c r="F25" i="2"/>
  <c r="J25" i="2"/>
  <c r="F23" i="2"/>
  <c r="J23" i="2"/>
  <c r="F22" i="2"/>
  <c r="J22" i="2"/>
  <c r="F21" i="2"/>
  <c r="J21" i="2"/>
  <c r="F20" i="2"/>
  <c r="J20" i="2"/>
  <c r="F19" i="2"/>
  <c r="J19" i="2"/>
  <c r="F18" i="2"/>
  <c r="J18" i="2"/>
  <c r="F17" i="2"/>
  <c r="J17" i="2"/>
  <c r="F16" i="2"/>
  <c r="J16" i="2"/>
  <c r="F14" i="2"/>
  <c r="F15" i="2"/>
  <c r="J14" i="2"/>
  <c r="J15" i="2"/>
  <c r="F6" i="2"/>
  <c r="J6" i="2"/>
  <c r="F5" i="2"/>
  <c r="J5" i="2"/>
  <c r="F4" i="2"/>
  <c r="J4" i="2"/>
  <c r="I4" i="2"/>
  <c r="C12" i="3" l="1"/>
  <c r="C11" i="3"/>
  <c r="C10" i="3"/>
  <c r="C9" i="3"/>
  <c r="D9" i="3"/>
  <c r="D8" i="3"/>
  <c r="C8" i="3"/>
  <c r="C18" i="3"/>
  <c r="C17" i="3"/>
  <c r="D6" i="3"/>
  <c r="D22" i="3"/>
  <c r="D23" i="3"/>
  <c r="C22" i="3"/>
  <c r="C23" i="3"/>
  <c r="D15" i="3"/>
  <c r="C6" i="3"/>
  <c r="C7" i="3"/>
  <c r="C15" i="3"/>
  <c r="F37" i="7"/>
  <c r="G98" i="7"/>
  <c r="F111" i="7" s="1"/>
  <c r="G54" i="7"/>
  <c r="F65" i="7"/>
  <c r="H76" i="7"/>
  <c r="L21" i="3"/>
  <c r="M21" i="3"/>
  <c r="M15" i="3"/>
  <c r="F17" i="7"/>
  <c r="F19" i="7" s="1"/>
  <c r="L15" i="3"/>
  <c r="M16" i="3"/>
  <c r="L16" i="3"/>
  <c r="M17" i="3"/>
  <c r="L17" i="3"/>
  <c r="M18" i="3"/>
  <c r="L18" i="3"/>
  <c r="M19" i="3"/>
  <c r="L19" i="3"/>
  <c r="M20" i="3"/>
  <c r="L20" i="3"/>
  <c r="M10" i="3"/>
  <c r="L12" i="3"/>
  <c r="L11" i="3"/>
  <c r="M8" i="3"/>
  <c r="M7" i="3"/>
  <c r="M23" i="3" s="1"/>
  <c r="M9" i="3"/>
  <c r="L7" i="3"/>
  <c r="L23" i="3" s="1"/>
  <c r="M6" i="3"/>
  <c r="M22" i="3" s="1"/>
  <c r="L6" i="3"/>
  <c r="L22" i="3" s="1"/>
  <c r="L8" i="3"/>
  <c r="M12" i="3"/>
  <c r="L9" i="3"/>
  <c r="M11" i="3"/>
  <c r="L10" i="3"/>
  <c r="E39" i="3"/>
  <c r="N39" i="3"/>
  <c r="F67" i="7" l="1"/>
  <c r="L39" i="3"/>
  <c r="D39" i="3"/>
  <c r="C39" i="3"/>
  <c r="C41" i="3" s="1"/>
  <c r="K39" i="3"/>
  <c r="M39" i="3"/>
  <c r="J39" i="3"/>
  <c r="H39" i="3"/>
  <c r="G39" i="3"/>
  <c r="I39" i="3"/>
  <c r="F39" i="3"/>
  <c r="D41" i="3" l="1"/>
  <c r="E41" i="3" s="1"/>
  <c r="F41" i="3" s="1"/>
  <c r="G41" i="3" s="1"/>
  <c r="H41" i="3" s="1"/>
  <c r="I41" i="3" s="1"/>
  <c r="J41" i="3" s="1"/>
  <c r="K41" i="3" s="1"/>
  <c r="L41" i="3" s="1"/>
  <c r="M41" i="3" s="1"/>
  <c r="N41" i="3" s="1"/>
</calcChain>
</file>

<file path=xl/sharedStrings.xml><?xml version="1.0" encoding="utf-8"?>
<sst xmlns="http://schemas.openxmlformats.org/spreadsheetml/2006/main" count="2423" uniqueCount="563">
  <si>
    <t>DIARIO DE INGRESOS</t>
  </si>
  <si>
    <t>FECHA</t>
  </si>
  <si>
    <t>CUENTA</t>
  </si>
  <si>
    <t>CANTIDAD</t>
  </si>
  <si>
    <t>PRECIO</t>
  </si>
  <si>
    <t>INGRESO</t>
  </si>
  <si>
    <t>DESCRIPCION</t>
  </si>
  <si>
    <t>MES</t>
  </si>
  <si>
    <t>AÑO</t>
  </si>
  <si>
    <t>PRODUCTO</t>
  </si>
  <si>
    <t>TIPO DE PAGO</t>
  </si>
  <si>
    <t>NOMBRE</t>
  </si>
  <si>
    <t>APELLIDO</t>
  </si>
  <si>
    <t>LEON</t>
  </si>
  <si>
    <t>CUENTAS DE INGRESO</t>
  </si>
  <si>
    <t>CUENTAS DE GASTO</t>
  </si>
  <si>
    <t>BISEL Y LUNAS</t>
  </si>
  <si>
    <t>LENTES</t>
  </si>
  <si>
    <t>EFECTIVO</t>
  </si>
  <si>
    <t>MOTORIZADO</t>
  </si>
  <si>
    <t>TARJETA</t>
  </si>
  <si>
    <t>CERTIFICADO</t>
  </si>
  <si>
    <t>COMIDA</t>
  </si>
  <si>
    <t>CARRERAS</t>
  </si>
  <si>
    <t>JEP</t>
  </si>
  <si>
    <t>DEPOSITO</t>
  </si>
  <si>
    <t>ALIMENTACION</t>
  </si>
  <si>
    <t>PICHINCHA</t>
  </si>
  <si>
    <t>LUZ</t>
  </si>
  <si>
    <t>DISTRIBUIDORA</t>
  </si>
  <si>
    <t>PRODUBANCO</t>
  </si>
  <si>
    <t>AGUA</t>
  </si>
  <si>
    <t>JARDIN AZUAYO</t>
  </si>
  <si>
    <t>ARRIENDO</t>
  </si>
  <si>
    <t>Etiquetas de fila</t>
  </si>
  <si>
    <t>Total general</t>
  </si>
  <si>
    <t>OBSERVACION</t>
  </si>
  <si>
    <t>ABONO</t>
  </si>
  <si>
    <t>CANCELACION</t>
  </si>
  <si>
    <t>REGISTRO DE INGRESOS Y EGRESOS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</si>
  <si>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</si>
  <si>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</si>
  <si>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</si>
  <si>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</si>
  <si>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</si>
  <si>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</si>
  <si>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</si>
  <si>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</si>
  <si>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</si>
  <si>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</si>
  <si>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</si>
  <si>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</si>
  <si>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INGRESOS</t>
  </si>
  <si>
    <t>GASTOS</t>
  </si>
  <si>
    <t>Saldo Mensual</t>
  </si>
  <si>
    <t>Saldo Acumulado</t>
  </si>
  <si>
    <t>TIPO</t>
  </si>
  <si>
    <t>EGRESO</t>
  </si>
  <si>
    <t>DETALLE ADICIONAL</t>
  </si>
  <si>
    <t>NO. DOCUMENTO</t>
  </si>
  <si>
    <t>DIARIO DE EGRESOS</t>
  </si>
  <si>
    <t>DISTRIBUIDOR</t>
  </si>
  <si>
    <t>ALEPSA</t>
  </si>
  <si>
    <t>IMPORTLENTS</t>
  </si>
  <si>
    <t>DELIVERY</t>
  </si>
  <si>
    <t>PERSONAL</t>
  </si>
  <si>
    <t>OPTICA</t>
  </si>
  <si>
    <t>COMPRAS</t>
  </si>
  <si>
    <t>BRYAM</t>
  </si>
  <si>
    <t>DANNA</t>
  </si>
  <si>
    <t>ACCESORIOS</t>
  </si>
  <si>
    <t>MOROCHO</t>
  </si>
  <si>
    <t>OTROS</t>
  </si>
  <si>
    <t xml:space="preserve">EDGAR </t>
  </si>
  <si>
    <t>PEÑAFIEL</t>
  </si>
  <si>
    <t>ORDEN</t>
  </si>
  <si>
    <t>DAN</t>
  </si>
  <si>
    <t>SAMANIEGO</t>
  </si>
  <si>
    <t>MIGUEL</t>
  </si>
  <si>
    <t>BELGICA</t>
  </si>
  <si>
    <t>GARCIA</t>
  </si>
  <si>
    <t>FUNDAS DE BASURA FLOREADAS</t>
  </si>
  <si>
    <t>FUNDAS DE BASURA NEGRAS</t>
  </si>
  <si>
    <t>JEP DANNA</t>
  </si>
  <si>
    <t>JEP BRYAM</t>
  </si>
  <si>
    <t>MARCO</t>
  </si>
  <si>
    <t>MOCHA</t>
  </si>
  <si>
    <t>BRYAN</t>
  </si>
  <si>
    <t>VIZHÑAY</t>
  </si>
  <si>
    <t>IT453</t>
  </si>
  <si>
    <t>Columna1</t>
  </si>
  <si>
    <t>IT454</t>
  </si>
  <si>
    <t>IT455</t>
  </si>
  <si>
    <t>RV330</t>
  </si>
  <si>
    <t>RV331</t>
  </si>
  <si>
    <t>IT456</t>
  </si>
  <si>
    <t>ESTEBAN</t>
  </si>
  <si>
    <t>MATUTE</t>
  </si>
  <si>
    <t>ET606</t>
  </si>
  <si>
    <t>RV337</t>
  </si>
  <si>
    <t>SOFFI</t>
  </si>
  <si>
    <t>EGRESOS</t>
  </si>
  <si>
    <t xml:space="preserve">TOTAL ENTREGADO </t>
  </si>
  <si>
    <t>RESUMEN DE MOVIMIENTOS</t>
  </si>
  <si>
    <t>RECIBI CONFORME</t>
  </si>
  <si>
    <t>JOSE</t>
  </si>
  <si>
    <t>MAITE</t>
  </si>
  <si>
    <t>HILDA LEONOR</t>
  </si>
  <si>
    <t>ANDRADE REYES</t>
  </si>
  <si>
    <t xml:space="preserve">FABIAN </t>
  </si>
  <si>
    <t>MOSQUERA</t>
  </si>
  <si>
    <t>TRASPASO</t>
  </si>
  <si>
    <t>IT458</t>
  </si>
  <si>
    <t>BRUJITA</t>
  </si>
  <si>
    <t xml:space="preserve">DAN </t>
  </si>
  <si>
    <t>HUGO</t>
  </si>
  <si>
    <t>CAJAMARCA</t>
  </si>
  <si>
    <t>LIMON</t>
  </si>
  <si>
    <t>ET608</t>
  </si>
  <si>
    <t>ET607</t>
  </si>
  <si>
    <t>RV339</t>
  </si>
  <si>
    <t>FCE345</t>
  </si>
  <si>
    <t>RV338</t>
  </si>
  <si>
    <t>TOTAL ENTREGADO</t>
  </si>
  <si>
    <t xml:space="preserve">MARCO </t>
  </si>
  <si>
    <t>ARPI</t>
  </si>
  <si>
    <t xml:space="preserve">FRANKLIN </t>
  </si>
  <si>
    <t>QUITUIZACA</t>
  </si>
  <si>
    <t>MARTHA LUCIA</t>
  </si>
  <si>
    <t>ALVAREZ</t>
  </si>
  <si>
    <t>JORGE LUIS</t>
  </si>
  <si>
    <t xml:space="preserve">JUAN </t>
  </si>
  <si>
    <t>PEÑA</t>
  </si>
  <si>
    <t>JOSSELINE</t>
  </si>
  <si>
    <t>REPARACION</t>
  </si>
  <si>
    <t>CAMBIO PLAQUETAS</t>
  </si>
  <si>
    <t>S/N</t>
  </si>
  <si>
    <t>IT 459</t>
  </si>
  <si>
    <t>IT460</t>
  </si>
  <si>
    <t>IT461</t>
  </si>
  <si>
    <t>IT462</t>
  </si>
  <si>
    <t>ALIMENTACION SÀBADO</t>
  </si>
  <si>
    <t>PAN</t>
  </si>
  <si>
    <t>ET609</t>
  </si>
  <si>
    <t>MARUJA</t>
  </si>
  <si>
    <t>HURTADO</t>
  </si>
  <si>
    <t>ANGEL</t>
  </si>
  <si>
    <t>SALAZAR</t>
  </si>
  <si>
    <t>ANY</t>
  </si>
  <si>
    <t>DIAZ</t>
  </si>
  <si>
    <t>ANTICIPO A LENTES</t>
  </si>
  <si>
    <t>RETIRA LENTES</t>
  </si>
  <si>
    <t xml:space="preserve">CARLOS </t>
  </si>
  <si>
    <t>LIMA</t>
  </si>
  <si>
    <t>DESAYUNO</t>
  </si>
  <si>
    <t>ALMUERZO DB</t>
  </si>
  <si>
    <t>DETALLE</t>
  </si>
  <si>
    <t xml:space="preserve">DYLAN </t>
  </si>
  <si>
    <t>VARILLAS</t>
  </si>
  <si>
    <t>JAIME</t>
  </si>
  <si>
    <t>VELESACA</t>
  </si>
  <si>
    <t>PROGRESIVO</t>
  </si>
  <si>
    <t>BRIGADA</t>
  </si>
  <si>
    <t>ROSARIO</t>
  </si>
  <si>
    <t>VILLACIS</t>
  </si>
  <si>
    <t>AMY</t>
  </si>
  <si>
    <t>DAYANNA</t>
  </si>
  <si>
    <t>L/C</t>
  </si>
  <si>
    <t>ANA</t>
  </si>
  <si>
    <t>AREVALO</t>
  </si>
  <si>
    <t>MELANIE</t>
  </si>
  <si>
    <t>SALTO</t>
  </si>
  <si>
    <t>LENTES + PLAQUETAS</t>
  </si>
  <si>
    <t>UYAGUARI</t>
  </si>
  <si>
    <t>CRISTINA</t>
  </si>
  <si>
    <t>AVILEZ</t>
  </si>
  <si>
    <t>COMIDA CASA BD</t>
  </si>
  <si>
    <t>LIMON Y CINTA</t>
  </si>
  <si>
    <t>ELISABETH RUBIO</t>
  </si>
  <si>
    <t>ALIMENTACION DEL 15/09/2025 AL 14/10/2025</t>
  </si>
  <si>
    <t xml:space="preserve">SUSANA </t>
  </si>
  <si>
    <t>TEPAN</t>
  </si>
  <si>
    <t xml:space="preserve">ABONO FINAL A LENTES </t>
  </si>
  <si>
    <t>Total entregado</t>
  </si>
  <si>
    <t>VIAJE</t>
  </si>
  <si>
    <t>RV342</t>
  </si>
  <si>
    <t>IT468</t>
  </si>
  <si>
    <t>IT 470</t>
  </si>
  <si>
    <t>RV343</t>
  </si>
  <si>
    <t>IT471</t>
  </si>
  <si>
    <t>IT472</t>
  </si>
  <si>
    <t>RV344</t>
  </si>
  <si>
    <t>RV345</t>
  </si>
  <si>
    <t>RV346</t>
  </si>
  <si>
    <t>IT 473</t>
  </si>
  <si>
    <t>RV347</t>
  </si>
  <si>
    <t>RV348</t>
  </si>
  <si>
    <t>IT474</t>
  </si>
  <si>
    <t>RV349</t>
  </si>
  <si>
    <t>ANDRADE</t>
  </si>
  <si>
    <t>TANNYA</t>
  </si>
  <si>
    <t>AUQUILLA</t>
  </si>
  <si>
    <t>PAGO CON DE UNA</t>
  </si>
  <si>
    <t>RV350</t>
  </si>
  <si>
    <t>FCE348</t>
  </si>
  <si>
    <t>RV351</t>
  </si>
  <si>
    <t>MILTON</t>
  </si>
  <si>
    <t>ESPINOZA</t>
  </si>
  <si>
    <t>LENTES BIFOCALES INVISIBLES  POLI-BL</t>
  </si>
  <si>
    <t xml:space="preserve">ALEXIS </t>
  </si>
  <si>
    <t>VARGAS</t>
  </si>
  <si>
    <t>CERTIFICADO VISUAL</t>
  </si>
  <si>
    <t>GUSTAVO</t>
  </si>
  <si>
    <t>ASTUDILLO</t>
  </si>
  <si>
    <t>liquido de limpieza</t>
  </si>
  <si>
    <t>desinfectante</t>
  </si>
  <si>
    <t>recarga celular</t>
  </si>
  <si>
    <t>SAMUEL</t>
  </si>
  <si>
    <t>OSORIO</t>
  </si>
  <si>
    <t>CR39-BAR-2</t>
  </si>
  <si>
    <t xml:space="preserve">DIANA </t>
  </si>
  <si>
    <t>CUMBE</t>
  </si>
  <si>
    <t>PABLO</t>
  </si>
  <si>
    <t>DOMINGUEZ</t>
  </si>
  <si>
    <t>HIGH INDEX</t>
  </si>
  <si>
    <t>VENDE</t>
  </si>
  <si>
    <t>fundas de basura</t>
  </si>
  <si>
    <t>octubre</t>
  </si>
  <si>
    <t>motorizado</t>
  </si>
  <si>
    <t>ADRIAN</t>
  </si>
  <si>
    <t>ORTIZ</t>
  </si>
  <si>
    <t xml:space="preserve">LENTES </t>
  </si>
  <si>
    <t xml:space="preserve">JAIME </t>
  </si>
  <si>
    <t>VELASACA</t>
  </si>
  <si>
    <t>ALVARADO</t>
  </si>
  <si>
    <t>SERVICIOS PRESTADOS OPTOMETRA</t>
  </si>
  <si>
    <t>ANTICIPO DANNA</t>
  </si>
  <si>
    <t>ENTREGADO</t>
  </si>
  <si>
    <t>fecha</t>
  </si>
  <si>
    <t>café y pan</t>
  </si>
  <si>
    <t>ET614</t>
  </si>
  <si>
    <t>ET615</t>
  </si>
  <si>
    <t>ET616</t>
  </si>
  <si>
    <t>ET617</t>
  </si>
  <si>
    <t xml:space="preserve">RAUL </t>
  </si>
  <si>
    <t>BERMEO</t>
  </si>
  <si>
    <t>NADA</t>
  </si>
  <si>
    <t>QUITO</t>
  </si>
  <si>
    <t>POLI BLANCO</t>
  </si>
  <si>
    <t>RECTIFICACION MAL EL EJE</t>
  </si>
  <si>
    <t>VIVIANA</t>
  </si>
  <si>
    <t>SANTOS</t>
  </si>
  <si>
    <t>ERIK</t>
  </si>
  <si>
    <t>QUITUISACA</t>
  </si>
  <si>
    <t xml:space="preserve">KATERINE </t>
  </si>
  <si>
    <t>AGUILAR</t>
  </si>
  <si>
    <t>CACERES</t>
  </si>
  <si>
    <t>ANAHI</t>
  </si>
  <si>
    <t>PINOS</t>
  </si>
  <si>
    <t>BYRON</t>
  </si>
  <si>
    <t>AYALA</t>
  </si>
  <si>
    <t>NANCY</t>
  </si>
  <si>
    <t>AMENDAÑO</t>
  </si>
  <si>
    <t>VASQUEZ</t>
  </si>
  <si>
    <t xml:space="preserve">NANCY </t>
  </si>
  <si>
    <t xml:space="preserve">CHRISTIAN </t>
  </si>
  <si>
    <t>LAURA</t>
  </si>
  <si>
    <t>MACAS</t>
  </si>
  <si>
    <t xml:space="preserve">FREDDY </t>
  </si>
  <si>
    <t>RODRIGUEZ</t>
  </si>
  <si>
    <t>CAMBIO VARILLAS</t>
  </si>
  <si>
    <t>CARTIFICADO</t>
  </si>
  <si>
    <t>WILSON</t>
  </si>
  <si>
    <t>CASTRO</t>
  </si>
  <si>
    <t xml:space="preserve">DAIRA </t>
  </si>
  <si>
    <t>VILLOTA</t>
  </si>
  <si>
    <t>SEGUNDO</t>
  </si>
  <si>
    <t>PARDO</t>
  </si>
  <si>
    <t>PADILLA</t>
  </si>
  <si>
    <t>CREDITO</t>
  </si>
  <si>
    <t>RUMIPULLA</t>
  </si>
  <si>
    <t>MANUEL</t>
  </si>
  <si>
    <t>MELGAR</t>
  </si>
  <si>
    <t>JESSICA</t>
  </si>
  <si>
    <t>PATIÑO</t>
  </si>
  <si>
    <t>TORNILLO</t>
  </si>
  <si>
    <t>ILDA</t>
  </si>
  <si>
    <t>PAUCAR</t>
  </si>
  <si>
    <t>CARMEN</t>
  </si>
  <si>
    <t xml:space="preserve">PIEDAD </t>
  </si>
  <si>
    <t>BARRERA</t>
  </si>
  <si>
    <t>ERNESTO</t>
  </si>
  <si>
    <t>RAMOS</t>
  </si>
  <si>
    <t>ANTONIO</t>
  </si>
  <si>
    <t>VARELA</t>
  </si>
  <si>
    <t>CHOCHO</t>
  </si>
  <si>
    <t>VICTOR</t>
  </si>
  <si>
    <t>ESTUCHE Y NAILON</t>
  </si>
  <si>
    <t>JOSUE</t>
  </si>
  <si>
    <t>MENDEZ</t>
  </si>
  <si>
    <t>FRUTAS</t>
  </si>
  <si>
    <t>ADELANTO DANNA</t>
  </si>
  <si>
    <t>REGALO AMIGO SECRETO</t>
  </si>
  <si>
    <t>COMPRAS CORAL CENTRO</t>
  </si>
  <si>
    <t xml:space="preserve">PAN </t>
  </si>
  <si>
    <t xml:space="preserve">MOTO </t>
  </si>
  <si>
    <t>TEMU DANNA Y BRYAM</t>
  </si>
  <si>
    <t>ABOGADO ADUANA</t>
  </si>
  <si>
    <t>CURITA</t>
  </si>
  <si>
    <t>FUNDAS BASURA</t>
  </si>
  <si>
    <t>DEPOSITO BANCO</t>
  </si>
  <si>
    <t>PAÑITOS HUMEDOS</t>
  </si>
  <si>
    <t>TRANSPORTE</t>
  </si>
  <si>
    <t>COMIDA SABADO Y DOMINGO BRYAM Y DANNA</t>
  </si>
  <si>
    <t xml:space="preserve">COMIDA  </t>
  </si>
  <si>
    <t>GASOLINA Y PASTILLAS</t>
  </si>
  <si>
    <t>VUELTO</t>
  </si>
  <si>
    <t>ALMUERZO Y MOTORIZADO BRYAM</t>
  </si>
  <si>
    <t xml:space="preserve">ADELANTO DANNA </t>
  </si>
  <si>
    <t>PRESTAMO ALEX RUBIO</t>
  </si>
  <si>
    <t>FUNDAS DE BASURA</t>
  </si>
  <si>
    <t>L/C RESTREPO</t>
  </si>
  <si>
    <t>CAFÉ FAMILIA BRYAM</t>
  </si>
  <si>
    <t>ALMUERZO DANNA Y BRYAM</t>
  </si>
  <si>
    <t>KATHERINE</t>
  </si>
  <si>
    <t>MURILLO</t>
  </si>
  <si>
    <t xml:space="preserve">ALEX </t>
  </si>
  <si>
    <t>LOJA</t>
  </si>
  <si>
    <t>LIQUIDO DE L/C</t>
  </si>
  <si>
    <t>LIQUIDO</t>
  </si>
  <si>
    <t>ALEX</t>
  </si>
  <si>
    <t>ARREGLO ARMAZON</t>
  </si>
  <si>
    <t>GASOLINA AZOGUEZ</t>
  </si>
  <si>
    <t>CHALCO</t>
  </si>
  <si>
    <t>XAVIER</t>
  </si>
  <si>
    <t>ABONO L/C</t>
  </si>
  <si>
    <t>SALDO 30</t>
  </si>
  <si>
    <t>ELISMAR</t>
  </si>
  <si>
    <t>CARMONA</t>
  </si>
  <si>
    <t>ARIZAGA</t>
  </si>
  <si>
    <t>SALT ANDREWA</t>
  </si>
  <si>
    <t>PASTILLA</t>
  </si>
  <si>
    <t xml:space="preserve">FRANCISCO </t>
  </si>
  <si>
    <t>EDGAR</t>
  </si>
  <si>
    <t>ZUMBA</t>
  </si>
  <si>
    <t>JONAS</t>
  </si>
  <si>
    <t>TRELLES</t>
  </si>
  <si>
    <t>DARWIN</t>
  </si>
  <si>
    <t>PUCHA</t>
  </si>
  <si>
    <t>SEÑOR PREFECTURA</t>
  </si>
  <si>
    <t>SALDO DE ARMAZON</t>
  </si>
  <si>
    <t>ESTADO</t>
  </si>
  <si>
    <t>POR PAGAR</t>
  </si>
  <si>
    <t>PAGADO</t>
  </si>
  <si>
    <t>TOTAL</t>
  </si>
  <si>
    <t>LUNAS Y BISEL PARA JOSE LEON</t>
  </si>
  <si>
    <t>LUNAS Y BISEL PARA BYRON AYALA</t>
  </si>
  <si>
    <t>LUNAS Y BISEL PARA ANAHI PINOS</t>
  </si>
  <si>
    <t>LUNAS Y BISEL NANCY AMENDAÑO Y FABIAN MARIN</t>
  </si>
  <si>
    <t>LUNAS LUZ VASQUEZ</t>
  </si>
  <si>
    <t>LUNAS ANDRES OCHOA</t>
  </si>
  <si>
    <t>ADELANTO BRYAM</t>
  </si>
  <si>
    <t>CAFÉ</t>
  </si>
  <si>
    <t>LUNAS PROVISIONALES MARCOS LUCERO</t>
  </si>
  <si>
    <t>BISEL</t>
  </si>
  <si>
    <t>BISEL BIFOCAL</t>
  </si>
  <si>
    <t>BISEL CARMEN ALVARADO</t>
  </si>
  <si>
    <t>LUNAS Y BISEL VANNESA PESANTES BISEL ANA CHOCHO</t>
  </si>
  <si>
    <t>LUNAS ALEXIS PILLACELA Y GABRIELA VIDAL</t>
  </si>
  <si>
    <t>BISEL JOSUE MENDEZ</t>
  </si>
  <si>
    <t>PAÑOS MICROFIBRA</t>
  </si>
  <si>
    <t>BISEL MARCOS LUCERO GEORGE SANCHEZ</t>
  </si>
  <si>
    <t>BISELES</t>
  </si>
  <si>
    <t>LUNAS Y BISEL DANIEL LOJA LUNAS JULIO ARIZAGA BISEL ELISIMAR CARMONA</t>
  </si>
  <si>
    <t>BISEL MARLON MARIN</t>
  </si>
  <si>
    <t>MERCADERIA</t>
  </si>
  <si>
    <t>OPTEC</t>
  </si>
  <si>
    <t>LUNAS Y BISEL VANESSA PESANTEZ</t>
  </si>
  <si>
    <t>LUNAS Y BISEL CHRISTIAN AGUILAR</t>
  </si>
  <si>
    <t>LUNAS Y BISEL VICTOR AVILES</t>
  </si>
  <si>
    <t>LUNAS ANABEL PESANTEZ</t>
  </si>
  <si>
    <t>LUNA TERMINADA TRANSITION GRIS DAVID RODRIGUEZ</t>
  </si>
  <si>
    <t>LUNA TALLADA TRANSITION GRIS DAVID RODRIGUEZ</t>
  </si>
  <si>
    <t>LUNAS TALLADAS TRANSITION ZAFIRO MARCOS LUCERO</t>
  </si>
  <si>
    <t>LUNAS SCHNEIDER SUPERIOR TRANSITION VERDE ANTONIO VARELA</t>
  </si>
  <si>
    <t>LUNAS PROVISIONALES ANTONIO VARELA</t>
  </si>
  <si>
    <t>LUNAS SCHNEIDER SUPERIOR TRANSITION GRIS MARLON MARIN</t>
  </si>
  <si>
    <t>LUNAS SCHNEIDER SUPERIOR +AR</t>
  </si>
  <si>
    <t>DIARIO DE FACTURAS</t>
  </si>
  <si>
    <t>PECSA</t>
  </si>
  <si>
    <t>PROVISION LENS</t>
  </si>
  <si>
    <t>LUNAS PECSA PRECISA BLUE +AR DAIRA VILLOTA</t>
  </si>
  <si>
    <t>LUNAS PECSA PRECISA BLUE +AR ILDA PAUCAR</t>
  </si>
  <si>
    <t>LUNAS PECSA PRECISA BLUE +AR EULALIA GALINDO</t>
  </si>
  <si>
    <t>LUNAS ELITA HD BLUE +AR ERNESTO RAMOS</t>
  </si>
  <si>
    <t>LUNAS PECSA PRECISA BLUE +AR PIEDAD BARRERA</t>
  </si>
  <si>
    <t>ANTERIOR</t>
  </si>
  <si>
    <t>SALDO ANTERIOR DE CAJA</t>
  </si>
  <si>
    <t>AVILES</t>
  </si>
  <si>
    <t>NICOLAS</t>
  </si>
  <si>
    <t>LINDA</t>
  </si>
  <si>
    <t>VEGA</t>
  </si>
  <si>
    <t>CRIOLLO</t>
  </si>
  <si>
    <t>JUGOS</t>
  </si>
  <si>
    <t>ARROZ CON POLLO</t>
  </si>
  <si>
    <t xml:space="preserve">FUNDAS VENDIDAS </t>
  </si>
  <si>
    <t xml:space="preserve">DANIEL </t>
  </si>
  <si>
    <t>MENDOZA</t>
  </si>
  <si>
    <t>ADELANTO</t>
  </si>
  <si>
    <t>NOTARIA Y TRANSPORTE</t>
  </si>
  <si>
    <t>ADELANTO SUELDO</t>
  </si>
  <si>
    <t>ALMUERZOS</t>
  </si>
  <si>
    <t>DIEGO</t>
  </si>
  <si>
    <t>CEDILLO</t>
  </si>
  <si>
    <t>HESS</t>
  </si>
  <si>
    <t>FABIAN</t>
  </si>
  <si>
    <t>MARIN</t>
  </si>
  <si>
    <t>PAUL</t>
  </si>
  <si>
    <t>SUÑA</t>
  </si>
  <si>
    <t>PAGO FACTURAS</t>
  </si>
  <si>
    <t>DELBAK</t>
  </si>
  <si>
    <t>PROVISION CUENCA</t>
  </si>
  <si>
    <t>ARMAZONES</t>
  </si>
  <si>
    <t>TECNILENTS</t>
  </si>
  <si>
    <t>PAGO LUNAS</t>
  </si>
  <si>
    <t>ANDINA</t>
  </si>
  <si>
    <t>MECANICO AZOGUES</t>
  </si>
  <si>
    <t>PAGO ARMAZONES</t>
  </si>
  <si>
    <t>GUARTAZACA</t>
  </si>
  <si>
    <t>PAGO BISELES</t>
  </si>
  <si>
    <t>RESTREPO</t>
  </si>
  <si>
    <t>PAGO L/C</t>
  </si>
  <si>
    <t>TIENDA</t>
  </si>
  <si>
    <t>SALDO ANTERIOR</t>
  </si>
  <si>
    <t>PAULA</t>
  </si>
  <si>
    <t>CORONEL</t>
  </si>
  <si>
    <t>SERVICION BASICOS</t>
  </si>
  <si>
    <t>CRUCE DE CUENTAS</t>
  </si>
  <si>
    <t>ENMA</t>
  </si>
  <si>
    <t>CHRISTINA</t>
  </si>
  <si>
    <t>PARRA</t>
  </si>
  <si>
    <t>AMELIA</t>
  </si>
  <si>
    <t>MOGROVEJO</t>
  </si>
  <si>
    <t>GAD PROVINCIAL</t>
  </si>
  <si>
    <t>EMPLEADOS</t>
  </si>
  <si>
    <t>ABONOS</t>
  </si>
  <si>
    <t>PROVISION</t>
  </si>
  <si>
    <t>COMPRAS OPTICA</t>
  </si>
  <si>
    <t>AHORRO META</t>
  </si>
  <si>
    <t>AHORRO META PRODUBANCO</t>
  </si>
  <si>
    <t>PAGO IESS</t>
  </si>
  <si>
    <t>IESS DANNA Y BRYAM</t>
  </si>
  <si>
    <t>PAGO IESS COMISION</t>
  </si>
  <si>
    <t>IESS DANNA Y BYRAM COMICION</t>
  </si>
  <si>
    <t>COMIDA DANNA Y BRYAM</t>
  </si>
  <si>
    <t xml:space="preserve">DAYRA </t>
  </si>
  <si>
    <t xml:space="preserve">DE UNA </t>
  </si>
  <si>
    <t>MARIA ROSA</t>
  </si>
  <si>
    <t>QUISHPI</t>
  </si>
  <si>
    <t>CRUCE CUENTAS</t>
  </si>
  <si>
    <t xml:space="preserve"> CRUCE CUENTAS DEL DE UNA A PICHINCHA</t>
  </si>
  <si>
    <t>ADELANTO DANNA DE UNA A PICHINCHA</t>
  </si>
  <si>
    <t>faBIAN</t>
  </si>
  <si>
    <t>JOEL</t>
  </si>
  <si>
    <t>MITE</t>
  </si>
  <si>
    <t>ROSA</t>
  </si>
  <si>
    <t xml:space="preserve">DAVID </t>
  </si>
  <si>
    <t>WILLIAM</t>
  </si>
  <si>
    <t>SARI</t>
  </si>
  <si>
    <t>CAMILA</t>
  </si>
  <si>
    <t>TORRES</t>
  </si>
  <si>
    <t>ARREGLO</t>
  </si>
  <si>
    <t xml:space="preserve">CAFE </t>
  </si>
  <si>
    <t>COMIDA FRUTAS CASA</t>
  </si>
  <si>
    <t>MOTO BRYAM</t>
  </si>
  <si>
    <t>PLAQUETAS</t>
  </si>
  <si>
    <t>PATRICIO</t>
  </si>
  <si>
    <t>COMIAD FRUTAS</t>
  </si>
  <si>
    <t>COSAS DE LIMPIEZA</t>
  </si>
  <si>
    <t>BANCO BARRIO</t>
  </si>
  <si>
    <t>CRUCE ENTRE CUENTAS</t>
  </si>
  <si>
    <t>PAGOS SERVICIOS ( PAULA CORONEL)</t>
  </si>
  <si>
    <t>PAGO SERVICIOS</t>
  </si>
  <si>
    <t>IMPORTLENS</t>
  </si>
  <si>
    <t>TABLA ZHINDON BRYAM</t>
  </si>
  <si>
    <t>COMPRAS CYC</t>
  </si>
  <si>
    <t>EDUARDO</t>
  </si>
  <si>
    <t>CANDO</t>
  </si>
  <si>
    <t>DE UNA</t>
  </si>
  <si>
    <t>CRUCE CUENTAS DE UNA-PICHINCHA</t>
  </si>
  <si>
    <t>PEDRO</t>
  </si>
  <si>
    <t>ZARUMEÑO</t>
  </si>
  <si>
    <t>ARIANA</t>
  </si>
  <si>
    <t>BOJORQUE</t>
  </si>
  <si>
    <t>LENTES DE CONTACTO</t>
  </si>
  <si>
    <t>MATEO</t>
  </si>
  <si>
    <t>TENEZACA</t>
  </si>
  <si>
    <t>BERTHA</t>
  </si>
  <si>
    <t>GUILLEN</t>
  </si>
  <si>
    <t>PRESTAMO DIEGO MORA</t>
  </si>
  <si>
    <t>GUERRERO</t>
  </si>
  <si>
    <t>KELLY</t>
  </si>
  <si>
    <t>HECTOR</t>
  </si>
  <si>
    <t>CAIZA</t>
  </si>
  <si>
    <t xml:space="preserve">LUNAS FABIO MOROCHO GX7 BLUE AR Y BISEL </t>
  </si>
  <si>
    <t>*</t>
  </si>
  <si>
    <t>LUNAS ANTIREFLEJO  ROCIO LITUMA Y BISEL</t>
  </si>
  <si>
    <t>LUNAS Y BISEL PEDRO CHALCO GX7 (4 LUNAS)</t>
  </si>
  <si>
    <t xml:space="preserve">ARM. METAL CRONOS Y TRASPASO </t>
  </si>
  <si>
    <t>BISEL POLY BLANCO Y TRASPASO</t>
  </si>
  <si>
    <t xml:space="preserve">LUNAS GX7 BLUE AR MICHELLE ZAMORA </t>
  </si>
  <si>
    <t>L/C  VERDE - DAYANA MOROCHO</t>
  </si>
  <si>
    <t>BISELADOS GX7 Y POLY BLUE AR</t>
  </si>
  <si>
    <t>LUNAS POLI AR-ROSA AREVALO</t>
  </si>
  <si>
    <t xml:space="preserve">LUNAS BLUE AR </t>
  </si>
  <si>
    <t>LUNAS POLY AR AMELIA MOGROVEJO</t>
  </si>
  <si>
    <t xml:space="preserve">LUNAS GX7 AR </t>
  </si>
  <si>
    <t xml:space="preserve">LUNAS POLI AR- LUIS BRAVO </t>
  </si>
  <si>
    <t>LUNAS AR - PAUL SUÑA</t>
  </si>
  <si>
    <t>PROGRESIVO BLUE BLOCK + AR -EDUARDO CANDO</t>
  </si>
  <si>
    <t>LUNAS POLI-AR - ANDRES LEON</t>
  </si>
  <si>
    <t>LUNAS POLY-BLANCO - JUAN DIEGO MOROCHO</t>
  </si>
  <si>
    <t>GENESIS</t>
  </si>
  <si>
    <t>DAYANA</t>
  </si>
  <si>
    <t>JUAN DIEGO</t>
  </si>
  <si>
    <t>MATIAS</t>
  </si>
  <si>
    <t>MEJIA</t>
  </si>
  <si>
    <t>KAREN</t>
  </si>
  <si>
    <t>ORDOÑEZ</t>
  </si>
  <si>
    <t>FRANKLIN</t>
  </si>
  <si>
    <t>COPARA</t>
  </si>
  <si>
    <t>DANIEL</t>
  </si>
  <si>
    <t>AGUA BOTELLONES</t>
  </si>
  <si>
    <t>CRUCE CUENTAS PICHINCHA</t>
  </si>
  <si>
    <t>YOGURT BRYAM</t>
  </si>
  <si>
    <t>COLCHON Y SABANAS</t>
  </si>
  <si>
    <t>SORAYA</t>
  </si>
  <si>
    <t>JORGE</t>
  </si>
  <si>
    <t>ERIKA</t>
  </si>
  <si>
    <t>ARIAS</t>
  </si>
  <si>
    <t>FRANCESCA - GIACOMO</t>
  </si>
  <si>
    <t>PIEDRA</t>
  </si>
  <si>
    <t>MAYRA</t>
  </si>
  <si>
    <t>LAGLA</t>
  </si>
  <si>
    <t xml:space="preserve"> MORA</t>
  </si>
  <si>
    <t>PRESTAMO</t>
  </si>
  <si>
    <t>HUMBERTO</t>
  </si>
  <si>
    <t>PARRAGA</t>
  </si>
  <si>
    <t>COMIDA VIERNES WAYRA</t>
  </si>
  <si>
    <t>COMIDA FIN DE SEMANA</t>
  </si>
  <si>
    <t>COMIDA DOMINGO</t>
  </si>
  <si>
    <t xml:space="preserve"> 03/02/2026</t>
  </si>
  <si>
    <t>PLAYA( PENDIENTE DEVOLUCION)</t>
  </si>
  <si>
    <t>CAFÉ CON PAN</t>
  </si>
  <si>
    <t>AYUDA SOCIAL</t>
  </si>
  <si>
    <t>LUNAS-POLI-POLARIZADO- MIRIAM SEGOVIA</t>
  </si>
  <si>
    <t>LUNAS POLI-PRO KODAK ZAFIRO-BERTHA GUILLEN</t>
  </si>
  <si>
    <t>LUNAS POLI VARILUX BLUE AR- HUMBERTO PARRAGA</t>
  </si>
  <si>
    <t>LUNAS PROGRESIVAS BLUE + AR- SANTIAGO ESPINOZA</t>
  </si>
  <si>
    <t>PROGRESIVAS ELITE HD BLUE+AR- SORAYA CRIOLLO</t>
  </si>
  <si>
    <t>PROGRESIVAS BLUE BLOCK+AR- GALO RUIZ</t>
  </si>
  <si>
    <t>PROGRESIVAS BLUE BLOCK + AR-EDGAR GUY</t>
  </si>
  <si>
    <t>GX7-BLUE AR-ERIKA 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</si>
</sst>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C000"/>
      <name val="Calibri"/>
      <family val="2"/>
      <scheme val="minor"/>
    </font>
    <font>
      <sz val="2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/>
        <bgColor theme="9"/>
      </patternFill>
    </fill>
    <fill>
      <patternFill patternType="solid">
        <fgColor rgb="FFF6C3FF"/>
        <bgColor indexed="64"/>
      </patternFill>
    </fill>
    <fill>
      <patternFill patternType="solid">
        <fgColor rgb="FFF6C3FF"/>
        <bgColor theme="9" tint="0.59999389629810485"/>
      </patternFill>
    </fill>
    <fill>
      <patternFill patternType="solid">
        <fgColor rgb="FFFF7474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Border="1"/>
    <xf numFmtId="14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9" borderId="0" xfId="0" applyFont="1" applyFill="1" applyAlignment="1">
      <alignment horizontal="center" vertical="center"/>
    </xf>
    <xf numFmtId="14" fontId="0" fillId="10" borderId="0" xfId="0" applyNumberFormat="1" applyFill="1"/>
    <xf numFmtId="0" fontId="0" fillId="10" borderId="0" xfId="0" applyFill="1"/>
    <xf numFmtId="1" fontId="0" fillId="10" borderId="0" xfId="0" applyNumberFormat="1" applyFill="1"/>
    <xf numFmtId="2" fontId="0" fillId="10" borderId="0" xfId="0" applyNumberFormat="1" applyFill="1"/>
    <xf numFmtId="2" fontId="0" fillId="0" borderId="0" xfId="0" applyNumberFormat="1"/>
    <xf numFmtId="0" fontId="0" fillId="12" borderId="9" xfId="0" applyFill="1" applyBorder="1"/>
    <xf numFmtId="0" fontId="0" fillId="12" borderId="10" xfId="0" applyFill="1" applyBorder="1"/>
    <xf numFmtId="0" fontId="0" fillId="13" borderId="9" xfId="0" applyFill="1" applyBorder="1"/>
    <xf numFmtId="0" fontId="0" fillId="13" borderId="10" xfId="0" applyFill="1" applyBorder="1"/>
    <xf numFmtId="0" fontId="1" fillId="14" borderId="11" xfId="0" applyFont="1" applyFill="1" applyBorder="1"/>
    <xf numFmtId="0" fontId="1" fillId="14" borderId="12" xfId="0" applyFont="1" applyFill="1" applyBorder="1"/>
    <xf numFmtId="0" fontId="1" fillId="14" borderId="13" xfId="0" applyFont="1" applyFill="1" applyBorder="1"/>
    <xf numFmtId="14" fontId="0" fillId="13" borderId="7" xfId="0" applyNumberFormat="1" applyFill="1" applyBorder="1"/>
    <xf numFmtId="0" fontId="0" fillId="13" borderId="8" xfId="0" applyFill="1" applyBorder="1"/>
    <xf numFmtId="14" fontId="0" fillId="12" borderId="7" xfId="0" applyNumberFormat="1" applyFill="1" applyBorder="1"/>
    <xf numFmtId="0" fontId="0" fillId="12" borderId="8" xfId="0" applyFill="1" applyBorder="1"/>
    <xf numFmtId="0" fontId="4" fillId="0" borderId="0" xfId="0" applyFont="1" applyAlignment="1">
      <alignment horizontal="center"/>
    </xf>
    <xf numFmtId="0" fontId="0" fillId="15" borderId="0" xfId="0" applyFill="1"/>
    <xf numFmtId="0" fontId="0" fillId="16" borderId="14" xfId="0" applyFill="1" applyBorder="1"/>
    <xf numFmtId="0" fontId="0" fillId="17" borderId="0" xfId="0" applyFill="1"/>
    <xf numFmtId="2" fontId="0" fillId="17" borderId="0" xfId="0" applyNumberFormat="1" applyFill="1"/>
    <xf numFmtId="0" fontId="0" fillId="18" borderId="15" xfId="0" applyFill="1" applyBorder="1"/>
    <xf numFmtId="0" fontId="0" fillId="18" borderId="16" xfId="0" applyFill="1" applyBorder="1"/>
    <xf numFmtId="0" fontId="0" fillId="18" borderId="17" xfId="0" applyFill="1" applyBorder="1"/>
    <xf numFmtId="0" fontId="0" fillId="18" borderId="18" xfId="0" applyFill="1" applyBorder="1"/>
    <xf numFmtId="0" fontId="0" fillId="18" borderId="19" xfId="0" applyFill="1" applyBorder="1"/>
    <xf numFmtId="0" fontId="0" fillId="18" borderId="20" xfId="0" applyFill="1" applyBorder="1"/>
    <xf numFmtId="0" fontId="0" fillId="18" borderId="21" xfId="0" applyFill="1" applyBorder="1"/>
    <xf numFmtId="0" fontId="0" fillId="18" borderId="0" xfId="0" applyFill="1"/>
    <xf numFmtId="0" fontId="0" fillId="18" borderId="22" xfId="0" applyFill="1" applyBorder="1"/>
    <xf numFmtId="0" fontId="0" fillId="18" borderId="23" xfId="0" applyFill="1" applyBorder="1"/>
    <xf numFmtId="0" fontId="0" fillId="18" borderId="24" xfId="0" applyFill="1" applyBorder="1"/>
    <xf numFmtId="0" fontId="0" fillId="18" borderId="25" xfId="0" applyFill="1" applyBorder="1"/>
    <xf numFmtId="14" fontId="0" fillId="12" borderId="0" xfId="0" applyNumberFormat="1" applyFill="1"/>
    <xf numFmtId="0" fontId="0" fillId="12" borderId="0" xfId="0" applyFill="1"/>
    <xf numFmtId="0" fontId="0" fillId="13" borderId="0" xfId="0" applyFill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12" borderId="4" xfId="0" applyFill="1" applyBorder="1"/>
    <xf numFmtId="0" fontId="0" fillId="12" borderId="26" xfId="0" applyFill="1" applyBorder="1"/>
    <xf numFmtId="164" fontId="0" fillId="12" borderId="7" xfId="0" applyNumberFormat="1" applyFill="1" applyBorder="1"/>
    <xf numFmtId="164" fontId="0" fillId="13" borderId="7" xfId="0" applyNumberFormat="1" applyFill="1" applyBorder="1"/>
    <xf numFmtId="0" fontId="0" fillId="19" borderId="0" xfId="0" applyFill="1"/>
    <xf numFmtId="2" fontId="0" fillId="19" borderId="0" xfId="0" applyNumberFormat="1" applyFill="1"/>
    <xf numFmtId="2" fontId="0" fillId="18" borderId="25" xfId="0" applyNumberFormat="1" applyFill="1" applyBorder="1"/>
    <xf numFmtId="22" fontId="0" fillId="0" borderId="0" xfId="0" applyNumberFormat="1"/>
    <xf numFmtId="14" fontId="0" fillId="13" borderId="0" xfId="0" applyNumberFormat="1" applyFill="1"/>
    <xf numFmtId="0" fontId="0" fillId="13" borderId="4" xfId="0" applyFill="1" applyBorder="1"/>
    <xf numFmtId="0" fontId="0" fillId="13" borderId="26" xfId="0" applyFill="1" applyBorder="1"/>
    <xf numFmtId="0" fontId="0" fillId="0" borderId="7" xfId="0" applyBorder="1"/>
    <xf numFmtId="14" fontId="0" fillId="10" borderId="8" xfId="0" applyNumberFormat="1" applyFill="1" applyBorder="1"/>
    <xf numFmtId="0" fontId="0" fillId="10" borderId="9" xfId="0" applyFill="1" applyBorder="1"/>
    <xf numFmtId="1" fontId="0" fillId="10" borderId="9" xfId="0" applyNumberFormat="1" applyFill="1" applyBorder="1"/>
    <xf numFmtId="2" fontId="0" fillId="10" borderId="9" xfId="0" applyNumberFormat="1" applyFill="1" applyBorder="1"/>
    <xf numFmtId="164" fontId="0" fillId="10" borderId="0" xfId="0" applyNumberFormat="1" applyFill="1"/>
    <xf numFmtId="2" fontId="0" fillId="5" borderId="1" xfId="0" applyNumberFormat="1" applyFill="1" applyBorder="1"/>
    <xf numFmtId="0" fontId="0" fillId="2" borderId="0" xfId="0" applyFill="1"/>
    <xf numFmtId="0" fontId="1" fillId="21" borderId="0" xfId="0" applyFont="1" applyFill="1" applyAlignment="1">
      <alignment horizontal="center" vertical="center"/>
    </xf>
    <xf numFmtId="164" fontId="0" fillId="0" borderId="0" xfId="0" applyNumberFormat="1"/>
    <xf numFmtId="14" fontId="0" fillId="10" borderId="27" xfId="0" applyNumberFormat="1" applyFill="1" applyBorder="1"/>
    <xf numFmtId="0" fontId="0" fillId="22" borderId="0" xfId="0" applyFill="1"/>
    <xf numFmtId="164" fontId="0" fillId="0" borderId="7" xfId="0" applyNumberFormat="1" applyBorder="1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4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numFmt numFmtId="2" formatCode="0.00"/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numFmt numFmtId="19" formatCode="dd/mm/yyyy"/>
      <fill>
        <patternFill patternType="solid">
          <fgColor theme="6" tint="0.79998168889431442"/>
          <bgColor theme="6" tint="0.79998168889431442"/>
        </patternFill>
      </fill>
    </dxf>
    <dxf>
      <numFmt numFmtId="19" formatCode="dd/mm/yyyy"/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numFmt numFmtId="2" formatCode="0.00"/>
      <fill>
        <patternFill patternType="solid">
          <fgColor theme="6" tint="0.79998168889431442"/>
          <bgColor theme="6" tint="0.79998168889431442"/>
        </patternFill>
      </fill>
    </dxf>
    <dxf>
      <numFmt numFmtId="2" formatCode="0.00"/>
      <fill>
        <patternFill patternType="solid">
          <fgColor theme="6" tint="0.79998168889431442"/>
          <bgColor theme="6" tint="0.79998168889431442"/>
        </patternFill>
      </fill>
    </dxf>
    <dxf>
      <numFmt numFmtId="1" formatCode="0"/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numFmt numFmtId="164" formatCode="d/m/yyyy"/>
      <fill>
        <patternFill patternType="solid">
          <fgColor theme="6" tint="0.79998168889431442"/>
          <bgColor theme="6" tint="0.79998168889431442"/>
        </patternFill>
      </fill>
    </dxf>
    <dxf>
      <numFmt numFmtId="19" formatCode="dd/mm/yyyy"/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border outline="0">
        <left style="thin">
          <color indexed="64"/>
        </left>
      </border>
    </dxf>
    <dxf>
      <numFmt numFmtId="164" formatCode="d/m/yyyy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1432379</xdr:colOff>
      <xdr:row>0</xdr:row>
      <xdr:rowOff>45794</xdr:rowOff>
    </xdr:from>
    <xdr:to>
      <xdr:col>3</xdr:col>
      <xdr:colOff>327660</xdr:colOff>
      <xdr:row>0</xdr:row>
      <xdr:rowOff>429827</xdr:rowOff>
    </xdr:to>
    <xdr:pic>
      <xdr:nvPicPr>
        <xdr:cNvPr id="8" name="Imagen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D39A97-F4C8-4E81-9296-B6F899A7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7459" y="45794"/>
          <a:ext cx="411661" cy="3840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890627</xdr:colOff>
      <xdr:row>0</xdr:row>
      <xdr:rowOff>40126</xdr:rowOff>
    </xdr:from>
    <xdr:to>
      <xdr:col>1</xdr:col>
      <xdr:colOff>1360911</xdr:colOff>
      <xdr:row>1</xdr:row>
      <xdr:rowOff>7619</xdr:rowOff>
    </xdr:to>
    <xdr:pic>
      <xdr:nvPicPr>
        <xdr:cNvPr id="9" name="Imagen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5C3DF9-8A38-4848-B797-A3B26FFB3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3107" y="40126"/>
          <a:ext cx="470284" cy="4018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1710140</xdr:colOff>
      <xdr:row>0</xdr:row>
      <xdr:rowOff>43778</xdr:rowOff>
    </xdr:from>
    <xdr:to>
      <xdr:col>2</xdr:col>
      <xdr:colOff>426720</xdr:colOff>
      <xdr:row>0</xdr:row>
      <xdr:rowOff>423970</xdr:rowOff>
    </xdr:to>
    <xdr:pic>
      <xdr:nvPicPr>
        <xdr:cNvPr id="10" name="Imagen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864CA1-0EF9-42A4-B8A8-D998CA462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02620" y="43778"/>
          <a:ext cx="469180" cy="38019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199176</xdr:colOff>
      <xdr:row>0</xdr:row>
      <xdr:rowOff>56001</xdr:rowOff>
    </xdr:from>
    <xdr:to>
      <xdr:col>1</xdr:col>
      <xdr:colOff>594408</xdr:colOff>
      <xdr:row>1</xdr:row>
      <xdr:rowOff>7620</xdr:rowOff>
    </xdr:to>
    <xdr:pic>
      <xdr:nvPicPr>
        <xdr:cNvPr id="11" name="Imagen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7C9D753-2976-4C0A-9FAF-A34D63417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656" y="56001"/>
          <a:ext cx="395232" cy="385959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150756</xdr:colOff>
      <xdr:row>0</xdr:row>
      <xdr:rowOff>56638</xdr:rowOff>
    </xdr:from>
    <xdr:to>
      <xdr:col>0</xdr:col>
      <xdr:colOff>598524</xdr:colOff>
      <xdr:row>1</xdr:row>
      <xdr:rowOff>0</xdr:rowOff>
    </xdr:to>
    <xdr:pic>
      <xdr:nvPicPr>
        <xdr:cNvPr id="12" name="Imagen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AE46E46-E2C2-40CF-B137-6FDC55A0E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756" y="56638"/>
          <a:ext cx="447768" cy="37770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646804</xdr:colOff>
      <xdr:row>0</xdr:row>
      <xdr:rowOff>39499</xdr:rowOff>
    </xdr:from>
    <xdr:to>
      <xdr:col>2</xdr:col>
      <xdr:colOff>1112519</xdr:colOff>
      <xdr:row>0</xdr:row>
      <xdr:rowOff>428141</xdr:rowOff>
    </xdr:to>
    <xdr:pic>
      <xdr:nvPicPr>
        <xdr:cNvPr id="13" name="Imagen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C52CCA5-1B82-4985-8B14-A2B37C423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91884" y="39499"/>
          <a:ext cx="465715" cy="38864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175079</xdr:colOff>
      <xdr:row>0</xdr:row>
      <xdr:rowOff>45794</xdr:rowOff>
    </xdr:from>
    <xdr:to>
      <xdr:col>5</xdr:col>
      <xdr:colOff>586740</xdr:colOff>
      <xdr:row>0</xdr:row>
      <xdr:rowOff>429827</xdr:rowOff>
    </xdr:to>
    <xdr:pic>
      <xdr:nvPicPr>
        <xdr:cNvPr id="20" name="Imagen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353C91-3CFD-472C-B1D3-559D31A99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7479" y="45794"/>
          <a:ext cx="411661" cy="3840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166727</xdr:colOff>
      <xdr:row>0</xdr:row>
      <xdr:rowOff>40126</xdr:rowOff>
    </xdr:from>
    <xdr:to>
      <xdr:col>2</xdr:col>
      <xdr:colOff>637011</xdr:colOff>
      <xdr:row>0</xdr:row>
      <xdr:rowOff>441959</xdr:rowOff>
    </xdr:to>
    <xdr:pic>
      <xdr:nvPicPr>
        <xdr:cNvPr id="21" name="Imagen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E24181-9544-4C5B-8B6A-B7CCAD1EE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687" y="40126"/>
          <a:ext cx="470284" cy="4018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3</xdr:col>
      <xdr:colOff>186140</xdr:colOff>
      <xdr:row>0</xdr:row>
      <xdr:rowOff>51398</xdr:rowOff>
    </xdr:from>
    <xdr:to>
      <xdr:col>3</xdr:col>
      <xdr:colOff>655320</xdr:colOff>
      <xdr:row>0</xdr:row>
      <xdr:rowOff>431590</xdr:rowOff>
    </xdr:to>
    <xdr:pic>
      <xdr:nvPicPr>
        <xdr:cNvPr id="22" name="Imagen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D2A306A-D684-4164-92C0-33BBCA147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63580" y="51398"/>
          <a:ext cx="469180" cy="38019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199176</xdr:colOff>
      <xdr:row>0</xdr:row>
      <xdr:rowOff>56001</xdr:rowOff>
    </xdr:from>
    <xdr:to>
      <xdr:col>1</xdr:col>
      <xdr:colOff>594408</xdr:colOff>
      <xdr:row>0</xdr:row>
      <xdr:rowOff>441960</xdr:rowOff>
    </xdr:to>
    <xdr:pic>
      <xdr:nvPicPr>
        <xdr:cNvPr id="23" name="Imagen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211011-E7AB-46DD-8D03-2F895B602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656" y="56001"/>
          <a:ext cx="395232" cy="385959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150756</xdr:colOff>
      <xdr:row>0</xdr:row>
      <xdr:rowOff>56638</xdr:rowOff>
    </xdr:from>
    <xdr:to>
      <xdr:col>0</xdr:col>
      <xdr:colOff>598524</xdr:colOff>
      <xdr:row>0</xdr:row>
      <xdr:rowOff>434340</xdr:rowOff>
    </xdr:to>
    <xdr:pic>
      <xdr:nvPicPr>
        <xdr:cNvPr id="24" name="Imagen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E27A947-8551-40A4-A9EC-08A1758B5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756" y="56638"/>
          <a:ext cx="447768" cy="37770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4</xdr:col>
      <xdr:colOff>166744</xdr:colOff>
      <xdr:row>0</xdr:row>
      <xdr:rowOff>47119</xdr:rowOff>
    </xdr:from>
    <xdr:to>
      <xdr:col>4</xdr:col>
      <xdr:colOff>632459</xdr:colOff>
      <xdr:row>0</xdr:row>
      <xdr:rowOff>435761</xdr:rowOff>
    </xdr:to>
    <xdr:pic>
      <xdr:nvPicPr>
        <xdr:cNvPr id="25" name="Imagen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B777514-3DC1-4795-BE07-FE6C7D65E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36664" y="47119"/>
          <a:ext cx="465715" cy="38864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1066619</xdr:colOff>
      <xdr:row>0</xdr:row>
      <xdr:rowOff>91515</xdr:rowOff>
    </xdr:from>
    <xdr:to>
      <xdr:col>3</xdr:col>
      <xdr:colOff>495300</xdr:colOff>
      <xdr:row>0</xdr:row>
      <xdr:rowOff>571501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F4366A-4BDA-4B6B-926C-20E7B83D7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319" y="91515"/>
          <a:ext cx="533581" cy="479986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547726</xdr:colOff>
      <xdr:row>0</xdr:row>
      <xdr:rowOff>78227</xdr:rowOff>
    </xdr:from>
    <xdr:to>
      <xdr:col>1</xdr:col>
      <xdr:colOff>1082039</xdr:colOff>
      <xdr:row>0</xdr:row>
      <xdr:rowOff>571500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F7C342-2E8B-4DC9-BBC9-AD54328DC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0206" y="78227"/>
          <a:ext cx="534313" cy="49327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1161500</xdr:colOff>
      <xdr:row>0</xdr:row>
      <xdr:rowOff>81878</xdr:rowOff>
    </xdr:from>
    <xdr:to>
      <xdr:col>2</xdr:col>
      <xdr:colOff>304800</xdr:colOff>
      <xdr:row>0</xdr:row>
      <xdr:rowOff>571500</xdr:rowOff>
    </xdr:to>
    <xdr:pic>
      <xdr:nvPicPr>
        <xdr:cNvPr id="4" name="Imagen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3FC68B-7AC2-4D09-B411-437616F96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53980" y="81878"/>
          <a:ext cx="522520" cy="48962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739140</xdr:colOff>
      <xdr:row>0</xdr:row>
      <xdr:rowOff>76200</xdr:rowOff>
    </xdr:from>
    <xdr:to>
      <xdr:col>1</xdr:col>
      <xdr:colOff>487728</xdr:colOff>
      <xdr:row>0</xdr:row>
      <xdr:rowOff>556260</xdr:rowOff>
    </xdr:to>
    <xdr:pic>
      <xdr:nvPicPr>
        <xdr:cNvPr id="5" name="Imagen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8DE7D19-68B9-4616-A1E7-ED3A339B2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9140" y="76200"/>
          <a:ext cx="541068" cy="480060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143136</xdr:colOff>
      <xdr:row>0</xdr:row>
      <xdr:rowOff>76199</xdr:rowOff>
    </xdr:from>
    <xdr:to>
      <xdr:col>0</xdr:col>
      <xdr:colOff>670560</xdr:colOff>
      <xdr:row>0</xdr:row>
      <xdr:rowOff>556260</xdr:rowOff>
    </xdr:to>
    <xdr:pic>
      <xdr:nvPicPr>
        <xdr:cNvPr id="6" name="Imagen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50F677E-B540-4365-A962-B050B8AF0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3136" y="76199"/>
          <a:ext cx="527424" cy="480061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395344</xdr:colOff>
      <xdr:row>0</xdr:row>
      <xdr:rowOff>99059</xdr:rowOff>
    </xdr:from>
    <xdr:to>
      <xdr:col>2</xdr:col>
      <xdr:colOff>922020</xdr:colOff>
      <xdr:row>0</xdr:row>
      <xdr:rowOff>556260</xdr:rowOff>
    </xdr:to>
    <xdr:pic>
      <xdr:nvPicPr>
        <xdr:cNvPr id="7" name="Imagen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70F5DD5-81F9-4D4D-BC85-F69040337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67044" y="99059"/>
          <a:ext cx="526676" cy="457201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175079</xdr:colOff>
      <xdr:row>0</xdr:row>
      <xdr:rowOff>45794</xdr:rowOff>
    </xdr:from>
    <xdr:to>
      <xdr:col>5</xdr:col>
      <xdr:colOff>586740</xdr:colOff>
      <xdr:row>0</xdr:row>
      <xdr:rowOff>429827</xdr:rowOff>
    </xdr:to>
    <xdr:pic>
      <xdr:nvPicPr>
        <xdr:cNvPr id="8" name="Imagen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7E38B-F1A4-44C1-A4F1-0F0F08249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7479" y="45794"/>
          <a:ext cx="411661" cy="3840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166727</xdr:colOff>
      <xdr:row>0</xdr:row>
      <xdr:rowOff>40126</xdr:rowOff>
    </xdr:from>
    <xdr:to>
      <xdr:col>2</xdr:col>
      <xdr:colOff>637011</xdr:colOff>
      <xdr:row>0</xdr:row>
      <xdr:rowOff>441959</xdr:rowOff>
    </xdr:to>
    <xdr:pic>
      <xdr:nvPicPr>
        <xdr:cNvPr id="9" name="Imagen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0FBBC8-D4F5-4A9B-9745-A608E80D1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687" y="40126"/>
          <a:ext cx="470284" cy="4018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3</xdr:col>
      <xdr:colOff>186140</xdr:colOff>
      <xdr:row>0</xdr:row>
      <xdr:rowOff>51398</xdr:rowOff>
    </xdr:from>
    <xdr:to>
      <xdr:col>3</xdr:col>
      <xdr:colOff>655320</xdr:colOff>
      <xdr:row>0</xdr:row>
      <xdr:rowOff>431590</xdr:rowOff>
    </xdr:to>
    <xdr:pic>
      <xdr:nvPicPr>
        <xdr:cNvPr id="10" name="Imagen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550BF4-1347-443A-84FA-486DC6F4F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63580" y="51398"/>
          <a:ext cx="469180" cy="38019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199176</xdr:colOff>
      <xdr:row>0</xdr:row>
      <xdr:rowOff>56001</xdr:rowOff>
    </xdr:from>
    <xdr:to>
      <xdr:col>1</xdr:col>
      <xdr:colOff>594408</xdr:colOff>
      <xdr:row>0</xdr:row>
      <xdr:rowOff>441960</xdr:rowOff>
    </xdr:to>
    <xdr:pic>
      <xdr:nvPicPr>
        <xdr:cNvPr id="11" name="Imagen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B1F7189-0B27-460F-BEBC-01992EAF1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656" y="56001"/>
          <a:ext cx="395232" cy="385959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150756</xdr:colOff>
      <xdr:row>0</xdr:row>
      <xdr:rowOff>56638</xdr:rowOff>
    </xdr:from>
    <xdr:to>
      <xdr:col>0</xdr:col>
      <xdr:colOff>598524</xdr:colOff>
      <xdr:row>0</xdr:row>
      <xdr:rowOff>434340</xdr:rowOff>
    </xdr:to>
    <xdr:pic>
      <xdr:nvPicPr>
        <xdr:cNvPr id="12" name="Imagen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13D000-7C1A-46A0-92C5-C385B0FB2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756" y="56638"/>
          <a:ext cx="447768" cy="37770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4</xdr:col>
      <xdr:colOff>166744</xdr:colOff>
      <xdr:row>0</xdr:row>
      <xdr:rowOff>47119</xdr:rowOff>
    </xdr:from>
    <xdr:to>
      <xdr:col>4</xdr:col>
      <xdr:colOff>632459</xdr:colOff>
      <xdr:row>0</xdr:row>
      <xdr:rowOff>435761</xdr:rowOff>
    </xdr:to>
    <xdr:pic>
      <xdr:nvPicPr>
        <xdr:cNvPr id="13" name="Imagen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17F8146-AF61-4DDE-81FA-9C7113E4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36664" y="47119"/>
          <a:ext cx="465715" cy="38864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175079</xdr:colOff>
      <xdr:row>0</xdr:row>
      <xdr:rowOff>45794</xdr:rowOff>
    </xdr:from>
    <xdr:to>
      <xdr:col>5</xdr:col>
      <xdr:colOff>586740</xdr:colOff>
      <xdr:row>0</xdr:row>
      <xdr:rowOff>429827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42FCBD-303B-421A-8F4D-3957C987C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7479" y="45794"/>
          <a:ext cx="411661" cy="3840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166727</xdr:colOff>
      <xdr:row>0</xdr:row>
      <xdr:rowOff>40126</xdr:rowOff>
    </xdr:from>
    <xdr:to>
      <xdr:col>2</xdr:col>
      <xdr:colOff>637011</xdr:colOff>
      <xdr:row>0</xdr:row>
      <xdr:rowOff>441959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0E5D3E-0B97-4E24-A904-7AC7F2471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687" y="40126"/>
          <a:ext cx="470284" cy="4018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3</xdr:col>
      <xdr:colOff>186140</xdr:colOff>
      <xdr:row>0</xdr:row>
      <xdr:rowOff>51398</xdr:rowOff>
    </xdr:from>
    <xdr:to>
      <xdr:col>3</xdr:col>
      <xdr:colOff>655320</xdr:colOff>
      <xdr:row>0</xdr:row>
      <xdr:rowOff>431590</xdr:rowOff>
    </xdr:to>
    <xdr:pic>
      <xdr:nvPicPr>
        <xdr:cNvPr id="4" name="Imagen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D68B88-2C83-4D9A-8C9F-2945768BB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63580" y="51398"/>
          <a:ext cx="469180" cy="38019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199176</xdr:colOff>
      <xdr:row>0</xdr:row>
      <xdr:rowOff>56001</xdr:rowOff>
    </xdr:from>
    <xdr:to>
      <xdr:col>1</xdr:col>
      <xdr:colOff>594408</xdr:colOff>
      <xdr:row>0</xdr:row>
      <xdr:rowOff>441960</xdr:rowOff>
    </xdr:to>
    <xdr:pic>
      <xdr:nvPicPr>
        <xdr:cNvPr id="5" name="Imagen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4C556FC-829E-4BF9-A895-9A95278B9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656" y="56001"/>
          <a:ext cx="395232" cy="385959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150756</xdr:colOff>
      <xdr:row>0</xdr:row>
      <xdr:rowOff>56638</xdr:rowOff>
    </xdr:from>
    <xdr:to>
      <xdr:col>0</xdr:col>
      <xdr:colOff>598524</xdr:colOff>
      <xdr:row>0</xdr:row>
      <xdr:rowOff>434340</xdr:rowOff>
    </xdr:to>
    <xdr:pic>
      <xdr:nvPicPr>
        <xdr:cNvPr id="6" name="Imagen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87C5C06-94ED-4E80-92C5-9A1144850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756" y="56638"/>
          <a:ext cx="447768" cy="37770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4</xdr:col>
      <xdr:colOff>166744</xdr:colOff>
      <xdr:row>0</xdr:row>
      <xdr:rowOff>47119</xdr:rowOff>
    </xdr:from>
    <xdr:to>
      <xdr:col>4</xdr:col>
      <xdr:colOff>632459</xdr:colOff>
      <xdr:row>0</xdr:row>
      <xdr:rowOff>435761</xdr:rowOff>
    </xdr:to>
    <xdr:pic>
      <xdr:nvPicPr>
        <xdr:cNvPr id="7" name="Imagen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C030FFA-7BBF-46A8-B6FA-B54868F24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36664" y="47119"/>
          <a:ext cx="465715" cy="38864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175079</xdr:colOff>
      <xdr:row>0</xdr:row>
      <xdr:rowOff>45794</xdr:rowOff>
    </xdr:from>
    <xdr:to>
      <xdr:col>5</xdr:col>
      <xdr:colOff>586740</xdr:colOff>
      <xdr:row>0</xdr:row>
      <xdr:rowOff>429827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4FC1AE-A5EE-4A97-AFFB-05754876D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7479" y="45794"/>
          <a:ext cx="411661" cy="3840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166727</xdr:colOff>
      <xdr:row>0</xdr:row>
      <xdr:rowOff>40126</xdr:rowOff>
    </xdr:from>
    <xdr:to>
      <xdr:col>2</xdr:col>
      <xdr:colOff>637011</xdr:colOff>
      <xdr:row>0</xdr:row>
      <xdr:rowOff>441959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2A0B9F-9862-4BEA-BD70-9371F9FB0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687" y="40126"/>
          <a:ext cx="470284" cy="4018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3</xdr:col>
      <xdr:colOff>186140</xdr:colOff>
      <xdr:row>0</xdr:row>
      <xdr:rowOff>51398</xdr:rowOff>
    </xdr:from>
    <xdr:to>
      <xdr:col>3</xdr:col>
      <xdr:colOff>655320</xdr:colOff>
      <xdr:row>0</xdr:row>
      <xdr:rowOff>431590</xdr:rowOff>
    </xdr:to>
    <xdr:pic>
      <xdr:nvPicPr>
        <xdr:cNvPr id="4" name="Imagen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EBFAF4-18EE-4BC1-B20A-40C92CBFD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63580" y="51398"/>
          <a:ext cx="469180" cy="38019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199176</xdr:colOff>
      <xdr:row>0</xdr:row>
      <xdr:rowOff>56001</xdr:rowOff>
    </xdr:from>
    <xdr:to>
      <xdr:col>1</xdr:col>
      <xdr:colOff>594408</xdr:colOff>
      <xdr:row>0</xdr:row>
      <xdr:rowOff>441960</xdr:rowOff>
    </xdr:to>
    <xdr:pic>
      <xdr:nvPicPr>
        <xdr:cNvPr id="5" name="Imagen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4632A2-FE6A-464A-A99C-BFE713264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656" y="56001"/>
          <a:ext cx="395232" cy="385959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150756</xdr:colOff>
      <xdr:row>0</xdr:row>
      <xdr:rowOff>56638</xdr:rowOff>
    </xdr:from>
    <xdr:to>
      <xdr:col>0</xdr:col>
      <xdr:colOff>598524</xdr:colOff>
      <xdr:row>0</xdr:row>
      <xdr:rowOff>434340</xdr:rowOff>
    </xdr:to>
    <xdr:pic>
      <xdr:nvPicPr>
        <xdr:cNvPr id="6" name="Imagen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AEB71A-6E87-45DA-9D1D-C7243134C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756" y="56638"/>
          <a:ext cx="447768" cy="37770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4</xdr:col>
      <xdr:colOff>166744</xdr:colOff>
      <xdr:row>0</xdr:row>
      <xdr:rowOff>47119</xdr:rowOff>
    </xdr:from>
    <xdr:to>
      <xdr:col>4</xdr:col>
      <xdr:colOff>632459</xdr:colOff>
      <xdr:row>0</xdr:row>
      <xdr:rowOff>435761</xdr:rowOff>
    </xdr:to>
    <xdr:pic>
      <xdr:nvPicPr>
        <xdr:cNvPr id="7" name="Imagen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FE4302-D663-4975-AE8F-50B84A319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36664" y="47119"/>
          <a:ext cx="465715" cy="38864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175079</xdr:colOff>
      <xdr:row>0</xdr:row>
      <xdr:rowOff>45794</xdr:rowOff>
    </xdr:from>
    <xdr:to>
      <xdr:col>5</xdr:col>
      <xdr:colOff>586740</xdr:colOff>
      <xdr:row>0</xdr:row>
      <xdr:rowOff>429827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4B1110-953B-4BDB-84F9-A6FA54AAF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7479" y="45794"/>
          <a:ext cx="411661" cy="3840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166727</xdr:colOff>
      <xdr:row>0</xdr:row>
      <xdr:rowOff>40126</xdr:rowOff>
    </xdr:from>
    <xdr:to>
      <xdr:col>2</xdr:col>
      <xdr:colOff>637011</xdr:colOff>
      <xdr:row>0</xdr:row>
      <xdr:rowOff>441959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1E575-EAAB-42F5-80E4-F5D232A12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687" y="40126"/>
          <a:ext cx="470284" cy="4018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3</xdr:col>
      <xdr:colOff>186140</xdr:colOff>
      <xdr:row>0</xdr:row>
      <xdr:rowOff>51398</xdr:rowOff>
    </xdr:from>
    <xdr:to>
      <xdr:col>3</xdr:col>
      <xdr:colOff>655320</xdr:colOff>
      <xdr:row>0</xdr:row>
      <xdr:rowOff>431590</xdr:rowOff>
    </xdr:to>
    <xdr:pic>
      <xdr:nvPicPr>
        <xdr:cNvPr id="4" name="Imagen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019F0D-7DFE-4D0F-BF8E-42E17EE3C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63580" y="51398"/>
          <a:ext cx="469180" cy="38019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199176</xdr:colOff>
      <xdr:row>0</xdr:row>
      <xdr:rowOff>56001</xdr:rowOff>
    </xdr:from>
    <xdr:to>
      <xdr:col>1</xdr:col>
      <xdr:colOff>594408</xdr:colOff>
      <xdr:row>0</xdr:row>
      <xdr:rowOff>441960</xdr:rowOff>
    </xdr:to>
    <xdr:pic>
      <xdr:nvPicPr>
        <xdr:cNvPr id="5" name="Imagen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84DBA4-90C9-46A5-AED2-1C60AA018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656" y="56001"/>
          <a:ext cx="395232" cy="385959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150756</xdr:colOff>
      <xdr:row>0</xdr:row>
      <xdr:rowOff>56638</xdr:rowOff>
    </xdr:from>
    <xdr:to>
      <xdr:col>0</xdr:col>
      <xdr:colOff>598524</xdr:colOff>
      <xdr:row>0</xdr:row>
      <xdr:rowOff>434340</xdr:rowOff>
    </xdr:to>
    <xdr:pic>
      <xdr:nvPicPr>
        <xdr:cNvPr id="6" name="Imagen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F36C2E2-B93A-4219-A2A7-D75D01C97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756" y="56638"/>
          <a:ext cx="447768" cy="37770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4</xdr:col>
      <xdr:colOff>166744</xdr:colOff>
      <xdr:row>0</xdr:row>
      <xdr:rowOff>47119</xdr:rowOff>
    </xdr:from>
    <xdr:to>
      <xdr:col>4</xdr:col>
      <xdr:colOff>632459</xdr:colOff>
      <xdr:row>0</xdr:row>
      <xdr:rowOff>435761</xdr:rowOff>
    </xdr:to>
    <xdr:pic>
      <xdr:nvPicPr>
        <xdr:cNvPr id="7" name="Imagen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5021431-B7C0-4DB5-B2DB-0A0CA16E6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36664" y="47119"/>
          <a:ext cx="465715" cy="38864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yam" refreshedDate="45548.677037615744" createdVersion="8" refreshedVersion="8" minRefreshableVersion="3" recordCount="10" xr:uid="{28F5B5D8-F809-458F-82D2-A5FF6EE5F235}">
  <cacheSource type="worksheet">
    <worksheetSource ref="A3:L177" sheet="INGRESOS"/>
  </cacheSource>
  <cacheFields count="12">
    <cacheField name="FECHA" numFmtId="14">
      <sharedItems containsSemiMixedTypes="0" containsNonDate="0" containsDate="1" containsString="0" minDate="2024-09-02T00:00:00" maxDate="2024-09-05T00:00:00"/>
    </cacheField>
    <cacheField name="NOMBRE" numFmtId="0">
      <sharedItems containsBlank="1"/>
    </cacheField>
    <cacheField name="APELLIDO" numFmtId="0">
      <sharedItems containsBlank="1"/>
    </cacheField>
    <cacheField name="PRODUCTO" numFmtId="0">
      <sharedItems containsBlank="1" count="3">
        <s v="LENTES"/>
        <s v="CERTIFICADO"/>
        <m u="1"/>
      </sharedItems>
    </cacheField>
    <cacheField name="CANTIDAD" numFmtId="0">
      <sharedItems containsSemiMixedTypes="0" containsString="0" containsNumber="1" containsInteger="1" minValue="1" maxValue="2"/>
    </cacheField>
    <cacheField name="PRECIO" numFmtId="0">
      <sharedItems containsSemiMixedTypes="0" containsString="0" containsNumber="1" containsInteger="1" minValue="3" maxValue="115"/>
    </cacheField>
    <cacheField name="INGRESO" numFmtId="0">
      <sharedItems containsSemiMixedTypes="0" containsString="0" containsNumber="1" containsInteger="1" minValue="5" maxValue="115"/>
    </cacheField>
    <cacheField name="DESCRIPCION" numFmtId="0">
      <sharedItems/>
    </cacheField>
    <cacheField name="OBSERVACION" numFmtId="0">
      <sharedItems containsBlank="1"/>
    </cacheField>
    <cacheField name="TIPO DE PAGO" numFmtId="0">
      <sharedItems/>
    </cacheField>
    <cacheField name="MES" numFmtId="0">
      <sharedItems/>
    </cacheField>
    <cacheField name="AÑO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4-09-02T00:00:00"/>
    <s v="DYLAN"/>
    <s v="MONTAÑO"/>
    <x v="0"/>
    <n v="1"/>
    <n v="10"/>
    <n v="10"/>
    <s v="ABONO"/>
    <m/>
    <s v="EFECTIVO"/>
    <s v="SEPTIEMBRE"/>
    <n v="2024"/>
  </r>
  <r>
    <d v="2024-09-02T00:00:00"/>
    <s v="JUAN"/>
    <s v="ARIAS"/>
    <x v="0"/>
    <n v="1"/>
    <n v="45"/>
    <n v="45"/>
    <s v="CANCELACION"/>
    <m/>
    <s v="EFECTIVO"/>
    <s v="SEPTIEMBRE"/>
    <n v="2024"/>
  </r>
  <r>
    <d v="2024-09-02T00:00:00"/>
    <m/>
    <m/>
    <x v="1"/>
    <n v="2"/>
    <n v="3"/>
    <n v="6"/>
    <s v="CANCELACION"/>
    <m/>
    <s v="EFECTIVO"/>
    <s v="SEPTIEMBRE"/>
    <n v="2024"/>
  </r>
  <r>
    <d v="2024-09-02T00:00:00"/>
    <s v="EMILIA"/>
    <s v="LEON"/>
    <x v="0"/>
    <n v="1"/>
    <n v="50"/>
    <n v="50"/>
    <s v="ABONO"/>
    <s v="PLAZOS"/>
    <s v="EFECTIVO"/>
    <s v="SEPTIEMBRE"/>
    <n v="2024"/>
  </r>
  <r>
    <d v="2024-09-03T00:00:00"/>
    <s v="WASHINGTON"/>
    <m/>
    <x v="0"/>
    <n v="1"/>
    <n v="100"/>
    <n v="100"/>
    <s v="ABONO"/>
    <m/>
    <s v="EFECTIVO"/>
    <s v="SEPTIEMBRE"/>
    <n v="2024"/>
  </r>
  <r>
    <d v="2024-09-03T00:00:00"/>
    <s v="MESIAS"/>
    <s v="ZUÑIGA"/>
    <x v="0"/>
    <n v="1"/>
    <n v="30"/>
    <n v="30"/>
    <s v="ABONO"/>
    <m/>
    <s v="EFECTIVO"/>
    <s v="SEPTIEMBRE"/>
    <n v="2024"/>
  </r>
  <r>
    <d v="2024-09-03T00:00:00"/>
    <s v="RAQUEL"/>
    <s v="PAREDES"/>
    <x v="0"/>
    <n v="1"/>
    <n v="35"/>
    <n v="35"/>
    <s v="CANCELACION"/>
    <m/>
    <s v="EFECTIVO"/>
    <s v="SEPTIEMBRE"/>
    <n v="2024"/>
  </r>
  <r>
    <d v="2024-09-03T00:00:00"/>
    <s v="BOLIVAR"/>
    <s v="ABAD"/>
    <x v="0"/>
    <n v="1"/>
    <n v="70"/>
    <n v="70"/>
    <s v="CANCELACION"/>
    <m/>
    <s v="EFECTIVO"/>
    <s v="SEPTIEMBRE"/>
    <n v="2024"/>
  </r>
  <r>
    <d v="2024-09-04T00:00:00"/>
    <m/>
    <m/>
    <x v="0"/>
    <n v="1"/>
    <n v="5"/>
    <n v="5"/>
    <s v="CANCELACION"/>
    <m/>
    <s v="EFECTIVO"/>
    <s v="SEPTIEMBRE"/>
    <n v="2024"/>
  </r>
  <r>
    <d v="2024-09-04T00:00:00"/>
    <s v="MIRYAM"/>
    <s v="MERCHAN"/>
    <x v="0"/>
    <n v="1"/>
    <n v="115"/>
    <n v="115"/>
    <s v="CANCELACION"/>
    <m/>
    <s v="EFECTIVO"/>
    <s v="SEPTIEMBRE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F1147-B001-4D9B-823A-76427D932796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0:A13" firstHeaderRow="1" firstDataRow="1" firstDataCol="1"/>
  <pivotFields count="12">
    <pivotField numFmtId="14" showAll="0"/>
    <pivotField showAll="0"/>
    <pivotField showAll="0"/>
    <pivotField axis="axisRow" showAll="0">
      <items count="4">
        <item m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EA0A80-4895-441F-BC83-1C72F69279FD}" name="Tabla5" displayName="Tabla5" ref="A3:O177" totalsRowShown="0">
  <autoFilter ref="A3:O177" xr:uid="{E6EA0A80-4895-441F-BC83-1C72F69279FD}">
    <filterColumn colId="0">
      <filters>
        <dateGroupItem year="2026" month="2" dateTimeGrouping="month"/>
        <dateGroupItem year="2024" dateTimeGrouping="year"/>
      </filters>
    </filterColumn>
  </autoFilter>
  <sortState xmlns:xlrd2="http://schemas.microsoft.com/office/spreadsheetml/2017/richdata2" ref="A4:O83">
    <sortCondition ref="A3:A177"/>
  </sortState>
  <tableColumns count="15">
    <tableColumn id="12" xr3:uid="{20984B19-D3F0-4A46-8DB4-3082E277FD8B}" name="FECHA" dataDxfId="48"/>
    <tableColumn id="1" xr3:uid="{2E28451F-9E0E-44D4-A2E4-F18B6F3B1C8D}" name="NOMBRE" dataDxfId="47"/>
    <tableColumn id="2" xr3:uid="{12E22D3C-3AF7-4A5E-B394-1931FF75DB25}" name="APELLIDO"/>
    <tableColumn id="3" xr3:uid="{1A07EFC8-4A7D-41D2-B05C-D0CD9F2E7806}" name="PRODUCTO"/>
    <tableColumn id="4" xr3:uid="{0EA3C1CC-A8B0-4833-91F9-21550F051CA4}" name="CANTIDAD"/>
    <tableColumn id="5" xr3:uid="{B45292BF-A9B4-469A-A747-237F442CBA0E}" name="PRECIO"/>
    <tableColumn id="6" xr3:uid="{FEDC2D72-525A-41BC-A545-D148E9580857}" name="INGRESO" dataDxfId="46">
      <calculatedColumnFormula>E4*F4</calculatedColumnFormula>
    </tableColumn>
    <tableColumn id="7" xr3:uid="{FD3F98AA-2BE9-4E14-B87F-70B7FF6E6D3C}" name="DESCRIPCION"/>
    <tableColumn id="8" xr3:uid="{EBE65128-8271-4A7C-BD56-678B67DFD3D5}" name="OBSERVACION"/>
    <tableColumn id="9" xr3:uid="{D23037D9-6C31-4655-88BC-51CF45EDBCE7}" name="TIPO DE PAGO"/>
    <tableColumn id="10" xr3:uid="{4028D5D6-5D45-4996-BFDE-FFA1104793E7}" name="MES" dataDxfId="45">
      <calculatedColumnFormula>UPPER(TEXT(A4,"MMMM"))</calculatedColumnFormula>
    </tableColumn>
    <tableColumn id="11" xr3:uid="{4D01AAC2-2E06-4495-8A73-EBAD2B97B5D9}" name="AÑO" dataDxfId="44">
      <calculatedColumnFormula>+YEAR(A4)</calculatedColumnFormula>
    </tableColumn>
    <tableColumn id="13" xr3:uid="{F199B8ED-7A26-4FA0-8A56-FFC8FE7C1834}" name="ORDEN"/>
    <tableColumn id="14" xr3:uid="{2D1E3A78-7788-4810-B1AC-B8F62B4A9FBA}" name="SOFFI"/>
    <tableColumn id="15" xr3:uid="{1C01EC3C-4EEA-43B1-9E72-F13B6796A0D0}" name="Columna1" dataDxfId="43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600766-D8CB-4CE3-8841-691B0C200203}" name="Tabla8" displayName="Tabla8" ref="A3:L166" totalsRowShown="0" headerRowDxfId="42" dataDxfId="41">
  <autoFilter ref="A3:L166" xr:uid="{08600766-D8CB-4CE3-8841-691B0C200203}"/>
  <sortState xmlns:xlrd2="http://schemas.microsoft.com/office/spreadsheetml/2017/richdata2" ref="A4:L141">
    <sortCondition ref="A3:A141"/>
  </sortState>
  <tableColumns count="12">
    <tableColumn id="1" xr3:uid="{E7CC5145-A5BC-4D40-97A9-8E36FAFDCBEC}" name="FECHA" dataDxfId="40"/>
    <tableColumn id="2" xr3:uid="{180A4000-5536-4B5C-A740-F3DC36B32455}" name="CUENTA" dataDxfId="39"/>
    <tableColumn id="3" xr3:uid="{B7B1B672-FD96-4A86-BCD1-36F68CC4CF5E}" name="DISTRIBUIDOR" dataDxfId="38"/>
    <tableColumn id="4" xr3:uid="{BBDFC0BD-3C69-49BD-BD1E-F0DB49B74621}" name="CANTIDAD" dataDxfId="37"/>
    <tableColumn id="10" xr3:uid="{FD3FA49A-5E55-4E6A-B0E2-E7083CCDEA7E}" name="PRECIO" dataDxfId="36"/>
    <tableColumn id="5" xr3:uid="{B8CB4BFD-756E-4703-AFAA-2BE5E53E2BB9}" name="EGRESO" dataDxfId="35">
      <calculatedColumnFormula>Tabla8[[#This Row],[CANTIDAD]]*Tabla8[[#This Row],[PRECIO]]</calculatedColumnFormula>
    </tableColumn>
    <tableColumn id="6" xr3:uid="{C4A5F6A6-E3E2-47E2-B87C-23CC98BBC469}" name="DETALLE ADICIONAL" dataDxfId="34"/>
    <tableColumn id="7" xr3:uid="{975A4561-C034-420A-BE51-DE97B6940E84}" name="NO. DOCUMENTO" dataDxfId="33"/>
    <tableColumn id="8" xr3:uid="{C549AD8B-13E1-4398-A66D-ED74C2B6D70C}" name="MES" dataDxfId="32">
      <calculatedColumnFormula>UPPER(TEXT(A4,"MMMM"))</calculatedColumnFormula>
    </tableColumn>
    <tableColumn id="9" xr3:uid="{0A8B103D-6243-414D-8BD4-DE3AA05AF661}" name="AÑO" dataDxfId="31">
      <calculatedColumnFormula>+YEAR(A4)</calculatedColumnFormula>
    </tableColumn>
    <tableColumn id="11" xr3:uid="{C6994FAC-FB83-4775-B4DA-C563B97FA053}" name="TIPO DE PAGO" dataDxfId="30"/>
    <tableColumn id="12" xr3:uid="{A4D8BBCB-254D-4146-9AF6-12A233D82BED}" name="Columna1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922CE1-C089-4ED7-BF71-B84035DAC215}" name="Tabla6" displayName="Tabla6" ref="A3:I72" totalsRowShown="0" headerRowDxfId="28" dataDxfId="27">
  <autoFilter ref="A3:I72" xr:uid="{60922CE1-C089-4ED7-BF71-B84035DAC215}"/>
  <sortState xmlns:xlrd2="http://schemas.microsoft.com/office/spreadsheetml/2017/richdata2" ref="A4:I72">
    <sortCondition ref="A4:A72"/>
  </sortState>
  <tableColumns count="9">
    <tableColumn id="1" xr3:uid="{A41ACEAC-EA9E-4D2B-89AF-1005485F6793}" name="FECHA" dataDxfId="26"/>
    <tableColumn id="2" xr3:uid="{6D90ABED-CE10-459F-8F59-72EA76DAC25C}" name="CUENTA" dataDxfId="25"/>
    <tableColumn id="3" xr3:uid="{4B12740C-1DA8-4688-AC75-35EDC2B33463}" name="DISTRIBUIDOR" dataDxfId="24"/>
    <tableColumn id="6" xr3:uid="{C3887CE1-82C1-4A0F-9248-A33071E15ADE}" name="TOTAL" dataDxfId="23"/>
    <tableColumn id="7" xr3:uid="{968E62E5-8A97-4486-A40A-9443C69DB171}" name="DETALLE ADICIONAL" dataDxfId="22"/>
    <tableColumn id="8" xr3:uid="{FD9EA63A-D66C-40A2-B292-026BDF678CB9}" name="NO. DOCUMENTO" dataDxfId="21"/>
    <tableColumn id="9" xr3:uid="{901252D2-70DC-4CED-8A29-D720DA94739A}" name="MES" dataDxfId="20">
      <calculatedColumnFormula>UPPER(TEXT(A4,"MMMM"))</calculatedColumnFormula>
    </tableColumn>
    <tableColumn id="10" xr3:uid="{E101EA0C-C675-4FF2-965A-A52692DA0CCA}" name="AÑO" dataDxfId="19">
      <calculatedColumnFormula>+YEAR(A4)</calculatedColumnFormula>
    </tableColumn>
    <tableColumn id="11" xr3:uid="{6DC783CA-940E-4DAD-B3CD-9026BFCA5DA2}" name="TIPO DE PAGO" dataDxfId="18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F1760-DA25-4439-B1A0-C1A4A13CCFBB}" name="INGRESO" displayName="INGRESO" ref="A4:A7" totalsRowShown="0" headerRowDxfId="17" dataDxfId="16">
  <autoFilter ref="A4:A7" xr:uid="{D22F1760-DA25-4439-B1A0-C1A4A13CCFBB}"/>
  <tableColumns count="1">
    <tableColumn id="1" xr3:uid="{F484495D-7B07-4DC5-9A1A-0B019F117EE5}" name="CUENTAS DE INGRESO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8AEFC8-6DDF-434F-996E-76FE8E86DCDD}" name="GASTO" displayName="GASTO" ref="C4:C16" totalsRowShown="0" headerRowDxfId="14" dataDxfId="13">
  <autoFilter ref="C4:C16" xr:uid="{6F8AEFC8-6DDF-434F-996E-76FE8E86DCDD}"/>
  <tableColumns count="1">
    <tableColumn id="1" xr3:uid="{A398C4FD-A7D7-4ADA-8B38-8A50FE26A3B5}" name="CUENTAS DE GASTO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98B330-375E-4F03-8D5B-D61448669789}" name="MERCADERIA" displayName="MERCADERIA" ref="E4:E10" totalsRowShown="0" headerRowDxfId="11" dataDxfId="10">
  <autoFilter ref="E4:E10" xr:uid="{7598B330-375E-4F03-8D5B-D61448669789}"/>
  <tableColumns count="1">
    <tableColumn id="1" xr3:uid="{7FCBAB87-F666-44E0-8C17-0C38B1CE1CDE}" name="PRODUCTO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76942C-F9C0-4771-8F22-4B5D5E9FAAAF}" name="MERCADERIA9" displayName="MERCADERIA9" ref="G4:G14" totalsRowShown="0" headerRowDxfId="8" dataDxfId="7">
  <autoFilter ref="G4:G14" xr:uid="{0876942C-F9C0-4771-8F22-4B5D5E9FAAAF}"/>
  <tableColumns count="1">
    <tableColumn id="1" xr3:uid="{59A20FB3-4AFE-4059-92E8-3B8599D96699}" name="TIPO DE PAGO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165A26A-EFD5-465E-9337-D42FE02C6A63}" name="INGRESO8" displayName="INGRESO8" ref="I4:I25" totalsRowShown="0" headerRowDxfId="5" dataDxfId="4">
  <autoFilter ref="I4:I25" xr:uid="{9165A26A-EFD5-465E-9337-D42FE02C6A63}"/>
  <tableColumns count="1">
    <tableColumn id="1" xr3:uid="{022F872B-6A16-4EC5-832A-8038D03EE58D}" name="DISTRIBUIDOR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E62B9B4-A53C-4CE9-8295-A94D1639FFB2}" name="INGRESO10" displayName="INGRESO10" ref="K4:K7" totalsRowShown="0" headerRowDxfId="2" dataDxfId="1">
  <autoFilter ref="K4:K7" xr:uid="{0E62B9B4-A53C-4CE9-8295-A94D1639FFB2}"/>
  <tableColumns count="1">
    <tableColumn id="1" xr3:uid="{73CB39BB-4736-43EE-8E3E-67E99CA6F9F8}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F430-C852-4215-8137-A846D213C420}">
  <sheetPr>
    <pageSetUpPr fitToPage="1"/>
  </sheetPr>
  <dimension ref="A1:O177"/>
  <sheetViews>
    <sheetView tabSelected="1" workbookViewId="0">
      <selection sqref="A1:D1"/>
    </sheetView>
  </sheetViews>
  <sheetFormatPr baseColWidth="10" defaultRowHeight="14.4" x14ac:dyDescent="0.3"/>
  <cols>
    <col min="2" max="2" width="25.5546875" customWidth="1"/>
    <col min="3" max="3" width="22.109375" customWidth="1"/>
    <col min="4" max="4" width="14.21875" customWidth="1"/>
    <col min="7" max="7" width="14.21875" customWidth="1"/>
    <col min="8" max="8" width="14.109375" customWidth="1"/>
    <col min="9" max="9" width="15.109375" customWidth="1"/>
    <col min="10" max="10" width="15.6640625" customWidth="1"/>
  </cols>
  <sheetData>
    <row r="1" spans="1:15" ht="34.200000000000003" customHeight="1" x14ac:dyDescent="0.3">
      <c r="A1" s="76"/>
      <c r="B1" s="76"/>
      <c r="C1" s="76"/>
      <c r="D1" s="76"/>
      <c r="E1" s="77" t="s">
        <v>0</v>
      </c>
      <c r="F1" s="77"/>
      <c r="G1" s="77"/>
      <c r="H1" s="77"/>
      <c r="I1" s="77"/>
      <c r="J1" s="77"/>
      <c r="K1" s="77"/>
      <c r="L1" s="77"/>
      <c r="M1" s="77"/>
    </row>
    <row r="3" spans="1:15" x14ac:dyDescent="0.3">
      <c r="A3" t="s">
        <v>1</v>
      </c>
      <c r="B3" t="s">
        <v>11</v>
      </c>
      <c r="C3" t="s">
        <v>12</v>
      </c>
      <c r="D3" t="s">
        <v>9</v>
      </c>
      <c r="E3" t="s">
        <v>3</v>
      </c>
      <c r="F3" t="s">
        <v>4</v>
      </c>
      <c r="G3" t="s">
        <v>5</v>
      </c>
      <c r="H3" t="s">
        <v>6</v>
      </c>
      <c r="I3" t="s">
        <v>36</v>
      </c>
      <c r="J3" t="s">
        <v>10</v>
      </c>
      <c r="K3" t="s">
        <v>7</v>
      </c>
      <c r="L3" t="s">
        <v>8</v>
      </c>
      <c r="M3" t="s">
        <v>75</v>
      </c>
      <c r="N3" t="s">
        <v>100</v>
      </c>
      <c r="O3" t="s">
        <v>90</v>
      </c>
    </row>
    <row r="4" spans="1:15" hidden="1" x14ac:dyDescent="0.3">
      <c r="A4" s="4">
        <v>46023</v>
      </c>
      <c r="B4" s="3" t="s">
        <v>396</v>
      </c>
      <c r="C4" s="3"/>
      <c r="E4">
        <v>1</v>
      </c>
      <c r="F4">
        <v>1993.66</v>
      </c>
      <c r="G4">
        <f t="shared" ref="G4:G35" si="0">E4*F4</f>
        <v>1993.66</v>
      </c>
      <c r="H4" t="s">
        <v>38</v>
      </c>
      <c r="I4" t="s">
        <v>397</v>
      </c>
      <c r="J4" t="s">
        <v>18</v>
      </c>
      <c r="K4" t="str">
        <f t="shared" ref="K4:K35" si="1">UPPER(TEXT(A4,"MMMM"))</f>
        <v>ENERO</v>
      </c>
      <c r="L4">
        <f t="shared" ref="L4:L35" si="2">+YEAR(A4)</f>
        <v>2026</v>
      </c>
    </row>
    <row r="5" spans="1:15" hidden="1" x14ac:dyDescent="0.3">
      <c r="A5" s="60">
        <v>46023</v>
      </c>
      <c r="B5" s="61" t="s">
        <v>433</v>
      </c>
      <c r="C5" s="61"/>
      <c r="D5" s="47"/>
      <c r="E5" s="47">
        <v>1</v>
      </c>
      <c r="F5" s="47">
        <v>445.83</v>
      </c>
      <c r="G5">
        <f t="shared" si="0"/>
        <v>445.83</v>
      </c>
      <c r="H5" s="47" t="s">
        <v>38</v>
      </c>
      <c r="I5" s="47"/>
      <c r="J5" s="47" t="s">
        <v>27</v>
      </c>
      <c r="K5" t="str">
        <f t="shared" si="1"/>
        <v>ENERO</v>
      </c>
      <c r="L5">
        <f t="shared" si="2"/>
        <v>2026</v>
      </c>
      <c r="M5" s="47"/>
      <c r="N5" s="46"/>
    </row>
    <row r="6" spans="1:15" hidden="1" x14ac:dyDescent="0.3">
      <c r="A6" s="4">
        <v>46027</v>
      </c>
      <c r="B6" s="3" t="s">
        <v>252</v>
      </c>
      <c r="C6" s="3" t="s">
        <v>253</v>
      </c>
      <c r="D6" t="s">
        <v>17</v>
      </c>
      <c r="E6">
        <v>1</v>
      </c>
      <c r="F6">
        <v>135</v>
      </c>
      <c r="G6">
        <f t="shared" si="0"/>
        <v>135</v>
      </c>
      <c r="H6" t="s">
        <v>38</v>
      </c>
      <c r="J6" t="s">
        <v>18</v>
      </c>
      <c r="K6" t="str">
        <f t="shared" si="1"/>
        <v>ENERO</v>
      </c>
      <c r="L6">
        <f t="shared" si="2"/>
        <v>2026</v>
      </c>
    </row>
    <row r="7" spans="1:15" hidden="1" x14ac:dyDescent="0.3">
      <c r="A7" s="4">
        <v>46027</v>
      </c>
      <c r="B7" s="3" t="s">
        <v>254</v>
      </c>
      <c r="C7" s="3" t="s">
        <v>255</v>
      </c>
      <c r="D7" t="s">
        <v>17</v>
      </c>
      <c r="E7">
        <v>1</v>
      </c>
      <c r="F7">
        <v>25</v>
      </c>
      <c r="G7">
        <f t="shared" si="0"/>
        <v>25</v>
      </c>
      <c r="H7" t="s">
        <v>38</v>
      </c>
      <c r="J7" t="s">
        <v>18</v>
      </c>
      <c r="K7" t="str">
        <f t="shared" si="1"/>
        <v>ENERO</v>
      </c>
      <c r="L7">
        <f t="shared" si="2"/>
        <v>2026</v>
      </c>
    </row>
    <row r="8" spans="1:15" hidden="1" x14ac:dyDescent="0.3">
      <c r="A8" s="4">
        <v>46027</v>
      </c>
      <c r="B8" s="3" t="s">
        <v>250</v>
      </c>
      <c r="C8" s="3" t="s">
        <v>251</v>
      </c>
      <c r="D8" t="s">
        <v>17</v>
      </c>
      <c r="E8">
        <v>1</v>
      </c>
      <c r="F8">
        <v>40</v>
      </c>
      <c r="G8">
        <f t="shared" si="0"/>
        <v>40</v>
      </c>
      <c r="H8" t="s">
        <v>37</v>
      </c>
      <c r="J8" t="s">
        <v>18</v>
      </c>
      <c r="K8" t="str">
        <f t="shared" si="1"/>
        <v>ENERO</v>
      </c>
      <c r="L8">
        <f t="shared" si="2"/>
        <v>2026</v>
      </c>
    </row>
    <row r="9" spans="1:15" hidden="1" x14ac:dyDescent="0.3">
      <c r="A9" s="4">
        <v>46028</v>
      </c>
      <c r="B9" s="3" t="s">
        <v>257</v>
      </c>
      <c r="C9" s="3" t="s">
        <v>256</v>
      </c>
      <c r="D9" t="s">
        <v>21</v>
      </c>
      <c r="E9">
        <v>1</v>
      </c>
      <c r="F9">
        <v>5</v>
      </c>
      <c r="G9">
        <f t="shared" si="0"/>
        <v>5</v>
      </c>
      <c r="H9" t="s">
        <v>38</v>
      </c>
      <c r="J9" t="s">
        <v>18</v>
      </c>
      <c r="K9" t="str">
        <f t="shared" si="1"/>
        <v>ENERO</v>
      </c>
      <c r="L9">
        <f t="shared" si="2"/>
        <v>2026</v>
      </c>
    </row>
    <row r="10" spans="1:15" hidden="1" x14ac:dyDescent="0.3">
      <c r="A10" s="4">
        <v>46028</v>
      </c>
      <c r="B10" s="3" t="s">
        <v>257</v>
      </c>
      <c r="C10" s="3" t="s">
        <v>258</v>
      </c>
      <c r="D10" t="s">
        <v>17</v>
      </c>
      <c r="E10">
        <v>1</v>
      </c>
      <c r="F10">
        <v>20</v>
      </c>
      <c r="G10">
        <f t="shared" si="0"/>
        <v>20</v>
      </c>
      <c r="H10" t="s">
        <v>37</v>
      </c>
      <c r="J10" t="s">
        <v>18</v>
      </c>
      <c r="K10" t="str">
        <f t="shared" si="1"/>
        <v>ENERO</v>
      </c>
      <c r="L10">
        <f t="shared" si="2"/>
        <v>2026</v>
      </c>
    </row>
    <row r="11" spans="1:15" hidden="1" x14ac:dyDescent="0.3">
      <c r="A11" s="4">
        <v>46028</v>
      </c>
      <c r="B11" s="3" t="s">
        <v>259</v>
      </c>
      <c r="C11" s="3" t="s">
        <v>260</v>
      </c>
      <c r="D11" t="s">
        <v>17</v>
      </c>
      <c r="E11">
        <v>1</v>
      </c>
      <c r="F11">
        <v>160</v>
      </c>
      <c r="G11">
        <f t="shared" si="0"/>
        <v>160</v>
      </c>
      <c r="H11" t="s">
        <v>38</v>
      </c>
      <c r="J11" t="s">
        <v>18</v>
      </c>
      <c r="K11" t="str">
        <f t="shared" si="1"/>
        <v>ENERO</v>
      </c>
      <c r="L11">
        <f t="shared" si="2"/>
        <v>2026</v>
      </c>
    </row>
    <row r="12" spans="1:15" hidden="1" x14ac:dyDescent="0.3">
      <c r="A12" s="4">
        <v>46028</v>
      </c>
      <c r="B12" s="3" t="s">
        <v>105</v>
      </c>
      <c r="C12" s="3" t="s">
        <v>13</v>
      </c>
      <c r="D12" t="s">
        <v>17</v>
      </c>
      <c r="E12">
        <v>1</v>
      </c>
      <c r="F12">
        <v>216.2</v>
      </c>
      <c r="G12">
        <f t="shared" si="0"/>
        <v>216.2</v>
      </c>
      <c r="H12" t="s">
        <v>38</v>
      </c>
      <c r="J12" t="s">
        <v>18</v>
      </c>
      <c r="K12" t="str">
        <f t="shared" si="1"/>
        <v>ENERO</v>
      </c>
      <c r="L12">
        <f t="shared" si="2"/>
        <v>2026</v>
      </c>
    </row>
    <row r="13" spans="1:15" hidden="1" x14ac:dyDescent="0.3">
      <c r="A13" s="4">
        <v>46028</v>
      </c>
      <c r="B13" s="3" t="s">
        <v>261</v>
      </c>
      <c r="C13" s="3" t="s">
        <v>262</v>
      </c>
      <c r="D13" t="s">
        <v>17</v>
      </c>
      <c r="E13">
        <v>1</v>
      </c>
      <c r="F13">
        <v>10</v>
      </c>
      <c r="G13">
        <f t="shared" si="0"/>
        <v>10</v>
      </c>
      <c r="H13" t="s">
        <v>37</v>
      </c>
      <c r="J13" t="s">
        <v>18</v>
      </c>
      <c r="K13" t="str">
        <f t="shared" si="1"/>
        <v>ENERO</v>
      </c>
      <c r="L13">
        <f t="shared" si="2"/>
        <v>2026</v>
      </c>
    </row>
    <row r="14" spans="1:15" hidden="1" x14ac:dyDescent="0.3">
      <c r="A14" s="4">
        <v>46028</v>
      </c>
      <c r="B14" s="3" t="s">
        <v>250</v>
      </c>
      <c r="C14" s="3" t="s">
        <v>251</v>
      </c>
      <c r="D14" t="s">
        <v>17</v>
      </c>
      <c r="E14">
        <v>1</v>
      </c>
      <c r="F14">
        <v>25</v>
      </c>
      <c r="G14">
        <f t="shared" si="0"/>
        <v>25</v>
      </c>
      <c r="H14" t="s">
        <v>38</v>
      </c>
      <c r="J14" t="s">
        <v>18</v>
      </c>
      <c r="K14" t="str">
        <f t="shared" si="1"/>
        <v>ENERO</v>
      </c>
      <c r="L14">
        <f t="shared" si="2"/>
        <v>2026</v>
      </c>
    </row>
    <row r="15" spans="1:15" hidden="1" x14ac:dyDescent="0.3">
      <c r="A15" s="4">
        <v>46029</v>
      </c>
      <c r="B15" s="3" t="s">
        <v>265</v>
      </c>
      <c r="C15" s="3" t="s">
        <v>255</v>
      </c>
      <c r="D15" t="s">
        <v>17</v>
      </c>
      <c r="E15">
        <v>1</v>
      </c>
      <c r="F15">
        <v>50</v>
      </c>
      <c r="G15">
        <f t="shared" si="0"/>
        <v>50</v>
      </c>
      <c r="H15" t="s">
        <v>37</v>
      </c>
      <c r="J15" t="s">
        <v>18</v>
      </c>
      <c r="K15" t="str">
        <f t="shared" si="1"/>
        <v>ENERO</v>
      </c>
      <c r="L15">
        <f t="shared" si="2"/>
        <v>2026</v>
      </c>
    </row>
    <row r="16" spans="1:15" hidden="1" x14ac:dyDescent="0.3">
      <c r="A16" s="4">
        <v>46029</v>
      </c>
      <c r="B16" s="3" t="s">
        <v>28</v>
      </c>
      <c r="C16" s="3" t="s">
        <v>263</v>
      </c>
      <c r="D16" t="s">
        <v>17</v>
      </c>
      <c r="E16">
        <v>1</v>
      </c>
      <c r="F16">
        <v>50</v>
      </c>
      <c r="G16">
        <f t="shared" si="0"/>
        <v>50</v>
      </c>
      <c r="H16" t="s">
        <v>37</v>
      </c>
      <c r="J16" t="s">
        <v>18</v>
      </c>
      <c r="K16" t="str">
        <f t="shared" si="1"/>
        <v>ENERO</v>
      </c>
      <c r="L16">
        <f t="shared" si="2"/>
        <v>2026</v>
      </c>
    </row>
    <row r="17" spans="1:14" hidden="1" x14ac:dyDescent="0.3">
      <c r="A17" s="60">
        <v>46029</v>
      </c>
      <c r="B17" s="61" t="s">
        <v>28</v>
      </c>
      <c r="C17" s="61" t="s">
        <v>263</v>
      </c>
      <c r="D17" s="47" t="s">
        <v>17</v>
      </c>
      <c r="E17" s="47">
        <v>1</v>
      </c>
      <c r="F17" s="47">
        <v>125</v>
      </c>
      <c r="G17">
        <f t="shared" si="0"/>
        <v>125</v>
      </c>
      <c r="H17" s="47" t="s">
        <v>38</v>
      </c>
      <c r="I17" s="47"/>
      <c r="J17" s="47" t="s">
        <v>27</v>
      </c>
      <c r="K17" t="str">
        <f t="shared" si="1"/>
        <v>ENERO</v>
      </c>
      <c r="L17">
        <f t="shared" si="2"/>
        <v>2026</v>
      </c>
      <c r="M17" s="47"/>
      <c r="N17" s="46"/>
    </row>
    <row r="18" spans="1:14" hidden="1" x14ac:dyDescent="0.3">
      <c r="A18" s="4">
        <v>46029</v>
      </c>
      <c r="B18" s="3" t="s">
        <v>264</v>
      </c>
      <c r="C18" s="3" t="s">
        <v>262</v>
      </c>
      <c r="D18" t="s">
        <v>17</v>
      </c>
      <c r="E18">
        <v>1</v>
      </c>
      <c r="F18">
        <v>30</v>
      </c>
      <c r="G18">
        <f t="shared" si="0"/>
        <v>30</v>
      </c>
      <c r="H18" t="s">
        <v>38</v>
      </c>
      <c r="J18" t="s">
        <v>18</v>
      </c>
      <c r="K18" t="str">
        <f t="shared" si="1"/>
        <v>ENERO</v>
      </c>
      <c r="L18">
        <f t="shared" si="2"/>
        <v>2026</v>
      </c>
    </row>
    <row r="19" spans="1:14" hidden="1" x14ac:dyDescent="0.3">
      <c r="A19" s="4">
        <v>46029</v>
      </c>
      <c r="B19" s="3" t="s">
        <v>158</v>
      </c>
      <c r="C19" s="3" t="s">
        <v>158</v>
      </c>
      <c r="D19" t="s">
        <v>17</v>
      </c>
      <c r="E19">
        <v>1</v>
      </c>
      <c r="F19">
        <v>12</v>
      </c>
      <c r="G19">
        <f t="shared" si="0"/>
        <v>12</v>
      </c>
      <c r="H19" t="s">
        <v>38</v>
      </c>
      <c r="I19" t="s">
        <v>270</v>
      </c>
      <c r="J19" t="s">
        <v>18</v>
      </c>
      <c r="K19" t="str">
        <f t="shared" si="1"/>
        <v>ENERO</v>
      </c>
      <c r="L19">
        <f t="shared" si="2"/>
        <v>2026</v>
      </c>
    </row>
    <row r="20" spans="1:14" hidden="1" x14ac:dyDescent="0.3">
      <c r="A20" s="4">
        <v>46030</v>
      </c>
      <c r="B20" s="3" t="s">
        <v>21</v>
      </c>
      <c r="C20" s="3" t="s">
        <v>271</v>
      </c>
      <c r="D20" t="s">
        <v>17</v>
      </c>
      <c r="E20">
        <v>1</v>
      </c>
      <c r="F20">
        <v>5</v>
      </c>
      <c r="G20">
        <f t="shared" si="0"/>
        <v>5</v>
      </c>
      <c r="H20" t="s">
        <v>38</v>
      </c>
      <c r="I20" t="s">
        <v>211</v>
      </c>
      <c r="J20" t="s">
        <v>18</v>
      </c>
      <c r="K20" t="str">
        <f t="shared" si="1"/>
        <v>ENERO</v>
      </c>
      <c r="L20">
        <f t="shared" si="2"/>
        <v>2026</v>
      </c>
    </row>
    <row r="21" spans="1:14" hidden="1" x14ac:dyDescent="0.3">
      <c r="A21" s="60">
        <v>46030</v>
      </c>
      <c r="B21" s="52" t="s">
        <v>437</v>
      </c>
      <c r="C21" s="52"/>
      <c r="D21" s="46"/>
      <c r="E21" s="46">
        <v>1</v>
      </c>
      <c r="F21" s="46">
        <v>207</v>
      </c>
      <c r="G21">
        <f t="shared" si="0"/>
        <v>207</v>
      </c>
      <c r="H21" s="46" t="s">
        <v>38</v>
      </c>
      <c r="I21" s="46" t="s">
        <v>437</v>
      </c>
      <c r="J21" s="46" t="s">
        <v>27</v>
      </c>
      <c r="K21" t="str">
        <f t="shared" si="1"/>
        <v>ENERO</v>
      </c>
      <c r="L21">
        <f t="shared" si="2"/>
        <v>2026</v>
      </c>
      <c r="M21" s="46"/>
      <c r="N21" s="46"/>
    </row>
    <row r="22" spans="1:14" hidden="1" x14ac:dyDescent="0.3">
      <c r="A22" s="4">
        <v>46030</v>
      </c>
      <c r="B22" s="3" t="s">
        <v>268</v>
      </c>
      <c r="C22" s="3" t="s">
        <v>269</v>
      </c>
      <c r="D22" t="s">
        <v>17</v>
      </c>
      <c r="E22">
        <v>1</v>
      </c>
      <c r="F22">
        <v>100</v>
      </c>
      <c r="G22">
        <f t="shared" si="0"/>
        <v>100</v>
      </c>
      <c r="H22" t="s">
        <v>37</v>
      </c>
      <c r="J22" t="s">
        <v>18</v>
      </c>
      <c r="K22" t="str">
        <f t="shared" si="1"/>
        <v>ENERO</v>
      </c>
      <c r="L22">
        <f t="shared" si="2"/>
        <v>2026</v>
      </c>
    </row>
    <row r="23" spans="1:14" hidden="1" x14ac:dyDescent="0.3">
      <c r="A23" s="4">
        <v>46030</v>
      </c>
      <c r="B23" s="3" t="s">
        <v>266</v>
      </c>
      <c r="C23" s="3" t="s">
        <v>267</v>
      </c>
      <c r="D23" t="s">
        <v>17</v>
      </c>
      <c r="E23">
        <v>1</v>
      </c>
      <c r="F23">
        <v>110</v>
      </c>
      <c r="G23">
        <f t="shared" si="0"/>
        <v>110</v>
      </c>
      <c r="H23" t="s">
        <v>37</v>
      </c>
      <c r="I23" t="s">
        <v>151</v>
      </c>
      <c r="J23" t="s">
        <v>18</v>
      </c>
      <c r="K23" t="str">
        <f t="shared" si="1"/>
        <v>ENERO</v>
      </c>
      <c r="L23">
        <f t="shared" si="2"/>
        <v>2026</v>
      </c>
    </row>
    <row r="24" spans="1:14" hidden="1" x14ac:dyDescent="0.3">
      <c r="A24" s="60">
        <v>46030</v>
      </c>
      <c r="B24" s="61" t="s">
        <v>434</v>
      </c>
      <c r="C24" s="61" t="s">
        <v>435</v>
      </c>
      <c r="D24" s="47"/>
      <c r="E24" s="47">
        <v>1</v>
      </c>
      <c r="F24" s="47">
        <v>13.76</v>
      </c>
      <c r="G24">
        <f t="shared" si="0"/>
        <v>13.76</v>
      </c>
      <c r="H24" s="47" t="s">
        <v>38</v>
      </c>
      <c r="I24" s="47" t="s">
        <v>436</v>
      </c>
      <c r="J24" s="47" t="s">
        <v>27</v>
      </c>
      <c r="K24" t="str">
        <f t="shared" si="1"/>
        <v>ENERO</v>
      </c>
      <c r="L24">
        <f t="shared" si="2"/>
        <v>2026</v>
      </c>
      <c r="M24" s="47"/>
      <c r="N24" s="47"/>
    </row>
    <row r="25" spans="1:14" hidden="1" x14ac:dyDescent="0.3">
      <c r="A25" s="4">
        <v>46031</v>
      </c>
      <c r="B25" s="3" t="s">
        <v>257</v>
      </c>
      <c r="C25" s="3" t="s">
        <v>258</v>
      </c>
      <c r="D25" t="s">
        <v>17</v>
      </c>
      <c r="E25">
        <v>1</v>
      </c>
      <c r="F25">
        <v>155</v>
      </c>
      <c r="G25">
        <f t="shared" si="0"/>
        <v>155</v>
      </c>
      <c r="H25" t="s">
        <v>38</v>
      </c>
      <c r="J25" t="s">
        <v>18</v>
      </c>
      <c r="K25" t="str">
        <f t="shared" si="1"/>
        <v>ENERO</v>
      </c>
      <c r="L25">
        <f t="shared" si="2"/>
        <v>2026</v>
      </c>
    </row>
    <row r="26" spans="1:14" hidden="1" x14ac:dyDescent="0.3">
      <c r="A26" s="4">
        <v>46031</v>
      </c>
      <c r="B26" s="3" t="s">
        <v>21</v>
      </c>
      <c r="C26" s="3" t="s">
        <v>21</v>
      </c>
      <c r="D26" t="s">
        <v>21</v>
      </c>
      <c r="E26">
        <v>1</v>
      </c>
      <c r="F26">
        <v>5</v>
      </c>
      <c r="G26">
        <f t="shared" si="0"/>
        <v>5</v>
      </c>
      <c r="H26" t="s">
        <v>38</v>
      </c>
      <c r="J26" t="s">
        <v>18</v>
      </c>
      <c r="K26" t="str">
        <f t="shared" si="1"/>
        <v>ENERO</v>
      </c>
      <c r="L26">
        <f t="shared" si="2"/>
        <v>2026</v>
      </c>
    </row>
    <row r="27" spans="1:14" hidden="1" x14ac:dyDescent="0.3">
      <c r="A27" s="4">
        <v>46031</v>
      </c>
      <c r="B27" s="3" t="s">
        <v>274</v>
      </c>
      <c r="C27" s="3" t="s">
        <v>275</v>
      </c>
      <c r="D27" t="s">
        <v>17</v>
      </c>
      <c r="E27">
        <v>1</v>
      </c>
      <c r="F27">
        <v>20</v>
      </c>
      <c r="G27">
        <f t="shared" si="0"/>
        <v>20</v>
      </c>
      <c r="H27" t="s">
        <v>37</v>
      </c>
      <c r="J27" t="s">
        <v>18</v>
      </c>
      <c r="K27" t="str">
        <f t="shared" si="1"/>
        <v>ENERO</v>
      </c>
      <c r="L27">
        <f t="shared" si="2"/>
        <v>2026</v>
      </c>
    </row>
    <row r="28" spans="1:14" hidden="1" x14ac:dyDescent="0.3">
      <c r="A28" s="72">
        <v>46031</v>
      </c>
      <c r="B28" s="3" t="s">
        <v>455</v>
      </c>
      <c r="C28" s="3" t="s">
        <v>275</v>
      </c>
      <c r="D28" t="s">
        <v>17</v>
      </c>
      <c r="E28">
        <v>1</v>
      </c>
      <c r="F28">
        <v>80</v>
      </c>
      <c r="G28">
        <f t="shared" si="0"/>
        <v>80</v>
      </c>
      <c r="H28" t="s">
        <v>38</v>
      </c>
      <c r="J28" t="s">
        <v>456</v>
      </c>
      <c r="K28" t="str">
        <f t="shared" si="1"/>
        <v>ENERO</v>
      </c>
      <c r="L28">
        <f t="shared" si="2"/>
        <v>2026</v>
      </c>
    </row>
    <row r="29" spans="1:14" hidden="1" x14ac:dyDescent="0.3">
      <c r="A29" s="4">
        <v>46031</v>
      </c>
      <c r="B29" s="3" t="s">
        <v>131</v>
      </c>
      <c r="C29" s="3" t="s">
        <v>278</v>
      </c>
      <c r="D29" t="s">
        <v>17</v>
      </c>
      <c r="E29">
        <v>1</v>
      </c>
      <c r="F29">
        <v>79</v>
      </c>
      <c r="G29">
        <f t="shared" si="0"/>
        <v>79</v>
      </c>
      <c r="H29" t="s">
        <v>38</v>
      </c>
      <c r="I29" t="s">
        <v>279</v>
      </c>
      <c r="J29" t="s">
        <v>18</v>
      </c>
      <c r="K29" t="str">
        <f t="shared" si="1"/>
        <v>ENERO</v>
      </c>
      <c r="L29">
        <f t="shared" si="2"/>
        <v>2026</v>
      </c>
    </row>
    <row r="30" spans="1:14" hidden="1" x14ac:dyDescent="0.3">
      <c r="A30" s="4">
        <v>46031</v>
      </c>
      <c r="B30" s="3" t="s">
        <v>276</v>
      </c>
      <c r="C30" s="3" t="s">
        <v>277</v>
      </c>
      <c r="D30" t="s">
        <v>17</v>
      </c>
      <c r="E30">
        <v>1</v>
      </c>
      <c r="F30">
        <v>140</v>
      </c>
      <c r="G30">
        <f t="shared" si="0"/>
        <v>140</v>
      </c>
      <c r="H30" t="s">
        <v>37</v>
      </c>
      <c r="J30" t="s">
        <v>18</v>
      </c>
      <c r="K30" t="str">
        <f t="shared" si="1"/>
        <v>ENERO</v>
      </c>
      <c r="L30">
        <f t="shared" si="2"/>
        <v>2026</v>
      </c>
    </row>
    <row r="31" spans="1:14" hidden="1" x14ac:dyDescent="0.3">
      <c r="A31" s="4">
        <v>46031</v>
      </c>
      <c r="B31" s="3" t="s">
        <v>272</v>
      </c>
      <c r="C31" s="3" t="s">
        <v>273</v>
      </c>
      <c r="D31" t="s">
        <v>17</v>
      </c>
      <c r="E31">
        <v>1</v>
      </c>
      <c r="F31">
        <v>20</v>
      </c>
      <c r="G31">
        <f t="shared" si="0"/>
        <v>20</v>
      </c>
      <c r="H31" t="s">
        <v>37</v>
      </c>
      <c r="J31" t="s">
        <v>18</v>
      </c>
      <c r="K31" t="str">
        <f t="shared" si="1"/>
        <v>ENERO</v>
      </c>
      <c r="L31">
        <f t="shared" si="2"/>
        <v>2026</v>
      </c>
    </row>
    <row r="32" spans="1:14" hidden="1" x14ac:dyDescent="0.3">
      <c r="A32" s="4">
        <v>46032</v>
      </c>
      <c r="B32" s="3" t="s">
        <v>266</v>
      </c>
      <c r="C32" s="3" t="s">
        <v>280</v>
      </c>
      <c r="D32" t="s">
        <v>17</v>
      </c>
      <c r="E32">
        <v>1</v>
      </c>
      <c r="F32">
        <v>20</v>
      </c>
      <c r="G32">
        <f t="shared" si="0"/>
        <v>20</v>
      </c>
      <c r="H32" t="s">
        <v>37</v>
      </c>
      <c r="J32" t="s">
        <v>18</v>
      </c>
      <c r="K32" t="str">
        <f t="shared" si="1"/>
        <v>ENERO</v>
      </c>
      <c r="L32">
        <f t="shared" si="2"/>
        <v>2026</v>
      </c>
    </row>
    <row r="33" spans="1:14" hidden="1" x14ac:dyDescent="0.3">
      <c r="A33" s="4">
        <v>46032</v>
      </c>
      <c r="B33" s="3" t="s">
        <v>281</v>
      </c>
      <c r="C33" s="3" t="s">
        <v>282</v>
      </c>
      <c r="D33" t="s">
        <v>17</v>
      </c>
      <c r="E33">
        <v>1</v>
      </c>
      <c r="F33">
        <v>20</v>
      </c>
      <c r="G33">
        <f t="shared" si="0"/>
        <v>20</v>
      </c>
      <c r="H33" t="s">
        <v>37</v>
      </c>
      <c r="J33" t="s">
        <v>18</v>
      </c>
      <c r="K33" t="str">
        <f t="shared" si="1"/>
        <v>ENERO</v>
      </c>
      <c r="L33">
        <f t="shared" si="2"/>
        <v>2026</v>
      </c>
    </row>
    <row r="34" spans="1:14" hidden="1" x14ac:dyDescent="0.3">
      <c r="A34" s="4">
        <v>46034</v>
      </c>
      <c r="B34" s="3" t="s">
        <v>21</v>
      </c>
      <c r="C34" s="3" t="s">
        <v>21</v>
      </c>
      <c r="D34" t="s">
        <v>21</v>
      </c>
      <c r="E34">
        <v>1</v>
      </c>
      <c r="F34">
        <v>5</v>
      </c>
      <c r="G34">
        <f t="shared" si="0"/>
        <v>5</v>
      </c>
      <c r="H34" t="s">
        <v>38</v>
      </c>
      <c r="J34" t="s">
        <v>18</v>
      </c>
      <c r="K34" t="str">
        <f t="shared" si="1"/>
        <v>ENERO</v>
      </c>
      <c r="L34">
        <f t="shared" si="2"/>
        <v>2026</v>
      </c>
    </row>
    <row r="35" spans="1:14" hidden="1" x14ac:dyDescent="0.3">
      <c r="A35" s="4">
        <v>46035</v>
      </c>
      <c r="B35" s="3" t="s">
        <v>288</v>
      </c>
      <c r="C35" s="3" t="s">
        <v>234</v>
      </c>
      <c r="D35" t="s">
        <v>17</v>
      </c>
      <c r="E35">
        <v>1</v>
      </c>
      <c r="F35">
        <v>60</v>
      </c>
      <c r="G35">
        <f t="shared" si="0"/>
        <v>60</v>
      </c>
      <c r="H35" t="s">
        <v>37</v>
      </c>
      <c r="J35" t="s">
        <v>18</v>
      </c>
      <c r="K35" t="str">
        <f t="shared" si="1"/>
        <v>ENERO</v>
      </c>
      <c r="L35">
        <f t="shared" si="2"/>
        <v>2026</v>
      </c>
    </row>
    <row r="36" spans="1:14" hidden="1" x14ac:dyDescent="0.3">
      <c r="A36" s="4">
        <v>46035</v>
      </c>
      <c r="B36" s="3" t="s">
        <v>286</v>
      </c>
      <c r="C36" s="3" t="s">
        <v>287</v>
      </c>
      <c r="D36" t="s">
        <v>17</v>
      </c>
      <c r="E36">
        <v>1</v>
      </c>
      <c r="F36">
        <v>60</v>
      </c>
      <c r="G36">
        <f t="shared" ref="G36:G67" si="3">E36*F36</f>
        <v>60</v>
      </c>
      <c r="H36" t="s">
        <v>37</v>
      </c>
      <c r="J36" t="s">
        <v>18</v>
      </c>
      <c r="K36" t="str">
        <f t="shared" ref="K36:K67" si="4">UPPER(TEXT(A36,"MMMM"))</f>
        <v>ENERO</v>
      </c>
      <c r="L36">
        <f t="shared" ref="L36:L67" si="5">+YEAR(A36)</f>
        <v>2026</v>
      </c>
    </row>
    <row r="37" spans="1:14" hidden="1" x14ac:dyDescent="0.3">
      <c r="A37" s="4">
        <v>46035</v>
      </c>
      <c r="B37" s="3" t="s">
        <v>283</v>
      </c>
      <c r="C37" s="3" t="s">
        <v>284</v>
      </c>
      <c r="D37" t="s">
        <v>17</v>
      </c>
      <c r="E37">
        <v>1</v>
      </c>
      <c r="F37">
        <v>100</v>
      </c>
      <c r="G37">
        <f t="shared" si="3"/>
        <v>100</v>
      </c>
      <c r="H37" t="s">
        <v>37</v>
      </c>
      <c r="J37" t="s">
        <v>18</v>
      </c>
      <c r="K37" t="str">
        <f t="shared" si="4"/>
        <v>ENERO</v>
      </c>
      <c r="L37">
        <f t="shared" si="5"/>
        <v>2026</v>
      </c>
    </row>
    <row r="38" spans="1:14" hidden="1" x14ac:dyDescent="0.3">
      <c r="A38" s="4">
        <v>46035</v>
      </c>
      <c r="B38" s="3" t="s">
        <v>289</v>
      </c>
      <c r="C38" s="3" t="s">
        <v>290</v>
      </c>
      <c r="D38" t="s">
        <v>17</v>
      </c>
      <c r="E38">
        <v>1</v>
      </c>
      <c r="F38">
        <v>70</v>
      </c>
      <c r="G38">
        <f t="shared" si="3"/>
        <v>70</v>
      </c>
      <c r="H38" t="s">
        <v>37</v>
      </c>
      <c r="J38" t="s">
        <v>18</v>
      </c>
      <c r="K38" t="str">
        <f t="shared" si="4"/>
        <v>ENERO</v>
      </c>
      <c r="L38">
        <f t="shared" si="5"/>
        <v>2026</v>
      </c>
    </row>
    <row r="39" spans="1:14" hidden="1" x14ac:dyDescent="0.3">
      <c r="A39" s="4">
        <v>46035</v>
      </c>
      <c r="B39" s="3" t="s">
        <v>285</v>
      </c>
      <c r="C39" s="3" t="s">
        <v>285</v>
      </c>
      <c r="D39" t="s">
        <v>70</v>
      </c>
      <c r="E39">
        <v>1</v>
      </c>
      <c r="F39">
        <v>1</v>
      </c>
      <c r="G39">
        <f t="shared" si="3"/>
        <v>1</v>
      </c>
      <c r="H39" t="s">
        <v>38</v>
      </c>
      <c r="J39" t="s">
        <v>18</v>
      </c>
      <c r="K39" t="str">
        <f t="shared" si="4"/>
        <v>ENERO</v>
      </c>
      <c r="L39">
        <f t="shared" si="5"/>
        <v>2026</v>
      </c>
    </row>
    <row r="40" spans="1:14" hidden="1" x14ac:dyDescent="0.3">
      <c r="A40" s="48">
        <v>46036</v>
      </c>
      <c r="B40" s="49" t="s">
        <v>70</v>
      </c>
      <c r="C40" s="49" t="s">
        <v>70</v>
      </c>
      <c r="D40" s="50" t="s">
        <v>70</v>
      </c>
      <c r="E40" s="50">
        <v>1</v>
      </c>
      <c r="F40" s="50">
        <v>8.5</v>
      </c>
      <c r="G40" s="50">
        <f t="shared" si="3"/>
        <v>8.5</v>
      </c>
      <c r="H40" s="50" t="s">
        <v>38</v>
      </c>
      <c r="I40" s="50" t="s">
        <v>70</v>
      </c>
      <c r="J40" s="50" t="s">
        <v>18</v>
      </c>
      <c r="K40" s="50" t="str">
        <f t="shared" si="4"/>
        <v>ENERO</v>
      </c>
      <c r="L40" s="50">
        <f t="shared" si="5"/>
        <v>2026</v>
      </c>
      <c r="M40" s="50"/>
      <c r="N40" s="50"/>
    </row>
    <row r="41" spans="1:14" hidden="1" x14ac:dyDescent="0.3">
      <c r="A41" s="4">
        <v>46036</v>
      </c>
      <c r="B41" s="3" t="s">
        <v>288</v>
      </c>
      <c r="C41" s="3" t="s">
        <v>234</v>
      </c>
      <c r="D41" t="s">
        <v>17</v>
      </c>
      <c r="E41">
        <v>1</v>
      </c>
      <c r="F41">
        <v>70</v>
      </c>
      <c r="G41">
        <f t="shared" si="3"/>
        <v>70</v>
      </c>
      <c r="H41" t="s">
        <v>38</v>
      </c>
      <c r="I41" t="s">
        <v>172</v>
      </c>
      <c r="J41" t="s">
        <v>18</v>
      </c>
      <c r="K41" t="str">
        <f t="shared" si="4"/>
        <v>ENERO</v>
      </c>
      <c r="L41">
        <f t="shared" si="5"/>
        <v>2026</v>
      </c>
    </row>
    <row r="42" spans="1:14" hidden="1" x14ac:dyDescent="0.3">
      <c r="A42" s="4">
        <v>46036</v>
      </c>
      <c r="B42" s="3" t="s">
        <v>291</v>
      </c>
      <c r="C42" t="s">
        <v>292</v>
      </c>
      <c r="D42" t="s">
        <v>17</v>
      </c>
      <c r="E42">
        <v>1</v>
      </c>
      <c r="F42">
        <v>60</v>
      </c>
      <c r="G42">
        <f t="shared" si="3"/>
        <v>60</v>
      </c>
      <c r="H42" t="s">
        <v>37</v>
      </c>
      <c r="J42" t="s">
        <v>18</v>
      </c>
      <c r="K42" t="str">
        <f t="shared" si="4"/>
        <v>ENERO</v>
      </c>
      <c r="L42">
        <f t="shared" si="5"/>
        <v>2026</v>
      </c>
    </row>
    <row r="43" spans="1:14" hidden="1" x14ac:dyDescent="0.3">
      <c r="A43" s="4">
        <v>46036</v>
      </c>
      <c r="B43" s="3" t="s">
        <v>283</v>
      </c>
      <c r="C43" t="s">
        <v>284</v>
      </c>
      <c r="D43" t="s">
        <v>17</v>
      </c>
      <c r="E43">
        <v>1</v>
      </c>
      <c r="F43">
        <v>90</v>
      </c>
      <c r="G43">
        <f t="shared" si="3"/>
        <v>90</v>
      </c>
      <c r="H43" t="s">
        <v>38</v>
      </c>
      <c r="J43" t="s">
        <v>18</v>
      </c>
      <c r="K43" t="str">
        <f t="shared" si="4"/>
        <v>ENERO</v>
      </c>
      <c r="L43">
        <f t="shared" si="5"/>
        <v>2026</v>
      </c>
    </row>
    <row r="44" spans="1:14" hidden="1" x14ac:dyDescent="0.3">
      <c r="A44" s="4">
        <v>46036</v>
      </c>
      <c r="B44" s="3" t="s">
        <v>266</v>
      </c>
      <c r="C44" t="s">
        <v>280</v>
      </c>
      <c r="D44" t="s">
        <v>17</v>
      </c>
      <c r="E44">
        <v>1</v>
      </c>
      <c r="F44">
        <v>120</v>
      </c>
      <c r="G44">
        <f t="shared" si="3"/>
        <v>120</v>
      </c>
      <c r="H44" t="s">
        <v>38</v>
      </c>
      <c r="J44" t="s">
        <v>18</v>
      </c>
      <c r="K44" t="str">
        <f t="shared" si="4"/>
        <v>ENERO</v>
      </c>
      <c r="L44">
        <f t="shared" si="5"/>
        <v>2026</v>
      </c>
    </row>
    <row r="45" spans="1:14" hidden="1" x14ac:dyDescent="0.3">
      <c r="A45" s="4">
        <v>46036</v>
      </c>
      <c r="B45" s="3" t="s">
        <v>281</v>
      </c>
      <c r="C45" t="s">
        <v>282</v>
      </c>
      <c r="D45" t="s">
        <v>17</v>
      </c>
      <c r="E45">
        <v>1</v>
      </c>
      <c r="F45">
        <v>15</v>
      </c>
      <c r="G45">
        <f t="shared" si="3"/>
        <v>15</v>
      </c>
      <c r="H45" t="s">
        <v>38</v>
      </c>
      <c r="J45" t="s">
        <v>18</v>
      </c>
      <c r="K45" t="str">
        <f t="shared" si="4"/>
        <v>ENERO</v>
      </c>
      <c r="L45">
        <f t="shared" si="5"/>
        <v>2026</v>
      </c>
    </row>
    <row r="46" spans="1:14" hidden="1" x14ac:dyDescent="0.3">
      <c r="A46" s="48">
        <v>46036</v>
      </c>
      <c r="B46" s="49" t="s">
        <v>222</v>
      </c>
      <c r="C46" s="49" t="s">
        <v>223</v>
      </c>
      <c r="D46" s="50" t="s">
        <v>17</v>
      </c>
      <c r="E46" s="50">
        <v>1</v>
      </c>
      <c r="F46" s="50">
        <v>125</v>
      </c>
      <c r="G46">
        <f t="shared" si="3"/>
        <v>125</v>
      </c>
      <c r="H46" s="50" t="s">
        <v>38</v>
      </c>
      <c r="I46" s="50"/>
      <c r="J46" s="50" t="s">
        <v>18</v>
      </c>
      <c r="K46" s="50" t="str">
        <f t="shared" si="4"/>
        <v>ENERO</v>
      </c>
      <c r="L46" s="50">
        <f t="shared" si="5"/>
        <v>2026</v>
      </c>
      <c r="M46" s="50"/>
    </row>
    <row r="47" spans="1:14" hidden="1" x14ac:dyDescent="0.3">
      <c r="A47" s="48">
        <v>46036</v>
      </c>
      <c r="B47" s="49" t="s">
        <v>276</v>
      </c>
      <c r="C47" s="49" t="s">
        <v>277</v>
      </c>
      <c r="D47" s="50" t="s">
        <v>17</v>
      </c>
      <c r="E47" s="50">
        <v>1</v>
      </c>
      <c r="F47" s="50">
        <v>40</v>
      </c>
      <c r="G47">
        <f t="shared" si="3"/>
        <v>40</v>
      </c>
      <c r="H47" s="50" t="s">
        <v>38</v>
      </c>
      <c r="I47" s="50"/>
      <c r="J47" s="50" t="s">
        <v>18</v>
      </c>
      <c r="K47" s="50" t="str">
        <f t="shared" si="4"/>
        <v>ENERO</v>
      </c>
      <c r="L47" s="50">
        <f t="shared" si="5"/>
        <v>2026</v>
      </c>
      <c r="M47" s="50"/>
      <c r="N47" s="50"/>
    </row>
    <row r="48" spans="1:14" hidden="1" x14ac:dyDescent="0.3">
      <c r="A48" s="48">
        <v>46037</v>
      </c>
      <c r="B48" s="49" t="s">
        <v>70</v>
      </c>
      <c r="C48" s="49" t="s">
        <v>70</v>
      </c>
      <c r="D48" s="50" t="s">
        <v>70</v>
      </c>
      <c r="E48" s="50">
        <v>1</v>
      </c>
      <c r="F48" s="50">
        <v>12</v>
      </c>
      <c r="G48">
        <f t="shared" si="3"/>
        <v>12</v>
      </c>
      <c r="H48" s="50" t="s">
        <v>38</v>
      </c>
      <c r="I48" s="50" t="s">
        <v>158</v>
      </c>
      <c r="J48" s="50" t="s">
        <v>18</v>
      </c>
      <c r="K48" s="50" t="str">
        <f t="shared" si="4"/>
        <v>ENERO</v>
      </c>
      <c r="L48" s="50">
        <f t="shared" si="5"/>
        <v>2026</v>
      </c>
      <c r="M48" s="50"/>
      <c r="N48" s="50"/>
    </row>
    <row r="49" spans="1:14" hidden="1" x14ac:dyDescent="0.3">
      <c r="A49" s="48">
        <v>46037</v>
      </c>
      <c r="B49" s="49" t="s">
        <v>168</v>
      </c>
      <c r="C49" s="49" t="s">
        <v>295</v>
      </c>
      <c r="D49" s="50" t="s">
        <v>17</v>
      </c>
      <c r="E49" s="50">
        <v>1</v>
      </c>
      <c r="F49" s="50">
        <v>40</v>
      </c>
      <c r="G49">
        <f t="shared" si="3"/>
        <v>40</v>
      </c>
      <c r="H49" s="50" t="s">
        <v>37</v>
      </c>
      <c r="I49" s="50"/>
      <c r="J49" s="50" t="s">
        <v>18</v>
      </c>
      <c r="K49" s="50" t="str">
        <f t="shared" si="4"/>
        <v>ENERO</v>
      </c>
      <c r="L49" s="50">
        <f t="shared" si="5"/>
        <v>2026</v>
      </c>
      <c r="M49" s="50"/>
      <c r="N49" s="50"/>
    </row>
    <row r="50" spans="1:14" hidden="1" x14ac:dyDescent="0.3">
      <c r="A50" s="48">
        <v>46037</v>
      </c>
      <c r="B50" s="49" t="s">
        <v>293</v>
      </c>
      <c r="C50" s="50" t="s">
        <v>294</v>
      </c>
      <c r="D50" s="50" t="s">
        <v>17</v>
      </c>
      <c r="E50" s="50">
        <v>1</v>
      </c>
      <c r="F50" s="50">
        <v>40</v>
      </c>
      <c r="G50">
        <f t="shared" si="3"/>
        <v>40</v>
      </c>
      <c r="H50" s="50" t="s">
        <v>37</v>
      </c>
      <c r="I50" s="50"/>
      <c r="J50" s="50" t="s">
        <v>18</v>
      </c>
      <c r="K50" s="50" t="str">
        <f t="shared" si="4"/>
        <v>ENERO</v>
      </c>
      <c r="L50" s="50">
        <f t="shared" si="5"/>
        <v>2026</v>
      </c>
      <c r="M50" s="50"/>
      <c r="N50" s="50"/>
    </row>
    <row r="51" spans="1:14" hidden="1" x14ac:dyDescent="0.3">
      <c r="A51" s="75">
        <v>46037</v>
      </c>
      <c r="B51" s="49" t="s">
        <v>455</v>
      </c>
      <c r="C51" s="50" t="s">
        <v>275</v>
      </c>
      <c r="D51" s="50" t="s">
        <v>17</v>
      </c>
      <c r="E51" s="50">
        <v>1</v>
      </c>
      <c r="F51" s="50">
        <v>190</v>
      </c>
      <c r="G51" s="50">
        <f t="shared" si="3"/>
        <v>190</v>
      </c>
      <c r="H51" s="50" t="s">
        <v>38</v>
      </c>
      <c r="I51" s="50"/>
      <c r="J51" s="50" t="s">
        <v>456</v>
      </c>
      <c r="K51" s="50" t="str">
        <f t="shared" si="4"/>
        <v>ENERO</v>
      </c>
      <c r="L51" s="50">
        <f t="shared" si="5"/>
        <v>2026</v>
      </c>
      <c r="M51" s="50"/>
      <c r="N51" s="50"/>
    </row>
    <row r="52" spans="1:14" hidden="1" x14ac:dyDescent="0.3">
      <c r="A52" s="48">
        <v>46037</v>
      </c>
      <c r="B52" s="49" t="s">
        <v>296</v>
      </c>
      <c r="C52" s="50" t="s">
        <v>398</v>
      </c>
      <c r="D52" s="50" t="s">
        <v>17</v>
      </c>
      <c r="E52" s="50">
        <v>1</v>
      </c>
      <c r="F52" s="50">
        <v>40</v>
      </c>
      <c r="G52" s="50">
        <f t="shared" si="3"/>
        <v>40</v>
      </c>
      <c r="H52" s="50" t="s">
        <v>37</v>
      </c>
      <c r="I52" s="50"/>
      <c r="J52" s="50" t="s">
        <v>18</v>
      </c>
      <c r="K52" s="50" t="str">
        <f t="shared" si="4"/>
        <v>ENERO</v>
      </c>
      <c r="L52" s="50">
        <f t="shared" si="5"/>
        <v>2026</v>
      </c>
      <c r="M52" s="50"/>
      <c r="N52" s="50"/>
    </row>
    <row r="53" spans="1:14" hidden="1" x14ac:dyDescent="0.3">
      <c r="A53" s="26">
        <v>46041</v>
      </c>
      <c r="B53" s="27" t="s">
        <v>70</v>
      </c>
      <c r="C53" s="17" t="s">
        <v>70</v>
      </c>
      <c r="D53" s="17" t="s">
        <v>70</v>
      </c>
      <c r="E53" s="17">
        <v>1</v>
      </c>
      <c r="F53" s="17">
        <v>2</v>
      </c>
      <c r="G53" s="50">
        <f t="shared" si="3"/>
        <v>2</v>
      </c>
      <c r="H53" s="17" t="s">
        <v>38</v>
      </c>
      <c r="I53" s="17" t="s">
        <v>297</v>
      </c>
      <c r="J53" s="17" t="s">
        <v>18</v>
      </c>
      <c r="K53" s="17" t="str">
        <f t="shared" si="4"/>
        <v>ENERO</v>
      </c>
      <c r="L53" s="17">
        <f t="shared" si="5"/>
        <v>2026</v>
      </c>
      <c r="M53" s="17"/>
      <c r="N53" s="50"/>
    </row>
    <row r="54" spans="1:14" hidden="1" x14ac:dyDescent="0.3">
      <c r="A54" s="45">
        <v>46041</v>
      </c>
      <c r="B54" s="52" t="s">
        <v>298</v>
      </c>
      <c r="C54" s="53" t="s">
        <v>299</v>
      </c>
      <c r="D54" s="46" t="s">
        <v>17</v>
      </c>
      <c r="E54" s="46">
        <v>1</v>
      </c>
      <c r="F54" s="46">
        <v>40</v>
      </c>
      <c r="G54">
        <f t="shared" si="3"/>
        <v>40</v>
      </c>
      <c r="H54" s="46" t="s">
        <v>37</v>
      </c>
      <c r="I54" s="46" t="s">
        <v>279</v>
      </c>
      <c r="J54" s="46" t="s">
        <v>18</v>
      </c>
      <c r="K54" s="46" t="str">
        <f t="shared" si="4"/>
        <v>ENERO</v>
      </c>
      <c r="L54" s="46">
        <f t="shared" si="5"/>
        <v>2026</v>
      </c>
      <c r="M54" s="46"/>
      <c r="N54" s="46"/>
    </row>
    <row r="55" spans="1:14" hidden="1" x14ac:dyDescent="0.3">
      <c r="A55" s="26">
        <v>46041</v>
      </c>
      <c r="B55" s="27" t="s">
        <v>289</v>
      </c>
      <c r="C55" s="17" t="s">
        <v>290</v>
      </c>
      <c r="D55" s="17" t="s">
        <v>17</v>
      </c>
      <c r="E55" s="17">
        <v>1</v>
      </c>
      <c r="F55" s="17">
        <v>200</v>
      </c>
      <c r="G55" s="50">
        <f t="shared" si="3"/>
        <v>200</v>
      </c>
      <c r="H55" s="17" t="s">
        <v>38</v>
      </c>
      <c r="I55" s="17"/>
      <c r="J55" s="17" t="s">
        <v>18</v>
      </c>
      <c r="K55" s="17" t="str">
        <f t="shared" si="4"/>
        <v>ENERO</v>
      </c>
      <c r="L55" s="17">
        <f t="shared" si="5"/>
        <v>2026</v>
      </c>
      <c r="M55" s="17"/>
      <c r="N55" s="17"/>
    </row>
    <row r="56" spans="1:14" hidden="1" x14ac:dyDescent="0.3">
      <c r="A56" s="24">
        <v>46041</v>
      </c>
      <c r="B56" s="25" t="s">
        <v>415</v>
      </c>
      <c r="C56" s="19" t="s">
        <v>287</v>
      </c>
      <c r="D56" s="19" t="s">
        <v>17</v>
      </c>
      <c r="E56" s="19">
        <v>1</v>
      </c>
      <c r="F56" s="19">
        <v>115</v>
      </c>
      <c r="G56" s="50">
        <f t="shared" si="3"/>
        <v>115</v>
      </c>
      <c r="H56" s="19" t="s">
        <v>38</v>
      </c>
      <c r="I56" s="19"/>
      <c r="J56" s="19" t="s">
        <v>18</v>
      </c>
      <c r="K56" s="19" t="str">
        <f t="shared" si="4"/>
        <v>ENERO</v>
      </c>
      <c r="L56" s="19">
        <f t="shared" si="5"/>
        <v>2026</v>
      </c>
      <c r="M56" s="19"/>
      <c r="N56" s="19"/>
    </row>
    <row r="57" spans="1:14" hidden="1" x14ac:dyDescent="0.3">
      <c r="A57" s="48">
        <v>46042</v>
      </c>
      <c r="B57" s="49" t="s">
        <v>291</v>
      </c>
      <c r="C57" s="19" t="s">
        <v>292</v>
      </c>
      <c r="D57" s="50" t="s">
        <v>17</v>
      </c>
      <c r="E57" s="50">
        <v>1</v>
      </c>
      <c r="F57" s="50">
        <v>200</v>
      </c>
      <c r="G57" s="50">
        <f t="shared" si="3"/>
        <v>200</v>
      </c>
      <c r="H57" s="50" t="s">
        <v>38</v>
      </c>
      <c r="I57" s="50"/>
      <c r="J57" s="50" t="s">
        <v>18</v>
      </c>
      <c r="K57" s="50" t="str">
        <f t="shared" si="4"/>
        <v>ENERO</v>
      </c>
      <c r="L57" s="50">
        <f t="shared" si="5"/>
        <v>2026</v>
      </c>
      <c r="M57" s="19"/>
      <c r="N57" s="19"/>
    </row>
    <row r="58" spans="1:14" hidden="1" x14ac:dyDescent="0.3">
      <c r="A58" s="48">
        <v>46043</v>
      </c>
      <c r="B58" s="49" t="s">
        <v>70</v>
      </c>
      <c r="C58" s="50" t="s">
        <v>70</v>
      </c>
      <c r="D58" s="50" t="s">
        <v>70</v>
      </c>
      <c r="E58" s="50">
        <v>1</v>
      </c>
      <c r="F58" s="50">
        <v>0.5</v>
      </c>
      <c r="G58" s="50">
        <f t="shared" si="3"/>
        <v>0.5</v>
      </c>
      <c r="H58" s="50" t="s">
        <v>38</v>
      </c>
      <c r="I58" s="50"/>
      <c r="J58" s="50" t="s">
        <v>18</v>
      </c>
      <c r="K58" s="50" t="str">
        <f t="shared" si="4"/>
        <v>ENERO</v>
      </c>
      <c r="L58" s="50">
        <f t="shared" si="5"/>
        <v>2026</v>
      </c>
      <c r="M58" s="50"/>
      <c r="N58" s="50"/>
    </row>
    <row r="59" spans="1:14" ht="15" hidden="1" customHeight="1" x14ac:dyDescent="0.3">
      <c r="A59" s="4">
        <v>46043</v>
      </c>
      <c r="B59" s="3" t="s">
        <v>326</v>
      </c>
      <c r="C59" t="s">
        <v>327</v>
      </c>
      <c r="D59" t="s">
        <v>17</v>
      </c>
      <c r="E59">
        <v>1</v>
      </c>
      <c r="F59">
        <v>60</v>
      </c>
      <c r="G59">
        <f t="shared" si="3"/>
        <v>60</v>
      </c>
      <c r="H59" t="s">
        <v>37</v>
      </c>
      <c r="J59" t="s">
        <v>18</v>
      </c>
      <c r="K59" t="str">
        <f t="shared" si="4"/>
        <v>ENERO</v>
      </c>
      <c r="L59">
        <f t="shared" si="5"/>
        <v>2026</v>
      </c>
    </row>
    <row r="60" spans="1:14" hidden="1" x14ac:dyDescent="0.3">
      <c r="A60" s="45">
        <v>46043</v>
      </c>
      <c r="B60" s="52" t="s">
        <v>168</v>
      </c>
      <c r="C60" s="46" t="s">
        <v>295</v>
      </c>
      <c r="D60" s="46" t="s">
        <v>17</v>
      </c>
      <c r="E60" s="46">
        <v>1</v>
      </c>
      <c r="F60" s="46">
        <v>125</v>
      </c>
      <c r="G60">
        <f t="shared" si="3"/>
        <v>125</v>
      </c>
      <c r="H60" s="46" t="s">
        <v>38</v>
      </c>
      <c r="I60" s="46"/>
      <c r="J60" s="46" t="s">
        <v>18</v>
      </c>
      <c r="K60" t="str">
        <f t="shared" si="4"/>
        <v>ENERO</v>
      </c>
      <c r="L60">
        <f t="shared" si="5"/>
        <v>2026</v>
      </c>
      <c r="M60" s="46"/>
      <c r="N60" s="46"/>
    </row>
    <row r="61" spans="1:14" hidden="1" x14ac:dyDescent="0.3">
      <c r="A61" s="4">
        <v>46043</v>
      </c>
      <c r="B61" s="3" t="s">
        <v>293</v>
      </c>
      <c r="C61" t="s">
        <v>294</v>
      </c>
      <c r="D61" t="s">
        <v>17</v>
      </c>
      <c r="E61">
        <v>1</v>
      </c>
      <c r="F61">
        <v>270</v>
      </c>
      <c r="G61">
        <f t="shared" si="3"/>
        <v>270</v>
      </c>
      <c r="H61" t="s">
        <v>38</v>
      </c>
      <c r="J61" t="s">
        <v>18</v>
      </c>
      <c r="K61" t="str">
        <f t="shared" si="4"/>
        <v>ENERO</v>
      </c>
      <c r="L61">
        <f t="shared" si="5"/>
        <v>2026</v>
      </c>
    </row>
    <row r="62" spans="1:14" hidden="1" x14ac:dyDescent="0.3">
      <c r="A62" s="4">
        <v>46043</v>
      </c>
      <c r="B62" s="3" t="s">
        <v>324</v>
      </c>
      <c r="C62" t="s">
        <v>325</v>
      </c>
      <c r="D62" t="s">
        <v>17</v>
      </c>
      <c r="E62">
        <v>1</v>
      </c>
      <c r="F62">
        <v>40</v>
      </c>
      <c r="G62">
        <f t="shared" si="3"/>
        <v>40</v>
      </c>
      <c r="H62" t="s">
        <v>37</v>
      </c>
      <c r="J62" t="s">
        <v>18</v>
      </c>
      <c r="K62" t="str">
        <f t="shared" si="4"/>
        <v>ENERO</v>
      </c>
      <c r="L62">
        <f t="shared" si="5"/>
        <v>2026</v>
      </c>
    </row>
    <row r="63" spans="1:14" hidden="1" x14ac:dyDescent="0.3">
      <c r="A63" s="4">
        <v>46043</v>
      </c>
      <c r="B63" s="3" t="s">
        <v>328</v>
      </c>
      <c r="C63" t="s">
        <v>329</v>
      </c>
      <c r="D63" t="s">
        <v>70</v>
      </c>
      <c r="E63">
        <v>1</v>
      </c>
      <c r="F63">
        <v>7</v>
      </c>
      <c r="G63">
        <f t="shared" si="3"/>
        <v>7</v>
      </c>
      <c r="H63" t="s">
        <v>38</v>
      </c>
      <c r="I63" t="s">
        <v>328</v>
      </c>
      <c r="J63" t="s">
        <v>18</v>
      </c>
      <c r="K63" t="str">
        <f t="shared" si="4"/>
        <v>ENERO</v>
      </c>
      <c r="L63">
        <f t="shared" si="5"/>
        <v>2026</v>
      </c>
    </row>
    <row r="64" spans="1:14" hidden="1" x14ac:dyDescent="0.3">
      <c r="A64" s="4">
        <v>46044</v>
      </c>
      <c r="B64" s="3" t="s">
        <v>70</v>
      </c>
      <c r="C64" t="s">
        <v>70</v>
      </c>
      <c r="D64" t="s">
        <v>70</v>
      </c>
      <c r="E64">
        <v>1</v>
      </c>
      <c r="F64">
        <v>4</v>
      </c>
      <c r="G64">
        <f t="shared" si="3"/>
        <v>4</v>
      </c>
      <c r="H64" t="s">
        <v>38</v>
      </c>
      <c r="I64" t="s">
        <v>331</v>
      </c>
      <c r="J64" t="s">
        <v>18</v>
      </c>
      <c r="K64" t="str">
        <f t="shared" si="4"/>
        <v>ENERO</v>
      </c>
      <c r="L64">
        <f t="shared" si="5"/>
        <v>2026</v>
      </c>
    </row>
    <row r="65" spans="1:14" hidden="1" x14ac:dyDescent="0.3">
      <c r="A65" s="4">
        <v>46044</v>
      </c>
      <c r="B65" s="3" t="s">
        <v>330</v>
      </c>
      <c r="C65" t="s">
        <v>327</v>
      </c>
      <c r="D65" t="s">
        <v>17</v>
      </c>
      <c r="E65">
        <v>1</v>
      </c>
      <c r="F65">
        <v>50</v>
      </c>
      <c r="G65">
        <f t="shared" si="3"/>
        <v>50</v>
      </c>
      <c r="H65" t="s">
        <v>38</v>
      </c>
      <c r="J65" t="s">
        <v>18</v>
      </c>
      <c r="K65" t="str">
        <f t="shared" si="4"/>
        <v>ENERO</v>
      </c>
      <c r="L65">
        <f t="shared" si="5"/>
        <v>2026</v>
      </c>
    </row>
    <row r="66" spans="1:14" hidden="1" x14ac:dyDescent="0.3">
      <c r="A66" s="4">
        <v>46044</v>
      </c>
      <c r="B66" s="3" t="s">
        <v>254</v>
      </c>
      <c r="C66" t="s">
        <v>325</v>
      </c>
      <c r="D66" t="s">
        <v>17</v>
      </c>
      <c r="E66">
        <v>1</v>
      </c>
      <c r="F66">
        <v>90</v>
      </c>
      <c r="G66">
        <f t="shared" si="3"/>
        <v>90</v>
      </c>
      <c r="H66" t="s">
        <v>38</v>
      </c>
      <c r="J66" t="s">
        <v>18</v>
      </c>
      <c r="K66" t="str">
        <f t="shared" si="4"/>
        <v>ENERO</v>
      </c>
      <c r="L66">
        <f t="shared" si="5"/>
        <v>2026</v>
      </c>
    </row>
    <row r="67" spans="1:14" hidden="1" x14ac:dyDescent="0.3">
      <c r="A67" s="60">
        <v>46045</v>
      </c>
      <c r="B67" s="61" t="s">
        <v>438</v>
      </c>
      <c r="C67" s="47" t="s">
        <v>223</v>
      </c>
      <c r="D67" s="47" t="s">
        <v>17</v>
      </c>
      <c r="E67" s="47">
        <v>1</v>
      </c>
      <c r="F67" s="47">
        <v>50</v>
      </c>
      <c r="G67">
        <f t="shared" si="3"/>
        <v>50</v>
      </c>
      <c r="H67" s="47" t="s">
        <v>37</v>
      </c>
      <c r="I67" s="47"/>
      <c r="J67" s="47" t="s">
        <v>83</v>
      </c>
      <c r="K67" t="str">
        <f t="shared" si="4"/>
        <v>ENERO</v>
      </c>
      <c r="L67">
        <f t="shared" si="5"/>
        <v>2026</v>
      </c>
      <c r="M67" s="47"/>
      <c r="N67" s="47"/>
    </row>
    <row r="68" spans="1:14" hidden="1" x14ac:dyDescent="0.3">
      <c r="A68" s="4">
        <v>46045</v>
      </c>
      <c r="B68" s="3" t="s">
        <v>399</v>
      </c>
      <c r="C68" t="s">
        <v>199</v>
      </c>
      <c r="D68" t="s">
        <v>17</v>
      </c>
      <c r="E68">
        <v>1</v>
      </c>
      <c r="F68">
        <v>50</v>
      </c>
      <c r="G68">
        <f t="shared" ref="G68:G83" si="6">E68*F68</f>
        <v>50</v>
      </c>
      <c r="H68" t="s">
        <v>37</v>
      </c>
      <c r="J68" t="s">
        <v>18</v>
      </c>
      <c r="K68" t="str">
        <f t="shared" ref="K68:K76" si="7">UPPER(TEXT(A68,"MMMM"))</f>
        <v>ENERO</v>
      </c>
      <c r="L68">
        <f t="shared" ref="L68:L76" si="8">+YEAR(A68)</f>
        <v>2026</v>
      </c>
    </row>
    <row r="69" spans="1:14" hidden="1" x14ac:dyDescent="0.3">
      <c r="A69" s="4">
        <v>46045</v>
      </c>
      <c r="B69" s="3" t="s">
        <v>244</v>
      </c>
      <c r="C69" t="s">
        <v>333</v>
      </c>
      <c r="D69" t="s">
        <v>17</v>
      </c>
      <c r="E69">
        <v>1</v>
      </c>
      <c r="F69">
        <v>50</v>
      </c>
      <c r="G69">
        <f t="shared" si="6"/>
        <v>50</v>
      </c>
      <c r="H69" t="s">
        <v>37</v>
      </c>
      <c r="J69" t="s">
        <v>18</v>
      </c>
      <c r="K69" t="str">
        <f t="shared" si="7"/>
        <v>ENERO</v>
      </c>
      <c r="L69">
        <f t="shared" si="8"/>
        <v>2026</v>
      </c>
    </row>
    <row r="70" spans="1:14" hidden="1" x14ac:dyDescent="0.3">
      <c r="A70" s="4">
        <v>46046</v>
      </c>
      <c r="B70" s="3" t="s">
        <v>334</v>
      </c>
      <c r="C70" t="s">
        <v>263</v>
      </c>
      <c r="D70" t="s">
        <v>17</v>
      </c>
      <c r="E70">
        <v>1</v>
      </c>
      <c r="F70">
        <v>40</v>
      </c>
      <c r="G70">
        <f t="shared" si="6"/>
        <v>40</v>
      </c>
      <c r="H70" t="s">
        <v>37</v>
      </c>
      <c r="I70" t="s">
        <v>335</v>
      </c>
      <c r="J70" t="s">
        <v>18</v>
      </c>
      <c r="K70" t="str">
        <f t="shared" si="7"/>
        <v>ENERO</v>
      </c>
      <c r="L70">
        <f t="shared" si="8"/>
        <v>2026</v>
      </c>
      <c r="M70" t="s">
        <v>336</v>
      </c>
    </row>
    <row r="71" spans="1:14" hidden="1" x14ac:dyDescent="0.3">
      <c r="A71" s="4">
        <v>46049</v>
      </c>
      <c r="B71" s="3" t="s">
        <v>343</v>
      </c>
      <c r="C71" t="s">
        <v>344</v>
      </c>
      <c r="D71" t="s">
        <v>21</v>
      </c>
      <c r="E71">
        <v>1</v>
      </c>
      <c r="F71">
        <v>5</v>
      </c>
      <c r="G71">
        <f t="shared" si="6"/>
        <v>5</v>
      </c>
      <c r="H71" t="s">
        <v>38</v>
      </c>
      <c r="J71" t="s">
        <v>18</v>
      </c>
      <c r="K71" t="str">
        <f t="shared" si="7"/>
        <v>ENERO</v>
      </c>
      <c r="L71">
        <f t="shared" si="8"/>
        <v>2026</v>
      </c>
    </row>
    <row r="72" spans="1:14" hidden="1" x14ac:dyDescent="0.3">
      <c r="A72" s="4">
        <v>46049</v>
      </c>
      <c r="B72" s="3" t="s">
        <v>342</v>
      </c>
      <c r="C72" t="s">
        <v>129</v>
      </c>
      <c r="D72" t="s">
        <v>21</v>
      </c>
      <c r="E72">
        <v>1</v>
      </c>
      <c r="F72">
        <v>5</v>
      </c>
      <c r="G72">
        <f t="shared" si="6"/>
        <v>5</v>
      </c>
      <c r="H72" t="s">
        <v>38</v>
      </c>
      <c r="J72" t="s">
        <v>18</v>
      </c>
      <c r="K72" t="str">
        <f t="shared" si="7"/>
        <v>ENERO</v>
      </c>
      <c r="L72">
        <f t="shared" si="8"/>
        <v>2026</v>
      </c>
    </row>
    <row r="73" spans="1:14" hidden="1" x14ac:dyDescent="0.3">
      <c r="A73" s="4">
        <v>46049</v>
      </c>
      <c r="B73" s="3" t="s">
        <v>46</v>
      </c>
      <c r="C73" t="s">
        <v>339</v>
      </c>
      <c r="D73" t="s">
        <v>17</v>
      </c>
      <c r="E73">
        <v>1</v>
      </c>
      <c r="F73">
        <v>45</v>
      </c>
      <c r="G73">
        <f t="shared" si="6"/>
        <v>45</v>
      </c>
      <c r="H73" t="s">
        <v>38</v>
      </c>
      <c r="J73" t="s">
        <v>18</v>
      </c>
      <c r="K73" t="str">
        <f t="shared" si="7"/>
        <v>ENERO</v>
      </c>
      <c r="L73">
        <f t="shared" si="8"/>
        <v>2026</v>
      </c>
    </row>
    <row r="74" spans="1:14" hidden="1" x14ac:dyDescent="0.3">
      <c r="A74" s="4">
        <v>46050</v>
      </c>
      <c r="B74" s="3" t="s">
        <v>347</v>
      </c>
      <c r="C74" t="s">
        <v>348</v>
      </c>
      <c r="D74" t="s">
        <v>21</v>
      </c>
      <c r="E74">
        <v>1</v>
      </c>
      <c r="F74">
        <v>5</v>
      </c>
      <c r="G74">
        <f t="shared" si="6"/>
        <v>5</v>
      </c>
      <c r="H74" t="s">
        <v>38</v>
      </c>
      <c r="J74" t="s">
        <v>18</v>
      </c>
      <c r="K74" t="str">
        <f t="shared" si="7"/>
        <v>ENERO</v>
      </c>
      <c r="L74">
        <f t="shared" si="8"/>
        <v>2026</v>
      </c>
    </row>
    <row r="75" spans="1:14" hidden="1" x14ac:dyDescent="0.3">
      <c r="A75" s="4">
        <v>46050</v>
      </c>
      <c r="B75" s="3" t="s">
        <v>337</v>
      </c>
      <c r="C75" t="s">
        <v>338</v>
      </c>
      <c r="D75" t="s">
        <v>17</v>
      </c>
      <c r="E75">
        <v>1</v>
      </c>
      <c r="F75">
        <v>20</v>
      </c>
      <c r="G75">
        <f t="shared" si="6"/>
        <v>20</v>
      </c>
      <c r="H75" t="s">
        <v>38</v>
      </c>
      <c r="J75" t="s">
        <v>18</v>
      </c>
      <c r="K75" t="str">
        <f t="shared" si="7"/>
        <v>ENERO</v>
      </c>
      <c r="L75">
        <f t="shared" si="8"/>
        <v>2026</v>
      </c>
    </row>
    <row r="76" spans="1:14" hidden="1" x14ac:dyDescent="0.3">
      <c r="A76" s="4">
        <v>46050</v>
      </c>
      <c r="B76" s="3" t="s">
        <v>345</v>
      </c>
      <c r="C76" t="s">
        <v>346</v>
      </c>
      <c r="D76" t="s">
        <v>21</v>
      </c>
      <c r="E76">
        <v>1</v>
      </c>
      <c r="F76">
        <v>5</v>
      </c>
      <c r="G76">
        <f t="shared" si="6"/>
        <v>5</v>
      </c>
      <c r="H76" t="s">
        <v>38</v>
      </c>
      <c r="J76" t="s">
        <v>18</v>
      </c>
      <c r="K76" t="str">
        <f t="shared" si="7"/>
        <v>ENERO</v>
      </c>
      <c r="L76">
        <f t="shared" si="8"/>
        <v>2026</v>
      </c>
    </row>
    <row r="77" spans="1:14" hidden="1" x14ac:dyDescent="0.3">
      <c r="A77" s="72"/>
      <c r="B77" s="3" t="s">
        <v>337</v>
      </c>
      <c r="C77" t="s">
        <v>338</v>
      </c>
      <c r="D77" t="s">
        <v>17</v>
      </c>
      <c r="E77">
        <v>1</v>
      </c>
      <c r="F77">
        <v>40</v>
      </c>
      <c r="G77">
        <f t="shared" si="6"/>
        <v>40</v>
      </c>
      <c r="H77" t="s">
        <v>37</v>
      </c>
      <c r="J77" t="s">
        <v>18</v>
      </c>
      <c r="K77" t="str">
        <f>UPPER(TEXT(A127,"MMMM"))</f>
        <v>ENERO</v>
      </c>
      <c r="L77">
        <f>+YEAR(A127)</f>
        <v>1900</v>
      </c>
    </row>
    <row r="78" spans="1:14" hidden="1" x14ac:dyDescent="0.3">
      <c r="A78" s="4">
        <v>46050</v>
      </c>
      <c r="B78" s="3" t="s">
        <v>244</v>
      </c>
      <c r="C78" t="s">
        <v>333</v>
      </c>
      <c r="D78" t="s">
        <v>17</v>
      </c>
      <c r="E78">
        <v>1</v>
      </c>
      <c r="F78">
        <v>60</v>
      </c>
      <c r="G78">
        <f t="shared" si="6"/>
        <v>60</v>
      </c>
      <c r="H78" t="s">
        <v>38</v>
      </c>
      <c r="J78" t="s">
        <v>18</v>
      </c>
      <c r="K78" t="str">
        <f t="shared" ref="K78:K83" si="9">UPPER(TEXT(A78,"MMMM"))</f>
        <v>ENERO</v>
      </c>
      <c r="L78">
        <f t="shared" ref="L78:L83" si="10">+YEAR(A78)</f>
        <v>2026</v>
      </c>
    </row>
    <row r="79" spans="1:14" hidden="1" x14ac:dyDescent="0.3">
      <c r="A79" s="4">
        <v>46050</v>
      </c>
      <c r="B79" s="3" t="s">
        <v>349</v>
      </c>
      <c r="D79" t="s">
        <v>17</v>
      </c>
      <c r="E79">
        <v>1</v>
      </c>
      <c r="F79">
        <v>10</v>
      </c>
      <c r="G79">
        <f t="shared" si="6"/>
        <v>10</v>
      </c>
      <c r="H79" t="s">
        <v>38</v>
      </c>
      <c r="I79" t="s">
        <v>350</v>
      </c>
      <c r="J79" t="s">
        <v>18</v>
      </c>
      <c r="K79" t="str">
        <f t="shared" si="9"/>
        <v>ENERO</v>
      </c>
      <c r="L79">
        <f t="shared" si="10"/>
        <v>2026</v>
      </c>
    </row>
    <row r="80" spans="1:14" hidden="1" x14ac:dyDescent="0.3">
      <c r="A80" s="4">
        <v>46053</v>
      </c>
      <c r="B80" s="3" t="s">
        <v>406</v>
      </c>
      <c r="C80" t="s">
        <v>407</v>
      </c>
      <c r="D80" t="s">
        <v>70</v>
      </c>
      <c r="E80">
        <v>1</v>
      </c>
      <c r="F80">
        <v>1</v>
      </c>
      <c r="G80">
        <f t="shared" si="6"/>
        <v>1</v>
      </c>
      <c r="H80" t="s">
        <v>405</v>
      </c>
      <c r="J80" t="s">
        <v>18</v>
      </c>
      <c r="K80" t="str">
        <f t="shared" si="9"/>
        <v>ENERO</v>
      </c>
      <c r="L80">
        <f t="shared" si="10"/>
        <v>2026</v>
      </c>
    </row>
    <row r="81" spans="1:14" hidden="1" x14ac:dyDescent="0.3">
      <c r="A81" s="4">
        <v>46053</v>
      </c>
      <c r="B81" s="3" t="s">
        <v>347</v>
      </c>
      <c r="C81" t="s">
        <v>348</v>
      </c>
      <c r="D81" t="s">
        <v>17</v>
      </c>
      <c r="E81">
        <v>1</v>
      </c>
      <c r="F81">
        <v>25</v>
      </c>
      <c r="G81">
        <f t="shared" si="6"/>
        <v>25</v>
      </c>
      <c r="H81" t="s">
        <v>37</v>
      </c>
      <c r="J81" t="s">
        <v>18</v>
      </c>
      <c r="K81" t="str">
        <f t="shared" si="9"/>
        <v>ENERO</v>
      </c>
      <c r="L81">
        <f t="shared" si="10"/>
        <v>2026</v>
      </c>
    </row>
    <row r="82" spans="1:14" hidden="1" x14ac:dyDescent="0.3">
      <c r="A82" s="4">
        <v>46053</v>
      </c>
      <c r="B82" s="3" t="s">
        <v>46</v>
      </c>
      <c r="C82" t="s">
        <v>402</v>
      </c>
      <c r="D82" t="s">
        <v>21</v>
      </c>
      <c r="E82">
        <v>1</v>
      </c>
      <c r="F82">
        <v>5</v>
      </c>
      <c r="G82">
        <f t="shared" si="6"/>
        <v>5</v>
      </c>
      <c r="H82" t="s">
        <v>38</v>
      </c>
      <c r="J82" t="s">
        <v>18</v>
      </c>
      <c r="K82" t="str">
        <f t="shared" si="9"/>
        <v>ENERO</v>
      </c>
      <c r="L82">
        <f t="shared" si="10"/>
        <v>2026</v>
      </c>
    </row>
    <row r="83" spans="1:14" hidden="1" x14ac:dyDescent="0.3">
      <c r="A83" s="4">
        <v>46053</v>
      </c>
      <c r="B83" s="3" t="s">
        <v>400</v>
      </c>
      <c r="C83" t="s">
        <v>401</v>
      </c>
      <c r="D83" t="s">
        <v>17</v>
      </c>
      <c r="E83">
        <v>1</v>
      </c>
      <c r="F83">
        <v>170</v>
      </c>
      <c r="G83">
        <f t="shared" si="6"/>
        <v>170</v>
      </c>
      <c r="H83" t="s">
        <v>38</v>
      </c>
      <c r="J83" t="s">
        <v>18</v>
      </c>
      <c r="K83" t="str">
        <f t="shared" si="9"/>
        <v>ENERO</v>
      </c>
      <c r="L83">
        <f t="shared" si="10"/>
        <v>2026</v>
      </c>
    </row>
    <row r="84" spans="1:14" x14ac:dyDescent="0.3">
      <c r="A84" s="72">
        <v>46055</v>
      </c>
      <c r="B84" s="3" t="s">
        <v>25</v>
      </c>
      <c r="C84" t="s">
        <v>479</v>
      </c>
      <c r="D84" t="s">
        <v>17</v>
      </c>
      <c r="E84">
        <v>1</v>
      </c>
      <c r="F84">
        <v>300</v>
      </c>
      <c r="G84">
        <f t="shared" ref="G84:G99" si="11">E84*F84</f>
        <v>300</v>
      </c>
      <c r="H84" t="s">
        <v>25</v>
      </c>
      <c r="J84" t="s">
        <v>27</v>
      </c>
      <c r="K84" t="str">
        <f t="shared" ref="K84:K99" si="12">UPPER(TEXT(A84,"MMMM"))</f>
        <v>FEBRERO</v>
      </c>
      <c r="L84">
        <f t="shared" ref="L84:L99" si="13">+YEAR(A84)</f>
        <v>2026</v>
      </c>
    </row>
    <row r="85" spans="1:14" x14ac:dyDescent="0.3">
      <c r="A85" s="72">
        <v>46055</v>
      </c>
      <c r="B85" s="3" t="s">
        <v>437</v>
      </c>
      <c r="C85" t="s">
        <v>480</v>
      </c>
      <c r="D85" t="s">
        <v>17</v>
      </c>
      <c r="E85">
        <v>1</v>
      </c>
      <c r="F85">
        <v>30</v>
      </c>
      <c r="G85">
        <f t="shared" si="11"/>
        <v>30</v>
      </c>
      <c r="H85" t="s">
        <v>25</v>
      </c>
      <c r="J85" t="s">
        <v>27</v>
      </c>
      <c r="K85" t="str">
        <f t="shared" si="12"/>
        <v>FEBRERO</v>
      </c>
      <c r="L85">
        <f t="shared" si="13"/>
        <v>2026</v>
      </c>
    </row>
    <row r="86" spans="1:14" x14ac:dyDescent="0.3">
      <c r="A86" s="4">
        <v>46056</v>
      </c>
      <c r="B86" s="3" t="s">
        <v>412</v>
      </c>
      <c r="C86" t="s">
        <v>413</v>
      </c>
      <c r="D86" t="s">
        <v>21</v>
      </c>
      <c r="E86">
        <v>1</v>
      </c>
      <c r="F86">
        <v>5</v>
      </c>
      <c r="G86">
        <f t="shared" si="11"/>
        <v>5</v>
      </c>
      <c r="H86" t="s">
        <v>38</v>
      </c>
      <c r="J86" t="s">
        <v>18</v>
      </c>
      <c r="K86" t="str">
        <f t="shared" si="12"/>
        <v>FEBRERO</v>
      </c>
      <c r="L86">
        <f t="shared" si="13"/>
        <v>2026</v>
      </c>
    </row>
    <row r="87" spans="1:14" x14ac:dyDescent="0.3">
      <c r="A87" s="4">
        <v>46056</v>
      </c>
      <c r="B87" s="3" t="s">
        <v>414</v>
      </c>
      <c r="C87" t="s">
        <v>263</v>
      </c>
      <c r="D87" t="s">
        <v>21</v>
      </c>
      <c r="E87">
        <v>1</v>
      </c>
      <c r="F87">
        <v>5</v>
      </c>
      <c r="G87">
        <f t="shared" si="11"/>
        <v>5</v>
      </c>
      <c r="H87" t="s">
        <v>38</v>
      </c>
      <c r="J87" t="s">
        <v>18</v>
      </c>
      <c r="K87" t="str">
        <f t="shared" si="12"/>
        <v>FEBRERO</v>
      </c>
      <c r="L87">
        <f t="shared" si="13"/>
        <v>2026</v>
      </c>
    </row>
    <row r="88" spans="1:14" x14ac:dyDescent="0.3">
      <c r="A88" s="4">
        <v>46056</v>
      </c>
      <c r="B88" s="3" t="s">
        <v>462</v>
      </c>
      <c r="C88" t="s">
        <v>223</v>
      </c>
      <c r="D88" t="s">
        <v>17</v>
      </c>
      <c r="E88">
        <v>1</v>
      </c>
      <c r="F88">
        <v>100</v>
      </c>
      <c r="G88">
        <f t="shared" si="11"/>
        <v>100</v>
      </c>
      <c r="H88" t="s">
        <v>38</v>
      </c>
      <c r="J88" t="s">
        <v>83</v>
      </c>
      <c r="K88" t="str">
        <f t="shared" si="12"/>
        <v>FEBRERO</v>
      </c>
      <c r="L88">
        <f t="shared" si="13"/>
        <v>2026</v>
      </c>
    </row>
    <row r="89" spans="1:14" x14ac:dyDescent="0.3">
      <c r="A89" s="4">
        <v>46057</v>
      </c>
      <c r="B89" s="3" t="s">
        <v>415</v>
      </c>
      <c r="C89" t="s">
        <v>416</v>
      </c>
      <c r="D89" t="s">
        <v>17</v>
      </c>
      <c r="E89">
        <v>1</v>
      </c>
      <c r="F89">
        <v>225</v>
      </c>
      <c r="G89">
        <f t="shared" si="11"/>
        <v>225</v>
      </c>
      <c r="H89" t="s">
        <v>38</v>
      </c>
      <c r="J89" t="s">
        <v>18</v>
      </c>
      <c r="K89" t="str">
        <f t="shared" si="12"/>
        <v>FEBRERO</v>
      </c>
      <c r="L89">
        <f t="shared" si="13"/>
        <v>2026</v>
      </c>
    </row>
    <row r="90" spans="1:14" x14ac:dyDescent="0.3">
      <c r="A90" s="4">
        <v>46057</v>
      </c>
      <c r="B90" s="3" t="s">
        <v>417</v>
      </c>
      <c r="C90" t="s">
        <v>418</v>
      </c>
      <c r="D90" t="s">
        <v>17</v>
      </c>
      <c r="E90">
        <v>1</v>
      </c>
      <c r="F90">
        <v>40</v>
      </c>
      <c r="G90">
        <f t="shared" si="11"/>
        <v>40</v>
      </c>
      <c r="H90" t="s">
        <v>38</v>
      </c>
      <c r="J90" t="s">
        <v>18</v>
      </c>
      <c r="K90" t="str">
        <f t="shared" si="12"/>
        <v>FEBRERO</v>
      </c>
      <c r="L90">
        <f t="shared" si="13"/>
        <v>2026</v>
      </c>
    </row>
    <row r="91" spans="1:14" x14ac:dyDescent="0.3">
      <c r="A91" s="4">
        <v>46057</v>
      </c>
      <c r="B91" s="3" t="s">
        <v>443</v>
      </c>
      <c r="C91" t="s">
        <v>444</v>
      </c>
      <c r="D91" t="s">
        <v>17</v>
      </c>
      <c r="E91">
        <v>1</v>
      </c>
      <c r="F91">
        <v>57.5</v>
      </c>
      <c r="G91">
        <f t="shared" si="11"/>
        <v>57.5</v>
      </c>
      <c r="H91" t="s">
        <v>445</v>
      </c>
      <c r="J91" t="s">
        <v>83</v>
      </c>
      <c r="K91" t="str">
        <f t="shared" si="12"/>
        <v>FEBRERO</v>
      </c>
      <c r="L91">
        <f t="shared" si="13"/>
        <v>2026</v>
      </c>
    </row>
    <row r="92" spans="1:14" x14ac:dyDescent="0.3">
      <c r="A92" s="45">
        <v>46058</v>
      </c>
      <c r="B92" s="52" t="s">
        <v>441</v>
      </c>
      <c r="C92" s="46" t="s">
        <v>442</v>
      </c>
      <c r="D92" s="46" t="s">
        <v>17</v>
      </c>
      <c r="E92" s="46">
        <v>1</v>
      </c>
      <c r="F92" s="46">
        <v>55</v>
      </c>
      <c r="G92">
        <f t="shared" si="11"/>
        <v>55</v>
      </c>
      <c r="H92" s="46" t="s">
        <v>38</v>
      </c>
      <c r="I92" s="46"/>
      <c r="J92" s="46" t="s">
        <v>83</v>
      </c>
      <c r="K92" t="str">
        <f t="shared" si="12"/>
        <v>FEBRERO</v>
      </c>
      <c r="L92">
        <f t="shared" si="13"/>
        <v>2026</v>
      </c>
      <c r="M92" s="46"/>
      <c r="N92" s="46"/>
    </row>
    <row r="93" spans="1:14" x14ac:dyDescent="0.3">
      <c r="A93" s="60">
        <v>46058</v>
      </c>
      <c r="B93" s="61" t="s">
        <v>443</v>
      </c>
      <c r="C93" s="47" t="s">
        <v>444</v>
      </c>
      <c r="D93" s="47" t="s">
        <v>17</v>
      </c>
      <c r="E93" s="47">
        <v>1</v>
      </c>
      <c r="F93" s="47">
        <v>54.26</v>
      </c>
      <c r="G93">
        <f t="shared" si="11"/>
        <v>54.26</v>
      </c>
      <c r="H93" s="47" t="s">
        <v>445</v>
      </c>
      <c r="I93" s="47"/>
      <c r="J93" s="47" t="s">
        <v>83</v>
      </c>
      <c r="K93" t="str">
        <f t="shared" si="12"/>
        <v>FEBRERO</v>
      </c>
      <c r="L93">
        <f t="shared" si="13"/>
        <v>2026</v>
      </c>
      <c r="M93" s="47"/>
      <c r="N93" s="47"/>
    </row>
    <row r="94" spans="1:14" x14ac:dyDescent="0.3">
      <c r="A94" s="72">
        <v>46058</v>
      </c>
      <c r="B94" s="3" t="s">
        <v>457</v>
      </c>
      <c r="C94" t="s">
        <v>458</v>
      </c>
      <c r="D94" t="s">
        <v>17</v>
      </c>
      <c r="E94">
        <v>1</v>
      </c>
      <c r="F94">
        <v>50</v>
      </c>
      <c r="G94">
        <f t="shared" si="11"/>
        <v>50</v>
      </c>
      <c r="H94" t="s">
        <v>38</v>
      </c>
      <c r="J94" t="s">
        <v>456</v>
      </c>
      <c r="K94" t="str">
        <f t="shared" si="12"/>
        <v>FEBRERO</v>
      </c>
      <c r="L94">
        <f t="shared" si="13"/>
        <v>2026</v>
      </c>
    </row>
    <row r="95" spans="1:14" x14ac:dyDescent="0.3">
      <c r="A95" s="45">
        <v>46059</v>
      </c>
      <c r="B95" s="52" t="s">
        <v>439</v>
      </c>
      <c r="C95" s="46" t="s">
        <v>440</v>
      </c>
      <c r="D95" s="46" t="s">
        <v>17</v>
      </c>
      <c r="E95" s="46">
        <v>1</v>
      </c>
      <c r="F95" s="46">
        <v>130</v>
      </c>
      <c r="G95">
        <f t="shared" si="11"/>
        <v>130</v>
      </c>
      <c r="H95" s="46" t="s">
        <v>38</v>
      </c>
      <c r="I95" s="46"/>
      <c r="J95" s="46" t="s">
        <v>83</v>
      </c>
      <c r="K95" t="str">
        <f t="shared" si="12"/>
        <v>FEBRERO</v>
      </c>
      <c r="L95">
        <f t="shared" si="13"/>
        <v>2026</v>
      </c>
      <c r="M95" s="46"/>
      <c r="N95" s="46"/>
    </row>
    <row r="96" spans="1:14" x14ac:dyDescent="0.3">
      <c r="A96" s="72">
        <v>46059</v>
      </c>
      <c r="B96" s="3" t="s">
        <v>437</v>
      </c>
      <c r="C96" t="s">
        <v>480</v>
      </c>
      <c r="D96" t="s">
        <v>17</v>
      </c>
      <c r="E96">
        <v>1</v>
      </c>
      <c r="F96">
        <v>40</v>
      </c>
      <c r="G96">
        <f t="shared" si="11"/>
        <v>40</v>
      </c>
      <c r="H96" t="s">
        <v>25</v>
      </c>
      <c r="J96" t="s">
        <v>27</v>
      </c>
      <c r="K96" t="str">
        <f t="shared" si="12"/>
        <v>FEBRERO</v>
      </c>
      <c r="L96">
        <f t="shared" si="13"/>
        <v>2026</v>
      </c>
    </row>
    <row r="97" spans="1:12" x14ac:dyDescent="0.3">
      <c r="A97" s="72">
        <v>46060</v>
      </c>
      <c r="B97" s="3" t="s">
        <v>463</v>
      </c>
      <c r="C97" t="s">
        <v>464</v>
      </c>
      <c r="D97" t="s">
        <v>17</v>
      </c>
      <c r="E97">
        <v>1</v>
      </c>
      <c r="F97">
        <v>5</v>
      </c>
      <c r="G97">
        <f t="shared" si="11"/>
        <v>5</v>
      </c>
      <c r="H97" t="s">
        <v>38</v>
      </c>
      <c r="J97" t="s">
        <v>18</v>
      </c>
      <c r="K97" t="str">
        <f t="shared" si="12"/>
        <v>FEBRERO</v>
      </c>
      <c r="L97">
        <f t="shared" si="13"/>
        <v>2026</v>
      </c>
    </row>
    <row r="98" spans="1:12" x14ac:dyDescent="0.3">
      <c r="A98" s="72">
        <v>46060</v>
      </c>
      <c r="B98" s="3" t="s">
        <v>347</v>
      </c>
      <c r="C98" t="s">
        <v>348</v>
      </c>
      <c r="D98" t="s">
        <v>17</v>
      </c>
      <c r="E98">
        <v>1</v>
      </c>
      <c r="F98">
        <v>20</v>
      </c>
      <c r="G98">
        <f t="shared" si="11"/>
        <v>20</v>
      </c>
      <c r="H98" t="s">
        <v>38</v>
      </c>
      <c r="J98" t="s">
        <v>18</v>
      </c>
      <c r="K98" t="str">
        <f t="shared" si="12"/>
        <v>FEBRERO</v>
      </c>
      <c r="L98">
        <f t="shared" si="13"/>
        <v>2026</v>
      </c>
    </row>
    <row r="99" spans="1:12" x14ac:dyDescent="0.3">
      <c r="A99" s="72">
        <v>46060</v>
      </c>
      <c r="B99" s="3" t="s">
        <v>328</v>
      </c>
      <c r="C99" t="s">
        <v>329</v>
      </c>
      <c r="D99" t="s">
        <v>17</v>
      </c>
      <c r="E99">
        <v>1</v>
      </c>
      <c r="F99">
        <v>3.5</v>
      </c>
      <c r="G99">
        <f t="shared" si="11"/>
        <v>3.5</v>
      </c>
      <c r="H99" t="s">
        <v>38</v>
      </c>
      <c r="J99" t="s">
        <v>18</v>
      </c>
      <c r="K99" t="str">
        <f t="shared" si="12"/>
        <v>FEBRERO</v>
      </c>
      <c r="L99">
        <f t="shared" si="13"/>
        <v>2026</v>
      </c>
    </row>
    <row r="100" spans="1:12" x14ac:dyDescent="0.3">
      <c r="A100" s="72">
        <v>46060</v>
      </c>
      <c r="B100" s="3" t="s">
        <v>465</v>
      </c>
      <c r="C100" t="s">
        <v>169</v>
      </c>
      <c r="D100" t="s">
        <v>17</v>
      </c>
      <c r="E100">
        <v>1</v>
      </c>
      <c r="F100">
        <v>25</v>
      </c>
      <c r="G100">
        <f t="shared" ref="G100:G111" si="14">E100*F100</f>
        <v>25</v>
      </c>
      <c r="H100" t="s">
        <v>37</v>
      </c>
      <c r="J100" t="s">
        <v>18</v>
      </c>
      <c r="K100" t="str">
        <f t="shared" ref="K100:K112" si="15">UPPER(TEXT(A100,"MMMM"))</f>
        <v>FEBRERO</v>
      </c>
      <c r="L100">
        <f t="shared" ref="L100:L112" si="16">+YEAR(A100)</f>
        <v>2026</v>
      </c>
    </row>
    <row r="101" spans="1:12" x14ac:dyDescent="0.3">
      <c r="A101" s="72">
        <v>46060</v>
      </c>
      <c r="B101" s="3" t="s">
        <v>466</v>
      </c>
      <c r="C101" t="s">
        <v>269</v>
      </c>
      <c r="D101" t="s">
        <v>17</v>
      </c>
      <c r="E101">
        <v>1</v>
      </c>
      <c r="F101">
        <v>230</v>
      </c>
      <c r="G101">
        <f t="shared" si="14"/>
        <v>230</v>
      </c>
      <c r="H101" t="s">
        <v>38</v>
      </c>
      <c r="J101" t="s">
        <v>18</v>
      </c>
      <c r="K101" t="str">
        <f t="shared" si="15"/>
        <v>FEBRERO</v>
      </c>
      <c r="L101">
        <f t="shared" si="16"/>
        <v>2026</v>
      </c>
    </row>
    <row r="102" spans="1:12" x14ac:dyDescent="0.3">
      <c r="A102" s="72">
        <v>46060</v>
      </c>
      <c r="B102" s="3" t="s">
        <v>467</v>
      </c>
      <c r="C102" t="s">
        <v>468</v>
      </c>
      <c r="D102" t="s">
        <v>17</v>
      </c>
      <c r="E102">
        <v>1</v>
      </c>
      <c r="F102">
        <v>60</v>
      </c>
      <c r="G102">
        <f t="shared" si="14"/>
        <v>60</v>
      </c>
      <c r="H102" t="s">
        <v>37</v>
      </c>
      <c r="J102" t="s">
        <v>18</v>
      </c>
      <c r="K102" t="str">
        <f t="shared" si="15"/>
        <v>FEBRERO</v>
      </c>
      <c r="L102">
        <f t="shared" si="16"/>
        <v>2026</v>
      </c>
    </row>
    <row r="103" spans="1:12" x14ac:dyDescent="0.3">
      <c r="A103" s="72">
        <v>46061</v>
      </c>
      <c r="B103" s="3" t="s">
        <v>469</v>
      </c>
      <c r="C103" t="s">
        <v>470</v>
      </c>
      <c r="D103" t="s">
        <v>17</v>
      </c>
      <c r="E103">
        <v>1</v>
      </c>
      <c r="F103">
        <v>30</v>
      </c>
      <c r="G103">
        <f t="shared" si="14"/>
        <v>30</v>
      </c>
      <c r="H103" t="s">
        <v>37</v>
      </c>
      <c r="J103" t="s">
        <v>18</v>
      </c>
      <c r="K103" t="str">
        <f t="shared" si="15"/>
        <v>FEBRERO</v>
      </c>
      <c r="L103">
        <f t="shared" si="16"/>
        <v>2026</v>
      </c>
    </row>
    <row r="104" spans="1:12" x14ac:dyDescent="0.3">
      <c r="A104" s="72">
        <v>46062</v>
      </c>
      <c r="B104" s="3" t="s">
        <v>471</v>
      </c>
      <c r="C104" t="s">
        <v>471</v>
      </c>
      <c r="D104" t="s">
        <v>17</v>
      </c>
      <c r="E104">
        <v>1</v>
      </c>
      <c r="F104">
        <v>3</v>
      </c>
      <c r="G104">
        <f t="shared" si="14"/>
        <v>3</v>
      </c>
      <c r="H104" t="s">
        <v>38</v>
      </c>
      <c r="J104" t="s">
        <v>18</v>
      </c>
      <c r="K104" t="str">
        <f t="shared" si="15"/>
        <v>FEBRERO</v>
      </c>
      <c r="L104">
        <f t="shared" si="16"/>
        <v>2026</v>
      </c>
    </row>
    <row r="105" spans="1:12" x14ac:dyDescent="0.3">
      <c r="A105" s="72">
        <v>46063</v>
      </c>
      <c r="B105" s="3" t="s">
        <v>469</v>
      </c>
      <c r="C105" t="s">
        <v>470</v>
      </c>
      <c r="D105" t="s">
        <v>17</v>
      </c>
      <c r="E105">
        <v>1</v>
      </c>
      <c r="F105">
        <v>40</v>
      </c>
      <c r="G105">
        <f t="shared" si="14"/>
        <v>40</v>
      </c>
      <c r="H105" t="s">
        <v>38</v>
      </c>
      <c r="J105" t="s">
        <v>18</v>
      </c>
      <c r="K105" t="str">
        <f t="shared" si="15"/>
        <v>FEBRERO</v>
      </c>
      <c r="L105">
        <f t="shared" si="16"/>
        <v>2026</v>
      </c>
    </row>
    <row r="106" spans="1:12" x14ac:dyDescent="0.3">
      <c r="A106" s="72">
        <v>46063</v>
      </c>
      <c r="B106" s="3" t="s">
        <v>471</v>
      </c>
      <c r="C106" t="s">
        <v>471</v>
      </c>
      <c r="D106" t="s">
        <v>70</v>
      </c>
      <c r="E106">
        <v>1</v>
      </c>
      <c r="F106">
        <v>4</v>
      </c>
      <c r="G106">
        <f t="shared" si="14"/>
        <v>4</v>
      </c>
      <c r="H106" t="s">
        <v>38</v>
      </c>
      <c r="J106" t="s">
        <v>18</v>
      </c>
      <c r="K106" t="str">
        <f t="shared" si="15"/>
        <v>FEBRERO</v>
      </c>
      <c r="L106">
        <f t="shared" si="16"/>
        <v>2026</v>
      </c>
    </row>
    <row r="107" spans="1:12" x14ac:dyDescent="0.3">
      <c r="A107" s="72">
        <v>46063</v>
      </c>
      <c r="B107" s="3" t="s">
        <v>25</v>
      </c>
      <c r="C107" t="s">
        <v>25</v>
      </c>
      <c r="D107" t="s">
        <v>17</v>
      </c>
      <c r="E107">
        <v>1</v>
      </c>
      <c r="F107">
        <v>50</v>
      </c>
      <c r="G107">
        <f t="shared" si="14"/>
        <v>50</v>
      </c>
      <c r="H107" t="s">
        <v>38</v>
      </c>
      <c r="J107" t="s">
        <v>27</v>
      </c>
      <c r="K107" t="str">
        <f t="shared" si="15"/>
        <v>FEBRERO</v>
      </c>
      <c r="L107">
        <f t="shared" si="16"/>
        <v>2026</v>
      </c>
    </row>
    <row r="108" spans="1:12" x14ac:dyDescent="0.3">
      <c r="A108" s="72">
        <v>46064</v>
      </c>
      <c r="B108" s="3" t="s">
        <v>467</v>
      </c>
      <c r="C108" t="s">
        <v>468</v>
      </c>
      <c r="D108" t="s">
        <v>17</v>
      </c>
      <c r="E108">
        <v>1</v>
      </c>
      <c r="F108">
        <v>70</v>
      </c>
      <c r="G108">
        <f t="shared" si="14"/>
        <v>70</v>
      </c>
      <c r="H108" t="s">
        <v>38</v>
      </c>
      <c r="J108" t="s">
        <v>18</v>
      </c>
      <c r="K108" t="str">
        <f t="shared" si="15"/>
        <v>FEBRERO</v>
      </c>
      <c r="L108">
        <f t="shared" si="16"/>
        <v>2026</v>
      </c>
    </row>
    <row r="109" spans="1:12" x14ac:dyDescent="0.3">
      <c r="A109" s="72">
        <v>46064</v>
      </c>
      <c r="B109" s="3" t="s">
        <v>70</v>
      </c>
      <c r="C109" t="s">
        <v>70</v>
      </c>
      <c r="D109" t="s">
        <v>70</v>
      </c>
      <c r="E109">
        <v>1</v>
      </c>
      <c r="F109">
        <v>5</v>
      </c>
      <c r="G109">
        <f t="shared" si="14"/>
        <v>5</v>
      </c>
      <c r="H109" t="s">
        <v>38</v>
      </c>
      <c r="I109" t="s">
        <v>475</v>
      </c>
      <c r="J109" t="s">
        <v>18</v>
      </c>
      <c r="K109" t="str">
        <f t="shared" si="15"/>
        <v>FEBRERO</v>
      </c>
      <c r="L109">
        <f t="shared" si="16"/>
        <v>2026</v>
      </c>
    </row>
    <row r="110" spans="1:12" x14ac:dyDescent="0.3">
      <c r="A110" s="72">
        <v>46064</v>
      </c>
      <c r="B110" s="3" t="s">
        <v>476</v>
      </c>
      <c r="C110" t="s">
        <v>247</v>
      </c>
      <c r="D110" t="s">
        <v>17</v>
      </c>
      <c r="E110">
        <v>1</v>
      </c>
      <c r="F110">
        <v>200</v>
      </c>
      <c r="G110">
        <f t="shared" si="14"/>
        <v>200</v>
      </c>
      <c r="H110" t="s">
        <v>38</v>
      </c>
      <c r="J110" t="s">
        <v>18</v>
      </c>
      <c r="K110" t="str">
        <f t="shared" si="15"/>
        <v>FEBRERO</v>
      </c>
      <c r="L110">
        <f t="shared" si="16"/>
        <v>2026</v>
      </c>
    </row>
    <row r="111" spans="1:12" x14ac:dyDescent="0.3">
      <c r="A111" s="72">
        <v>46065</v>
      </c>
      <c r="B111" s="3" t="s">
        <v>481</v>
      </c>
      <c r="C111" t="s">
        <v>482</v>
      </c>
      <c r="D111" t="s">
        <v>17</v>
      </c>
      <c r="E111">
        <v>1</v>
      </c>
      <c r="F111">
        <v>14.43</v>
      </c>
      <c r="G111">
        <f t="shared" si="14"/>
        <v>14.43</v>
      </c>
      <c r="H111" t="s">
        <v>38</v>
      </c>
      <c r="J111" t="s">
        <v>27</v>
      </c>
      <c r="K111" t="str">
        <f t="shared" si="15"/>
        <v>FEBRERO</v>
      </c>
      <c r="L111">
        <f t="shared" si="16"/>
        <v>2026</v>
      </c>
    </row>
    <row r="112" spans="1:12" x14ac:dyDescent="0.3">
      <c r="A112" s="72">
        <v>46066</v>
      </c>
      <c r="B112" s="3" t="s">
        <v>486</v>
      </c>
      <c r="C112" t="s">
        <v>487</v>
      </c>
      <c r="D112" t="s">
        <v>17</v>
      </c>
      <c r="E112">
        <v>1</v>
      </c>
      <c r="F112">
        <v>200</v>
      </c>
      <c r="G112">
        <f t="shared" ref="G112:G120" si="17">E112*F112</f>
        <v>200</v>
      </c>
      <c r="H112" t="s">
        <v>37</v>
      </c>
      <c r="J112" t="s">
        <v>456</v>
      </c>
      <c r="K112" t="str">
        <f t="shared" si="15"/>
        <v>FEBRERO</v>
      </c>
      <c r="L112">
        <f t="shared" si="16"/>
        <v>2026</v>
      </c>
    </row>
    <row r="113" spans="1:12" x14ac:dyDescent="0.3">
      <c r="A113" s="72">
        <v>46067</v>
      </c>
      <c r="B113" s="3" t="s">
        <v>490</v>
      </c>
      <c r="C113" t="s">
        <v>333</v>
      </c>
      <c r="D113" t="s">
        <v>17</v>
      </c>
      <c r="E113">
        <v>1</v>
      </c>
      <c r="F113">
        <v>145</v>
      </c>
      <c r="G113">
        <f t="shared" si="17"/>
        <v>145</v>
      </c>
      <c r="H113" t="s">
        <v>37</v>
      </c>
      <c r="J113" t="s">
        <v>18</v>
      </c>
      <c r="K113" t="str">
        <f t="shared" ref="K113:K120" si="18">UPPER(TEXT(A113,"MMMM"))</f>
        <v>FEBRERO</v>
      </c>
      <c r="L113">
        <f t="shared" ref="L113:L120" si="19">+YEAR(A113)</f>
        <v>2026</v>
      </c>
    </row>
    <row r="114" spans="1:12" x14ac:dyDescent="0.3">
      <c r="A114" s="72">
        <v>46067</v>
      </c>
      <c r="B114" s="3" t="s">
        <v>412</v>
      </c>
      <c r="C114" t="s">
        <v>491</v>
      </c>
      <c r="D114" t="s">
        <v>17</v>
      </c>
      <c r="E114">
        <v>1</v>
      </c>
      <c r="F114">
        <v>55</v>
      </c>
      <c r="G114">
        <f t="shared" si="17"/>
        <v>55</v>
      </c>
      <c r="H114" t="s">
        <v>38</v>
      </c>
      <c r="J114" t="s">
        <v>18</v>
      </c>
      <c r="K114" t="str">
        <f t="shared" si="18"/>
        <v>FEBRERO</v>
      </c>
      <c r="L114">
        <f t="shared" si="19"/>
        <v>2026</v>
      </c>
    </row>
    <row r="115" spans="1:12" x14ac:dyDescent="0.3">
      <c r="A115" s="72">
        <v>46067</v>
      </c>
      <c r="B115" s="3" t="s">
        <v>229</v>
      </c>
      <c r="C115" t="s">
        <v>247</v>
      </c>
      <c r="D115" t="s">
        <v>17</v>
      </c>
      <c r="E115">
        <v>1</v>
      </c>
      <c r="F115">
        <v>70</v>
      </c>
      <c r="G115">
        <f t="shared" si="17"/>
        <v>70</v>
      </c>
      <c r="H115" t="s">
        <v>38</v>
      </c>
      <c r="J115" t="s">
        <v>18</v>
      </c>
      <c r="K115" t="str">
        <f t="shared" si="18"/>
        <v>FEBRERO</v>
      </c>
      <c r="L115">
        <f t="shared" si="19"/>
        <v>2026</v>
      </c>
    </row>
    <row r="116" spans="1:12" x14ac:dyDescent="0.3">
      <c r="A116" s="72">
        <v>46067</v>
      </c>
      <c r="B116" s="3" t="s">
        <v>492</v>
      </c>
      <c r="C116" t="s">
        <v>493</v>
      </c>
      <c r="D116" t="s">
        <v>17</v>
      </c>
      <c r="E116">
        <v>1</v>
      </c>
      <c r="F116">
        <v>95</v>
      </c>
      <c r="G116">
        <f t="shared" si="17"/>
        <v>95</v>
      </c>
      <c r="H116" t="s">
        <v>38</v>
      </c>
      <c r="I116" t="s">
        <v>494</v>
      </c>
      <c r="J116" t="s">
        <v>18</v>
      </c>
      <c r="K116" t="str">
        <f t="shared" si="18"/>
        <v>FEBRERO</v>
      </c>
      <c r="L116">
        <f t="shared" si="19"/>
        <v>2026</v>
      </c>
    </row>
    <row r="117" spans="1:12" x14ac:dyDescent="0.3">
      <c r="A117" s="72">
        <v>46071</v>
      </c>
      <c r="B117" s="3" t="s">
        <v>495</v>
      </c>
      <c r="C117" t="s">
        <v>496</v>
      </c>
      <c r="D117" t="s">
        <v>17</v>
      </c>
      <c r="E117">
        <v>1</v>
      </c>
      <c r="F117">
        <v>40</v>
      </c>
      <c r="G117">
        <f t="shared" si="17"/>
        <v>40</v>
      </c>
      <c r="H117" t="s">
        <v>37</v>
      </c>
      <c r="J117" t="s">
        <v>18</v>
      </c>
      <c r="K117" t="str">
        <f t="shared" si="18"/>
        <v>FEBRERO</v>
      </c>
      <c r="L117">
        <f t="shared" si="19"/>
        <v>2026</v>
      </c>
    </row>
    <row r="118" spans="1:12" x14ac:dyDescent="0.3">
      <c r="A118" s="72">
        <v>46071</v>
      </c>
      <c r="B118" s="3" t="s">
        <v>497</v>
      </c>
      <c r="C118" t="s">
        <v>498</v>
      </c>
      <c r="D118" t="s">
        <v>17</v>
      </c>
      <c r="E118">
        <v>1</v>
      </c>
      <c r="F118">
        <v>120</v>
      </c>
      <c r="G118">
        <f t="shared" si="17"/>
        <v>120</v>
      </c>
      <c r="H118" t="s">
        <v>37</v>
      </c>
      <c r="J118" t="s">
        <v>18</v>
      </c>
      <c r="K118" t="str">
        <f t="shared" si="18"/>
        <v>FEBRERO</v>
      </c>
      <c r="L118">
        <f t="shared" si="19"/>
        <v>2026</v>
      </c>
    </row>
    <row r="119" spans="1:12" hidden="1" x14ac:dyDescent="0.3">
      <c r="A119" s="72"/>
      <c r="B119" s="3"/>
      <c r="G119">
        <f t="shared" si="17"/>
        <v>0</v>
      </c>
      <c r="H119" t="s">
        <v>38</v>
      </c>
      <c r="K119" t="str">
        <f t="shared" si="18"/>
        <v>ENERO</v>
      </c>
      <c r="L119">
        <f t="shared" si="19"/>
        <v>1900</v>
      </c>
    </row>
    <row r="120" spans="1:12" hidden="1" x14ac:dyDescent="0.3">
      <c r="A120" s="72"/>
      <c r="B120" s="3"/>
      <c r="G120">
        <f t="shared" si="17"/>
        <v>0</v>
      </c>
      <c r="H120" t="s">
        <v>38</v>
      </c>
      <c r="K120" t="str">
        <f t="shared" si="18"/>
        <v>ENERO</v>
      </c>
      <c r="L120">
        <f t="shared" si="19"/>
        <v>1900</v>
      </c>
    </row>
    <row r="121" spans="1:12" hidden="1" x14ac:dyDescent="0.3">
      <c r="A121" s="72"/>
      <c r="B121" s="3"/>
      <c r="G121">
        <f t="shared" ref="G121:G126" si="20">E121*F121</f>
        <v>0</v>
      </c>
      <c r="H121" t="s">
        <v>38</v>
      </c>
      <c r="K121" t="str">
        <f t="shared" ref="K121:K126" si="21">UPPER(TEXT(A121,"MMMM"))</f>
        <v>ENERO</v>
      </c>
      <c r="L121">
        <f t="shared" ref="L121:L126" si="22">+YEAR(A121)</f>
        <v>1900</v>
      </c>
    </row>
    <row r="122" spans="1:12" hidden="1" x14ac:dyDescent="0.3">
      <c r="A122" s="72"/>
      <c r="B122" s="3"/>
      <c r="G122">
        <f t="shared" si="20"/>
        <v>0</v>
      </c>
      <c r="H122" t="s">
        <v>38</v>
      </c>
      <c r="K122" t="str">
        <f t="shared" si="21"/>
        <v>ENERO</v>
      </c>
      <c r="L122">
        <f t="shared" si="22"/>
        <v>1900</v>
      </c>
    </row>
    <row r="123" spans="1:12" hidden="1" x14ac:dyDescent="0.3">
      <c r="A123" s="72"/>
      <c r="B123" s="3"/>
      <c r="G123">
        <f t="shared" si="20"/>
        <v>0</v>
      </c>
      <c r="H123" t="s">
        <v>38</v>
      </c>
      <c r="K123" t="str">
        <f t="shared" si="21"/>
        <v>ENERO</v>
      </c>
      <c r="L123">
        <f t="shared" si="22"/>
        <v>1900</v>
      </c>
    </row>
    <row r="124" spans="1:12" hidden="1" x14ac:dyDescent="0.3">
      <c r="A124" s="72"/>
      <c r="B124" s="3"/>
      <c r="G124">
        <f t="shared" si="20"/>
        <v>0</v>
      </c>
      <c r="H124" t="s">
        <v>38</v>
      </c>
      <c r="K124" t="str">
        <f t="shared" si="21"/>
        <v>ENERO</v>
      </c>
      <c r="L124">
        <f t="shared" si="22"/>
        <v>1900</v>
      </c>
    </row>
    <row r="125" spans="1:12" ht="55.2" hidden="1" x14ac:dyDescent="0.3">
      <c r="A125" s="72"/>
      <c r="B125" s="3"/>
      <c r="G125">
        <f t="shared" si="20"/>
        <v>0</v>
      </c>
      <c r="H125" t="s">
        <v>38</v>
      </c>
      <c r="K125" t="str">
        <f t="shared" si="21"/>
        <v>ENERO</v>
      </c>
      <c r="L125">
        <f t="shared" si="22"/>
        <v>1900</v>
      </c>
    </row>
    <row r="126" spans="1:12" hidden="1" x14ac:dyDescent="0.3">
      <c r="A126" s="72"/>
      <c r="B126" s="3"/>
      <c r="G126">
        <f t="shared" si="20"/>
        <v>0</v>
      </c>
      <c r="H126" t="s">
        <v>38</v>
      </c>
      <c r="K126" t="str">
        <f t="shared" si="21"/>
        <v>ENERO</v>
      </c>
      <c r="L126">
        <f t="shared" si="22"/>
        <v>1900</v>
      </c>
    </row>
    <row r="127" spans="1:12" ht="53.4" hidden="1" x14ac:dyDescent="0.3">
      <c r="A127" s="72"/>
      <c r="B127" s="3"/>
      <c r="G127">
        <f>E127*F127</f>
        <v>0</v>
      </c>
      <c r="K127" t="str">
        <f>UPPER(TEXT(A127,"MMMM"))</f>
        <v>ENERO</v>
      </c>
      <c r="L127">
        <f>+YEAR(A127)</f>
        <v>1900</v>
      </c>
    </row>
    <row r="128" spans="1:12" x14ac:dyDescent="0.3">
      <c r="A128" s="72">
        <v>46071</v>
      </c>
      <c r="B128" s="3" t="s">
        <v>330</v>
      </c>
      <c r="C128" t="s">
        <v>500</v>
      </c>
      <c r="D128" t="s">
        <v>17</v>
      </c>
      <c r="E128">
        <v>1</v>
      </c>
      <c r="F128">
        <v>60</v>
      </c>
      <c r="G128">
        <f>E128*F128</f>
        <v>60</v>
      </c>
      <c r="H128" t="s">
        <v>37</v>
      </c>
      <c r="J128" t="s">
        <v>18</v>
      </c>
      <c r="K128" t="str">
        <f>UPPER(TEXT(A128,"MMMM"))</f>
        <v>FEBRERO</v>
      </c>
      <c r="L128">
        <f>+YEAR(A128)</f>
        <v>2026</v>
      </c>
    </row>
    <row r="129" spans="1:12" x14ac:dyDescent="0.3">
      <c r="A129" s="72">
        <v>46073</v>
      </c>
      <c r="B129" s="3" t="s">
        <v>497</v>
      </c>
      <c r="C129" t="s">
        <v>498</v>
      </c>
      <c r="D129" t="s">
        <v>17</v>
      </c>
      <c r="E129">
        <v>1</v>
      </c>
      <c r="F129">
        <v>100</v>
      </c>
      <c r="G129">
        <f>E129*F129</f>
        <v>100</v>
      </c>
      <c r="H129" t="s">
        <v>38</v>
      </c>
      <c r="J129" t="s">
        <v>18</v>
      </c>
      <c r="K129" t="str">
        <f>UPPER(TEXT(A129,"MMMM"))</f>
        <v>FEBRERO</v>
      </c>
      <c r="L129">
        <f>+YEAR(A129)</f>
        <v>2026</v>
      </c>
    </row>
    <row r="130" spans="1:12" x14ac:dyDescent="0.3">
      <c r="A130" s="72">
        <v>46076</v>
      </c>
      <c r="B130" s="3" t="s">
        <v>501</v>
      </c>
      <c r="C130" t="s">
        <v>71</v>
      </c>
      <c r="D130" t="s">
        <v>17</v>
      </c>
      <c r="E130">
        <v>1</v>
      </c>
      <c r="F130">
        <v>100</v>
      </c>
      <c r="G130">
        <f>E130*F130</f>
        <v>100</v>
      </c>
      <c r="H130" t="s">
        <v>37</v>
      </c>
      <c r="J130" t="s">
        <v>18</v>
      </c>
      <c r="K130" t="str">
        <f>UPPER(TEXT(A130,"MMMM"))</f>
        <v>FEBRERO</v>
      </c>
      <c r="L130">
        <f>+YEAR(A130)</f>
        <v>2026</v>
      </c>
    </row>
    <row r="131" spans="1:12" x14ac:dyDescent="0.3">
      <c r="A131" s="72">
        <v>46076</v>
      </c>
      <c r="B131" s="3" t="s">
        <v>70</v>
      </c>
      <c r="C131" t="s">
        <v>70</v>
      </c>
      <c r="D131" t="s">
        <v>70</v>
      </c>
      <c r="E131">
        <v>1</v>
      </c>
      <c r="F131">
        <v>4</v>
      </c>
      <c r="G131">
        <f>E131*F131</f>
        <v>4</v>
      </c>
      <c r="H131" t="s">
        <v>38</v>
      </c>
      <c r="J131" t="s">
        <v>18</v>
      </c>
      <c r="K131" t="str">
        <f>UPPER(TEXT(A131,"MMMM"))</f>
        <v>FEBRERO</v>
      </c>
      <c r="L131">
        <f>+YEAR(A131)</f>
        <v>2026</v>
      </c>
    </row>
    <row r="132" spans="1:12" x14ac:dyDescent="0.3">
      <c r="A132" s="72">
        <v>46076</v>
      </c>
      <c r="B132" s="3" t="s">
        <v>502</v>
      </c>
      <c r="C132" t="s">
        <v>503</v>
      </c>
      <c r="D132" t="s">
        <v>17</v>
      </c>
      <c r="E132">
        <v>1</v>
      </c>
      <c r="F132">
        <v>60</v>
      </c>
      <c r="G132">
        <f t="shared" ref="G132:G133" si="23">E132*F132</f>
        <v>60</v>
      </c>
      <c r="H132" t="s">
        <v>37</v>
      </c>
      <c r="J132" t="s">
        <v>18</v>
      </c>
      <c r="K132" t="str">
        <f t="shared" ref="K132:K133" si="24">UPPER(TEXT(A132,"MMMM"))</f>
        <v>FEBRERO</v>
      </c>
      <c r="L132">
        <f t="shared" ref="L132:L133" si="25">+YEAR(A132)</f>
        <v>2026</v>
      </c>
    </row>
    <row r="133" spans="1:12" x14ac:dyDescent="0.3">
      <c r="A133" s="72">
        <v>45346</v>
      </c>
      <c r="B133" s="3" t="s">
        <v>501</v>
      </c>
      <c r="C133" t="s">
        <v>71</v>
      </c>
      <c r="D133" t="s">
        <v>17</v>
      </c>
      <c r="E133">
        <v>1</v>
      </c>
      <c r="F133">
        <v>90</v>
      </c>
      <c r="G133">
        <f t="shared" si="23"/>
        <v>90</v>
      </c>
      <c r="H133" t="s">
        <v>38</v>
      </c>
      <c r="J133" t="s">
        <v>18</v>
      </c>
      <c r="K133" t="str">
        <f t="shared" si="24"/>
        <v>FEBRERO</v>
      </c>
      <c r="L133">
        <f t="shared" si="25"/>
        <v>2024</v>
      </c>
    </row>
    <row r="134" spans="1:12" x14ac:dyDescent="0.3">
      <c r="A134" s="72">
        <v>45347</v>
      </c>
      <c r="B134" s="3" t="s">
        <v>502</v>
      </c>
      <c r="C134" t="s">
        <v>503</v>
      </c>
      <c r="D134" t="s">
        <v>17</v>
      </c>
      <c r="E134">
        <v>1</v>
      </c>
      <c r="F134">
        <v>35</v>
      </c>
      <c r="G134">
        <f t="shared" ref="G134:G135" si="26">E134*F134</f>
        <v>35</v>
      </c>
      <c r="H134" t="s">
        <v>38</v>
      </c>
      <c r="J134" t="s">
        <v>18</v>
      </c>
      <c r="K134" t="str">
        <f t="shared" ref="K134:K137" si="27">UPPER(TEXT(A134,"MMMM"))</f>
        <v>FEBRERO</v>
      </c>
      <c r="L134">
        <f t="shared" ref="L134:L137" si="28">+YEAR(A134)</f>
        <v>2024</v>
      </c>
    </row>
    <row r="135" spans="1:12" x14ac:dyDescent="0.3">
      <c r="A135" s="72">
        <v>46078</v>
      </c>
      <c r="B135" s="3" t="s">
        <v>522</v>
      </c>
      <c r="C135" t="s">
        <v>71</v>
      </c>
      <c r="D135" t="s">
        <v>17</v>
      </c>
      <c r="E135">
        <v>1</v>
      </c>
      <c r="F135">
        <v>210</v>
      </c>
      <c r="G135">
        <f t="shared" si="26"/>
        <v>210</v>
      </c>
      <c r="H135" t="s">
        <v>38</v>
      </c>
      <c r="J135" t="s">
        <v>18</v>
      </c>
      <c r="K135" t="str">
        <f t="shared" si="27"/>
        <v>FEBRERO</v>
      </c>
      <c r="L135">
        <f t="shared" si="28"/>
        <v>2026</v>
      </c>
    </row>
    <row r="136" spans="1:12" x14ac:dyDescent="0.3">
      <c r="A136" s="72">
        <v>46078</v>
      </c>
      <c r="B136" s="3" t="s">
        <v>523</v>
      </c>
      <c r="C136" t="s">
        <v>71</v>
      </c>
      <c r="D136" t="s">
        <v>17</v>
      </c>
      <c r="E136">
        <v>1</v>
      </c>
      <c r="F136" t="s">
        <v>505</v>
      </c>
      <c r="G136" t="s">
        <v>505</v>
      </c>
      <c r="H136" t="s">
        <v>38</v>
      </c>
      <c r="J136" t="s">
        <v>18</v>
      </c>
      <c r="K136" t="str">
        <f t="shared" si="27"/>
        <v>FEBRERO</v>
      </c>
      <c r="L136">
        <f t="shared" si="28"/>
        <v>2026</v>
      </c>
    </row>
    <row r="137" spans="1:12" x14ac:dyDescent="0.3">
      <c r="A137" s="72">
        <v>46078</v>
      </c>
      <c r="B137" s="3" t="s">
        <v>524</v>
      </c>
      <c r="C137" t="s">
        <v>71</v>
      </c>
      <c r="D137" t="s">
        <v>17</v>
      </c>
      <c r="E137">
        <v>1</v>
      </c>
      <c r="F137" t="s">
        <v>505</v>
      </c>
      <c r="G137" t="s">
        <v>505</v>
      </c>
      <c r="H137" t="s">
        <v>38</v>
      </c>
      <c r="J137" t="s">
        <v>18</v>
      </c>
      <c r="K137" t="str">
        <f t="shared" si="27"/>
        <v>FEBRERO</v>
      </c>
      <c r="L137">
        <f t="shared" si="28"/>
        <v>2026</v>
      </c>
    </row>
    <row r="138" spans="1:12" x14ac:dyDescent="0.3">
      <c r="A138" s="72">
        <v>46079</v>
      </c>
      <c r="B138" s="3" t="s">
        <v>525</v>
      </c>
      <c r="C138" t="s">
        <v>526</v>
      </c>
      <c r="D138" t="s">
        <v>21</v>
      </c>
      <c r="E138">
        <v>1</v>
      </c>
      <c r="F138">
        <v>5</v>
      </c>
      <c r="G138">
        <f t="shared" ref="G138:G177" si="29">E138*F138</f>
        <v>5</v>
      </c>
      <c r="H138" t="s">
        <v>38</v>
      </c>
      <c r="J138" t="s">
        <v>18</v>
      </c>
      <c r="K138" t="str">
        <f t="shared" ref="K138:K177" si="30">UPPER(TEXT(A138,"MMMM"))</f>
        <v>FEBRERO</v>
      </c>
      <c r="L138">
        <f t="shared" ref="L138:L177" si="31">+YEAR(A138)</f>
        <v>2026</v>
      </c>
    </row>
    <row r="139" spans="1:12" x14ac:dyDescent="0.3">
      <c r="A139" s="72">
        <v>46079</v>
      </c>
      <c r="B139" s="3" t="s">
        <v>527</v>
      </c>
      <c r="C139" t="s">
        <v>528</v>
      </c>
      <c r="D139" t="s">
        <v>17</v>
      </c>
      <c r="E139">
        <v>1</v>
      </c>
      <c r="F139">
        <v>100</v>
      </c>
      <c r="G139">
        <f t="shared" si="29"/>
        <v>100</v>
      </c>
      <c r="H139" t="s">
        <v>38</v>
      </c>
      <c r="J139" t="s">
        <v>18</v>
      </c>
      <c r="K139" t="str">
        <f t="shared" si="30"/>
        <v>FEBRERO</v>
      </c>
      <c r="L139">
        <f t="shared" si="31"/>
        <v>2026</v>
      </c>
    </row>
    <row r="140" spans="1:12" x14ac:dyDescent="0.3">
      <c r="A140" s="72">
        <v>46079</v>
      </c>
      <c r="B140" s="3" t="s">
        <v>529</v>
      </c>
      <c r="C140" t="s">
        <v>530</v>
      </c>
      <c r="D140" t="s">
        <v>17</v>
      </c>
      <c r="E140">
        <v>1</v>
      </c>
      <c r="F140">
        <v>30</v>
      </c>
      <c r="G140">
        <f t="shared" si="29"/>
        <v>30</v>
      </c>
      <c r="H140" t="s">
        <v>38</v>
      </c>
      <c r="J140" t="s">
        <v>18</v>
      </c>
      <c r="K140" t="str">
        <f t="shared" si="30"/>
        <v>FEBRERO</v>
      </c>
      <c r="L140">
        <f t="shared" si="31"/>
        <v>2026</v>
      </c>
    </row>
    <row r="141" spans="1:12" x14ac:dyDescent="0.3">
      <c r="A141" s="72">
        <v>46080</v>
      </c>
      <c r="B141" s="3" t="s">
        <v>531</v>
      </c>
      <c r="C141" t="s">
        <v>407</v>
      </c>
      <c r="D141" t="s">
        <v>70</v>
      </c>
      <c r="E141">
        <v>1</v>
      </c>
      <c r="F141">
        <v>10.5</v>
      </c>
      <c r="G141">
        <f t="shared" si="29"/>
        <v>10.5</v>
      </c>
      <c r="H141" t="s">
        <v>38</v>
      </c>
      <c r="J141" t="s">
        <v>18</v>
      </c>
      <c r="K141" t="str">
        <f t="shared" si="30"/>
        <v>FEBRERO</v>
      </c>
      <c r="L141">
        <f t="shared" si="31"/>
        <v>2026</v>
      </c>
    </row>
    <row r="142" spans="1:12" x14ac:dyDescent="0.3">
      <c r="A142" s="72">
        <v>46081</v>
      </c>
      <c r="B142" s="3" t="s">
        <v>536</v>
      </c>
      <c r="C142" t="s">
        <v>402</v>
      </c>
      <c r="D142" t="s">
        <v>17</v>
      </c>
      <c r="E142">
        <v>1</v>
      </c>
      <c r="F142">
        <v>40</v>
      </c>
      <c r="G142">
        <f t="shared" si="29"/>
        <v>40</v>
      </c>
      <c r="H142" t="s">
        <v>38</v>
      </c>
      <c r="J142" t="s">
        <v>18</v>
      </c>
      <c r="K142" t="str">
        <f t="shared" si="30"/>
        <v>FEBRERO</v>
      </c>
      <c r="L142">
        <f t="shared" si="31"/>
        <v>2026</v>
      </c>
    </row>
    <row r="143" spans="1:12" x14ac:dyDescent="0.3">
      <c r="A143" s="72">
        <v>46081</v>
      </c>
      <c r="B143" s="3" t="s">
        <v>21</v>
      </c>
      <c r="C143" t="s">
        <v>21</v>
      </c>
      <c r="D143" t="s">
        <v>21</v>
      </c>
      <c r="E143">
        <v>1</v>
      </c>
      <c r="F143">
        <v>5</v>
      </c>
      <c r="G143">
        <f t="shared" si="29"/>
        <v>5</v>
      </c>
      <c r="H143" t="s">
        <v>38</v>
      </c>
      <c r="J143" t="s">
        <v>18</v>
      </c>
      <c r="K143" t="str">
        <f t="shared" si="30"/>
        <v>FEBRERO</v>
      </c>
      <c r="L143">
        <f t="shared" si="31"/>
        <v>2026</v>
      </c>
    </row>
    <row r="144" spans="1:12" x14ac:dyDescent="0.3">
      <c r="A144" s="72"/>
      <c r="B144" s="3"/>
      <c r="G144">
        <f t="shared" si="29"/>
        <v>0</v>
      </c>
      <c r="K144" t="str">
        <f t="shared" si="30"/>
        <v>ENERO</v>
      </c>
      <c r="L144">
        <f t="shared" si="31"/>
        <v>1900</v>
      </c>
    </row>
    <row r="145" spans="1:12" x14ac:dyDescent="0.3">
      <c r="A145" s="72">
        <v>46083</v>
      </c>
      <c r="B145" s="3" t="s">
        <v>334</v>
      </c>
      <c r="C145" t="s">
        <v>263</v>
      </c>
      <c r="D145" t="s">
        <v>17</v>
      </c>
      <c r="E145">
        <v>1</v>
      </c>
      <c r="F145">
        <v>30</v>
      </c>
      <c r="G145">
        <f t="shared" si="29"/>
        <v>30</v>
      </c>
      <c r="H145" t="s">
        <v>37</v>
      </c>
      <c r="J145" t="s">
        <v>18</v>
      </c>
      <c r="K145" t="str">
        <f t="shared" si="30"/>
        <v>MARZO</v>
      </c>
      <c r="L145">
        <f t="shared" si="31"/>
        <v>2026</v>
      </c>
    </row>
    <row r="146" spans="1:12" x14ac:dyDescent="0.3">
      <c r="A146" s="72">
        <v>46084</v>
      </c>
      <c r="B146" s="3" t="s">
        <v>158</v>
      </c>
      <c r="C146" t="s">
        <v>158</v>
      </c>
      <c r="D146" t="s">
        <v>70</v>
      </c>
      <c r="E146">
        <v>1</v>
      </c>
      <c r="F146">
        <v>12</v>
      </c>
      <c r="G146">
        <f t="shared" si="29"/>
        <v>12</v>
      </c>
      <c r="H146" t="s">
        <v>38</v>
      </c>
      <c r="J146" t="s">
        <v>18</v>
      </c>
      <c r="K146" t="str">
        <f t="shared" si="30"/>
        <v>MARZO</v>
      </c>
      <c r="L146">
        <f t="shared" si="31"/>
        <v>2026</v>
      </c>
    </row>
    <row r="147" spans="1:12" x14ac:dyDescent="0.3">
      <c r="A147" s="72">
        <v>46084</v>
      </c>
      <c r="B147" s="3" t="s">
        <v>537</v>
      </c>
      <c r="C147" t="s">
        <v>402</v>
      </c>
      <c r="D147" t="s">
        <v>17</v>
      </c>
      <c r="E147">
        <v>1</v>
      </c>
      <c r="F147">
        <v>350</v>
      </c>
      <c r="G147">
        <f t="shared" si="29"/>
        <v>350</v>
      </c>
      <c r="H147" t="s">
        <v>38</v>
      </c>
      <c r="J147" t="s">
        <v>18</v>
      </c>
      <c r="K147" t="str">
        <f t="shared" si="30"/>
        <v>MARZO</v>
      </c>
      <c r="L147">
        <f t="shared" si="31"/>
        <v>2026</v>
      </c>
    </row>
    <row r="148" spans="1:12" x14ac:dyDescent="0.3">
      <c r="A148" s="72">
        <v>46084</v>
      </c>
      <c r="B148" s="3" t="s">
        <v>538</v>
      </c>
      <c r="C148" t="s">
        <v>539</v>
      </c>
      <c r="D148" t="s">
        <v>17</v>
      </c>
      <c r="E148">
        <v>1</v>
      </c>
      <c r="F148">
        <v>60</v>
      </c>
      <c r="G148">
        <f t="shared" si="29"/>
        <v>60</v>
      </c>
      <c r="H148" t="s">
        <v>37</v>
      </c>
      <c r="J148" t="s">
        <v>18</v>
      </c>
      <c r="K148" t="str">
        <f t="shared" si="30"/>
        <v>MARZO</v>
      </c>
      <c r="L148">
        <f t="shared" si="31"/>
        <v>2026</v>
      </c>
    </row>
    <row r="149" spans="1:12" x14ac:dyDescent="0.3">
      <c r="A149" s="72">
        <v>46085</v>
      </c>
      <c r="B149" s="3" t="s">
        <v>540</v>
      </c>
      <c r="C149" t="s">
        <v>541</v>
      </c>
      <c r="D149" t="s">
        <v>21</v>
      </c>
      <c r="E149">
        <v>2</v>
      </c>
      <c r="F149">
        <v>10</v>
      </c>
      <c r="G149">
        <f t="shared" si="29"/>
        <v>20</v>
      </c>
      <c r="H149" t="s">
        <v>38</v>
      </c>
      <c r="J149" t="s">
        <v>18</v>
      </c>
      <c r="K149" t="str">
        <f t="shared" si="30"/>
        <v>MARZO</v>
      </c>
      <c r="L149">
        <f t="shared" si="31"/>
        <v>2026</v>
      </c>
    </row>
    <row r="150" spans="1:12" x14ac:dyDescent="0.3">
      <c r="A150" s="72">
        <v>46085</v>
      </c>
      <c r="B150" s="3" t="s">
        <v>542</v>
      </c>
      <c r="C150" t="s">
        <v>543</v>
      </c>
      <c r="D150" t="s">
        <v>17</v>
      </c>
      <c r="E150">
        <v>1</v>
      </c>
      <c r="F150">
        <v>5</v>
      </c>
      <c r="G150">
        <f t="shared" si="29"/>
        <v>5</v>
      </c>
      <c r="H150" t="s">
        <v>37</v>
      </c>
      <c r="J150" t="s">
        <v>18</v>
      </c>
      <c r="K150" t="str">
        <f t="shared" si="30"/>
        <v>MARZO</v>
      </c>
      <c r="L150">
        <f t="shared" si="31"/>
        <v>2026</v>
      </c>
    </row>
    <row r="151" spans="1:12" x14ac:dyDescent="0.3">
      <c r="A151" s="72">
        <v>46085</v>
      </c>
      <c r="B151" s="3" t="s">
        <v>412</v>
      </c>
      <c r="C151" t="s">
        <v>544</v>
      </c>
      <c r="D151" t="s">
        <v>23</v>
      </c>
      <c r="E151">
        <v>1</v>
      </c>
      <c r="F151">
        <v>100</v>
      </c>
      <c r="G151">
        <f t="shared" si="29"/>
        <v>100</v>
      </c>
      <c r="H151" t="s">
        <v>38</v>
      </c>
      <c r="I151" t="s">
        <v>545</v>
      </c>
      <c r="J151" t="s">
        <v>18</v>
      </c>
      <c r="K151" t="str">
        <f t="shared" si="30"/>
        <v>MARZO</v>
      </c>
      <c r="L151">
        <f t="shared" si="31"/>
        <v>2026</v>
      </c>
    </row>
    <row r="152" spans="1:12" x14ac:dyDescent="0.3">
      <c r="A152" s="72">
        <v>46085</v>
      </c>
      <c r="B152" s="3" t="s">
        <v>546</v>
      </c>
      <c r="C152" t="s">
        <v>547</v>
      </c>
      <c r="D152" t="s">
        <v>17</v>
      </c>
      <c r="E152">
        <v>1</v>
      </c>
      <c r="F152">
        <v>215</v>
      </c>
      <c r="G152">
        <f t="shared" si="29"/>
        <v>215</v>
      </c>
      <c r="H152" t="s">
        <v>38</v>
      </c>
      <c r="J152" t="s">
        <v>18</v>
      </c>
      <c r="K152" t="str">
        <f t="shared" si="30"/>
        <v>MARZO</v>
      </c>
      <c r="L152">
        <f t="shared" si="31"/>
        <v>2026</v>
      </c>
    </row>
    <row r="153" spans="1:12" x14ac:dyDescent="0.3">
      <c r="A153" s="72">
        <v>46078</v>
      </c>
      <c r="B153" s="3"/>
      <c r="G153">
        <f t="shared" si="29"/>
        <v>0</v>
      </c>
      <c r="K153" t="str">
        <f t="shared" si="30"/>
        <v>FEBRERO</v>
      </c>
      <c r="L153">
        <f t="shared" si="31"/>
        <v>2026</v>
      </c>
    </row>
    <row r="154" spans="1:12" x14ac:dyDescent="0.3">
      <c r="A154" s="72">
        <v>46078</v>
      </c>
      <c r="B154" s="3"/>
      <c r="G154">
        <f t="shared" si="29"/>
        <v>0</v>
      </c>
      <c r="K154" t="str">
        <f t="shared" si="30"/>
        <v>FEBRERO</v>
      </c>
      <c r="L154">
        <f t="shared" si="31"/>
        <v>2026</v>
      </c>
    </row>
    <row r="155" spans="1:12" x14ac:dyDescent="0.3">
      <c r="A155" s="72">
        <v>46078</v>
      </c>
      <c r="B155" s="3"/>
      <c r="G155">
        <f t="shared" si="29"/>
        <v>0</v>
      </c>
      <c r="K155" t="str">
        <f t="shared" si="30"/>
        <v>FEBRERO</v>
      </c>
      <c r="L155">
        <f t="shared" si="31"/>
        <v>2026</v>
      </c>
    </row>
    <row r="156" spans="1:12" x14ac:dyDescent="0.3">
      <c r="A156" s="72">
        <v>46078</v>
      </c>
      <c r="B156" s="3"/>
      <c r="G156">
        <f t="shared" si="29"/>
        <v>0</v>
      </c>
      <c r="K156" t="str">
        <f t="shared" si="30"/>
        <v>FEBRERO</v>
      </c>
      <c r="L156">
        <f t="shared" si="31"/>
        <v>2026</v>
      </c>
    </row>
    <row r="157" spans="1:12" x14ac:dyDescent="0.3">
      <c r="A157" s="72">
        <v>46078</v>
      </c>
      <c r="B157" s="3"/>
      <c r="G157">
        <f t="shared" si="29"/>
        <v>0</v>
      </c>
      <c r="K157" t="str">
        <f t="shared" si="30"/>
        <v>FEBRERO</v>
      </c>
      <c r="L157">
        <f t="shared" si="31"/>
        <v>2026</v>
      </c>
    </row>
    <row r="158" spans="1:12" x14ac:dyDescent="0.3">
      <c r="A158" s="72">
        <v>46078</v>
      </c>
      <c r="B158" s="3"/>
      <c r="G158">
        <f t="shared" si="29"/>
        <v>0</v>
      </c>
      <c r="K158" t="str">
        <f t="shared" si="30"/>
        <v>FEBRERO</v>
      </c>
      <c r="L158">
        <f t="shared" si="31"/>
        <v>2026</v>
      </c>
    </row>
    <row r="159" spans="1:12" x14ac:dyDescent="0.3">
      <c r="A159" s="72">
        <v>46078</v>
      </c>
      <c r="B159" s="3"/>
      <c r="G159">
        <f t="shared" si="29"/>
        <v>0</v>
      </c>
      <c r="K159" t="str">
        <f t="shared" si="30"/>
        <v>FEBRERO</v>
      </c>
      <c r="L159">
        <f t="shared" si="31"/>
        <v>2026</v>
      </c>
    </row>
    <row r="160" spans="1:12" x14ac:dyDescent="0.3">
      <c r="A160" s="72">
        <v>46078</v>
      </c>
      <c r="B160" s="3"/>
      <c r="G160">
        <f t="shared" si="29"/>
        <v>0</v>
      </c>
      <c r="K160" t="str">
        <f t="shared" si="30"/>
        <v>FEBRERO</v>
      </c>
      <c r="L160">
        <f t="shared" si="31"/>
        <v>2026</v>
      </c>
    </row>
    <row r="161" spans="1:12" x14ac:dyDescent="0.3">
      <c r="A161" s="72">
        <v>46078</v>
      </c>
      <c r="B161" s="3"/>
      <c r="G161">
        <f t="shared" si="29"/>
        <v>0</v>
      </c>
      <c r="K161" t="str">
        <f t="shared" si="30"/>
        <v>FEBRERO</v>
      </c>
      <c r="L161">
        <f t="shared" si="31"/>
        <v>2026</v>
      </c>
    </row>
    <row r="162" spans="1:12" x14ac:dyDescent="0.3">
      <c r="A162" s="72">
        <v>46078</v>
      </c>
      <c r="B162" s="3"/>
      <c r="G162">
        <f t="shared" si="29"/>
        <v>0</v>
      </c>
      <c r="K162" t="str">
        <f t="shared" si="30"/>
        <v>FEBRERO</v>
      </c>
      <c r="L162">
        <f t="shared" si="31"/>
        <v>2026</v>
      </c>
    </row>
    <row r="163" spans="1:12" x14ac:dyDescent="0.3">
      <c r="A163" s="72">
        <v>46078</v>
      </c>
      <c r="B163" s="3"/>
      <c r="G163">
        <f t="shared" si="29"/>
        <v>0</v>
      </c>
      <c r="K163" t="str">
        <f t="shared" si="30"/>
        <v>FEBRERO</v>
      </c>
      <c r="L163">
        <f t="shared" si="31"/>
        <v>2026</v>
      </c>
    </row>
    <row r="164" spans="1:12" x14ac:dyDescent="0.3">
      <c r="A164" s="72">
        <v>46078</v>
      </c>
      <c r="B164" s="3"/>
      <c r="G164">
        <f t="shared" si="29"/>
        <v>0</v>
      </c>
      <c r="K164" t="str">
        <f t="shared" si="30"/>
        <v>FEBRERO</v>
      </c>
      <c r="L164">
        <f t="shared" si="31"/>
        <v>2026</v>
      </c>
    </row>
    <row r="165" spans="1:12" x14ac:dyDescent="0.3">
      <c r="A165" s="72">
        <v>46078</v>
      </c>
      <c r="B165" s="3"/>
      <c r="G165">
        <f t="shared" si="29"/>
        <v>0</v>
      </c>
      <c r="K165" t="str">
        <f t="shared" si="30"/>
        <v>FEBRERO</v>
      </c>
      <c r="L165">
        <f t="shared" si="31"/>
        <v>2026</v>
      </c>
    </row>
    <row r="166" spans="1:12" x14ac:dyDescent="0.3">
      <c r="A166" s="72">
        <v>46078</v>
      </c>
      <c r="B166" s="3"/>
      <c r="G166">
        <f t="shared" si="29"/>
        <v>0</v>
      </c>
      <c r="K166" t="str">
        <f t="shared" si="30"/>
        <v>FEBRERO</v>
      </c>
      <c r="L166">
        <f t="shared" si="31"/>
        <v>2026</v>
      </c>
    </row>
    <row r="167" spans="1:12" x14ac:dyDescent="0.3">
      <c r="A167" s="72">
        <v>46078</v>
      </c>
      <c r="B167" s="3"/>
      <c r="G167">
        <f t="shared" si="29"/>
        <v>0</v>
      </c>
      <c r="K167" t="str">
        <f t="shared" si="30"/>
        <v>FEBRERO</v>
      </c>
      <c r="L167">
        <f t="shared" si="31"/>
        <v>2026</v>
      </c>
    </row>
    <row r="168" spans="1:12" x14ac:dyDescent="0.3">
      <c r="A168" s="72">
        <v>46078</v>
      </c>
      <c r="B168" s="3"/>
      <c r="G168">
        <f t="shared" si="29"/>
        <v>0</v>
      </c>
      <c r="K168" t="str">
        <f t="shared" si="30"/>
        <v>FEBRERO</v>
      </c>
      <c r="L168">
        <f t="shared" si="31"/>
        <v>2026</v>
      </c>
    </row>
    <row r="169" spans="1:12" x14ac:dyDescent="0.3">
      <c r="A169" s="72">
        <v>46078</v>
      </c>
      <c r="B169" s="3"/>
      <c r="G169">
        <f t="shared" si="29"/>
        <v>0</v>
      </c>
      <c r="K169" t="str">
        <f t="shared" si="30"/>
        <v>FEBRERO</v>
      </c>
      <c r="L169">
        <f t="shared" si="31"/>
        <v>2026</v>
      </c>
    </row>
    <row r="170" spans="1:12" x14ac:dyDescent="0.3">
      <c r="A170" s="72">
        <v>46078</v>
      </c>
      <c r="B170" s="3"/>
      <c r="G170">
        <f t="shared" si="29"/>
        <v>0</v>
      </c>
      <c r="K170" t="str">
        <f t="shared" si="30"/>
        <v>FEBRERO</v>
      </c>
      <c r="L170">
        <f t="shared" si="31"/>
        <v>2026</v>
      </c>
    </row>
    <row r="171" spans="1:12" x14ac:dyDescent="0.3">
      <c r="A171" s="72">
        <v>46078</v>
      </c>
      <c r="B171" s="3"/>
      <c r="G171">
        <f t="shared" si="29"/>
        <v>0</v>
      </c>
      <c r="K171" t="str">
        <f t="shared" si="30"/>
        <v>FEBRERO</v>
      </c>
      <c r="L171">
        <f t="shared" si="31"/>
        <v>2026</v>
      </c>
    </row>
    <row r="172" spans="1:12" x14ac:dyDescent="0.3">
      <c r="A172" s="72">
        <v>46078</v>
      </c>
      <c r="B172" s="3"/>
      <c r="G172">
        <f t="shared" si="29"/>
        <v>0</v>
      </c>
      <c r="K172" t="str">
        <f t="shared" si="30"/>
        <v>FEBRERO</v>
      </c>
      <c r="L172">
        <f t="shared" si="31"/>
        <v>2026</v>
      </c>
    </row>
    <row r="173" spans="1:12" x14ac:dyDescent="0.3">
      <c r="A173" s="72">
        <v>46078</v>
      </c>
      <c r="B173" s="3"/>
      <c r="G173">
        <f t="shared" si="29"/>
        <v>0</v>
      </c>
      <c r="K173" t="str">
        <f t="shared" si="30"/>
        <v>FEBRERO</v>
      </c>
      <c r="L173">
        <f t="shared" si="31"/>
        <v>2026</v>
      </c>
    </row>
    <row r="174" spans="1:12" x14ac:dyDescent="0.3">
      <c r="A174" s="72">
        <v>46078</v>
      </c>
      <c r="B174" s="3"/>
      <c r="G174">
        <f t="shared" si="29"/>
        <v>0</v>
      </c>
      <c r="K174" t="str">
        <f t="shared" si="30"/>
        <v>FEBRERO</v>
      </c>
      <c r="L174">
        <f t="shared" si="31"/>
        <v>2026</v>
      </c>
    </row>
    <row r="175" spans="1:12" x14ac:dyDescent="0.3">
      <c r="A175" s="72">
        <v>46078</v>
      </c>
      <c r="B175" s="3"/>
      <c r="G175">
        <f t="shared" si="29"/>
        <v>0</v>
      </c>
      <c r="K175" t="str">
        <f t="shared" si="30"/>
        <v>FEBRERO</v>
      </c>
      <c r="L175">
        <f t="shared" si="31"/>
        <v>2026</v>
      </c>
    </row>
    <row r="176" spans="1:12" x14ac:dyDescent="0.3">
      <c r="A176" s="72">
        <v>46078</v>
      </c>
      <c r="B176" s="3"/>
      <c r="G176">
        <f t="shared" si="29"/>
        <v>0</v>
      </c>
      <c r="K176" t="str">
        <f t="shared" si="30"/>
        <v>FEBRERO</v>
      </c>
      <c r="L176">
        <f t="shared" si="31"/>
        <v>2026</v>
      </c>
    </row>
    <row r="177" spans="1:12" x14ac:dyDescent="0.3">
      <c r="A177" s="72">
        <v>46078</v>
      </c>
      <c r="B177" s="3"/>
      <c r="G177">
        <f t="shared" si="29"/>
        <v>0</v>
      </c>
      <c r="K177" t="str">
        <f t="shared" si="30"/>
        <v>FEBRERO</v>
      </c>
      <c r="L177">
        <f t="shared" si="31"/>
        <v>2026</v>
      </c>
    </row>
  </sheetData>
  <mergeCells count="2">
    <mergeCell ref="A1:D1"/>
    <mergeCell ref="E1:M1"/>
  </mergeCells>
  <pageMargins left="0.7" right="0.7" top="0.75" bottom="0.75" header="0.3" footer="0.3"/>
  <pageSetup paperSize="9" scale="58" fitToHeight="0" orientation="landscape" horizontalDpi="0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C4D0EF3-7244-448A-9D66-3613C08AE958}">
          <x14:formula1>
            <xm:f>'CUENTAS CONTABLES'!$A$5:$A$7</xm:f>
          </x14:formula1>
          <xm:sqref>H46:H49 H4:H41</xm:sqref>
        </x14:dataValidation>
        <x14:dataValidation type="list" allowBlank="1" showInputMessage="1" showErrorMessage="1" xr:uid="{39171D55-2916-4F59-8031-3E7FE013C873}">
          <x14:formula1>
            <xm:f>'CUENTAS CONTABLES'!$E$5:$E$10</xm:f>
          </x14:formula1>
          <xm:sqref>D4:D177</xm:sqref>
        </x14:dataValidation>
        <x14:dataValidation type="list" allowBlank="1" showInputMessage="1" showErrorMessage="1" xr:uid="{7B18A19A-50C2-4B42-ABF8-9CE8FF886D3B}">
          <x14:formula1>
            <xm:f>'CUENTAS CONTABLES'!$G$5:$G$11</xm:f>
          </x14:formula1>
          <xm:sqref>J4:J90</xm:sqref>
        </x14:dataValidation>
        <x14:dataValidation type="list" allowBlank="1" showInputMessage="1" showErrorMessage="1" xr:uid="{2A99EBE5-CAEF-4186-B1E4-BD03C6CAFCFD}">
          <x14:formula1>
            <xm:f>'CUENTAS CONTABLES'!$G$5:$G$14</xm:f>
          </x14:formula1>
          <xm:sqref>J91:J110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F279-1602-47A3-9742-752D431C92E6}">
  <dimension ref="A1:M166"/>
  <sheetViews>
    <sheetView workbookViewId="0">
      <selection sqref="A1:F1"/>
    </sheetView>
  </sheetViews>
  <sheetFormatPr baseColWidth="10" defaultRowHeight="14.4" x14ac:dyDescent="0.3"/>
  <cols>
    <col min="2" max="2" width="16" customWidth="1"/>
    <col min="3" max="3" width="27.109375" customWidth="1"/>
    <col min="4" max="4" width="11.77734375" customWidth="1"/>
    <col min="6" max="6" width="20" customWidth="1"/>
    <col min="7" max="7" width="24.88671875" customWidth="1"/>
    <col min="8" max="8" width="17.77734375" customWidth="1"/>
    <col min="10" max="10" width="12.109375" customWidth="1"/>
    <col min="11" max="11" width="17.5546875" customWidth="1"/>
  </cols>
  <sheetData>
    <row r="1" spans="1:13" ht="35.4" customHeight="1" x14ac:dyDescent="0.3">
      <c r="A1" s="76"/>
      <c r="B1" s="76"/>
      <c r="C1" s="76"/>
      <c r="D1" s="76"/>
      <c r="E1" s="76"/>
      <c r="F1" s="76"/>
      <c r="G1" s="78" t="s">
        <v>60</v>
      </c>
      <c r="H1" s="78"/>
      <c r="I1" s="78"/>
      <c r="J1" s="78"/>
      <c r="K1" s="78"/>
      <c r="L1" s="78"/>
      <c r="M1" s="78"/>
    </row>
    <row r="3" spans="1:13" x14ac:dyDescent="0.3">
      <c r="A3" s="11" t="s">
        <v>1</v>
      </c>
      <c r="B3" s="11" t="s">
        <v>2</v>
      </c>
      <c r="C3" s="11" t="s">
        <v>61</v>
      </c>
      <c r="D3" s="11" t="s">
        <v>3</v>
      </c>
      <c r="E3" s="11" t="s">
        <v>4</v>
      </c>
      <c r="F3" s="11" t="s">
        <v>57</v>
      </c>
      <c r="G3" s="11" t="s">
        <v>58</v>
      </c>
      <c r="H3" s="11" t="s">
        <v>59</v>
      </c>
      <c r="I3" s="11" t="s">
        <v>7</v>
      </c>
      <c r="J3" s="11" t="s">
        <v>8</v>
      </c>
      <c r="K3" s="11" t="s">
        <v>10</v>
      </c>
      <c r="L3" s="11" t="s">
        <v>90</v>
      </c>
    </row>
    <row r="4" spans="1:13" x14ac:dyDescent="0.3">
      <c r="A4" s="12">
        <v>46027</v>
      </c>
      <c r="B4" s="12" t="s">
        <v>22</v>
      </c>
      <c r="C4" s="13" t="s">
        <v>72</v>
      </c>
      <c r="D4" s="14">
        <v>1</v>
      </c>
      <c r="E4" s="15">
        <v>7.3</v>
      </c>
      <c r="F4" s="15">
        <f>Tabla8[[#This Row],[CANTIDAD]]*Tabla8[[#This Row],[PRECIO]]</f>
        <v>7.3</v>
      </c>
      <c r="G4" s="13" t="s">
        <v>300</v>
      </c>
      <c r="H4" s="13"/>
      <c r="I4" s="13" t="str">
        <f t="shared" ref="I4:I35" si="0">UPPER(TEXT(A4,"MMMM"))</f>
        <v>ENERO</v>
      </c>
      <c r="J4" s="13">
        <f t="shared" ref="J4:J35" si="1">+YEAR(A4)</f>
        <v>2026</v>
      </c>
      <c r="K4" s="13" t="s">
        <v>18</v>
      </c>
      <c r="L4" s="13"/>
    </row>
    <row r="5" spans="1:13" x14ac:dyDescent="0.3">
      <c r="A5" s="12">
        <v>46027</v>
      </c>
      <c r="B5" s="12" t="s">
        <v>69</v>
      </c>
      <c r="C5" s="13" t="s">
        <v>65</v>
      </c>
      <c r="D5" s="14">
        <v>1</v>
      </c>
      <c r="E5" s="15">
        <v>22</v>
      </c>
      <c r="F5" s="15">
        <f>Tabla8[[#This Row],[CANTIDAD]]*Tabla8[[#This Row],[PRECIO]]</f>
        <v>22</v>
      </c>
      <c r="G5" s="13" t="s">
        <v>301</v>
      </c>
      <c r="H5" s="13"/>
      <c r="I5" s="13" t="str">
        <f t="shared" si="0"/>
        <v>ENERO</v>
      </c>
      <c r="J5" s="13">
        <f t="shared" si="1"/>
        <v>2026</v>
      </c>
      <c r="K5" s="13" t="s">
        <v>18</v>
      </c>
      <c r="L5" s="13"/>
    </row>
    <row r="6" spans="1:13" x14ac:dyDescent="0.3">
      <c r="A6" s="12">
        <v>46027</v>
      </c>
      <c r="B6" s="12" t="s">
        <v>68</v>
      </c>
      <c r="C6" s="13" t="s">
        <v>65</v>
      </c>
      <c r="D6" s="14">
        <v>1</v>
      </c>
      <c r="E6" s="15">
        <v>15</v>
      </c>
      <c r="F6" s="15">
        <f>Tabla8[[#This Row],[CANTIDAD]]*Tabla8[[#This Row],[PRECIO]]</f>
        <v>15</v>
      </c>
      <c r="G6" s="13" t="s">
        <v>302</v>
      </c>
      <c r="H6" s="13"/>
      <c r="I6" s="13" t="str">
        <f t="shared" si="0"/>
        <v>ENERO</v>
      </c>
      <c r="J6" s="13">
        <f t="shared" si="1"/>
        <v>2026</v>
      </c>
      <c r="K6" s="13" t="s">
        <v>18</v>
      </c>
      <c r="L6" s="13"/>
    </row>
    <row r="7" spans="1:13" x14ac:dyDescent="0.3">
      <c r="A7" s="12">
        <v>46027</v>
      </c>
      <c r="B7" s="68" t="s">
        <v>25</v>
      </c>
      <c r="C7" s="13" t="s">
        <v>448</v>
      </c>
      <c r="D7" s="14">
        <v>1</v>
      </c>
      <c r="E7" s="15">
        <v>5</v>
      </c>
      <c r="F7" s="15">
        <f>Tabla8[[#This Row],[CANTIDAD]]*Tabla8[[#This Row],[PRECIO]]</f>
        <v>5</v>
      </c>
      <c r="G7" s="13" t="s">
        <v>449</v>
      </c>
      <c r="H7" s="13"/>
      <c r="I7" s="13" t="str">
        <f t="shared" si="0"/>
        <v>ENERO</v>
      </c>
      <c r="J7" s="13">
        <f t="shared" si="1"/>
        <v>2026</v>
      </c>
      <c r="K7" s="13" t="s">
        <v>30</v>
      </c>
      <c r="L7" s="13"/>
    </row>
    <row r="8" spans="1:13" x14ac:dyDescent="0.3">
      <c r="A8" s="12">
        <v>46027</v>
      </c>
      <c r="B8" s="68" t="s">
        <v>25</v>
      </c>
      <c r="C8" s="13" t="s">
        <v>448</v>
      </c>
      <c r="D8" s="14">
        <v>1</v>
      </c>
      <c r="E8" s="15">
        <v>5</v>
      </c>
      <c r="F8" s="15">
        <f>Tabla8[[#This Row],[CANTIDAD]]*Tabla8[[#This Row],[PRECIO]]</f>
        <v>5</v>
      </c>
      <c r="G8" s="13" t="s">
        <v>449</v>
      </c>
      <c r="H8" s="13"/>
      <c r="I8" s="13" t="str">
        <f t="shared" si="0"/>
        <v>ENERO</v>
      </c>
      <c r="J8" s="13">
        <f t="shared" si="1"/>
        <v>2026</v>
      </c>
      <c r="K8" s="13" t="s">
        <v>30</v>
      </c>
      <c r="L8" s="13"/>
    </row>
    <row r="9" spans="1:13" x14ac:dyDescent="0.3">
      <c r="A9" s="12">
        <v>46027</v>
      </c>
      <c r="B9" s="68" t="s">
        <v>69</v>
      </c>
      <c r="C9" s="13" t="s">
        <v>65</v>
      </c>
      <c r="D9" s="14">
        <v>1</v>
      </c>
      <c r="E9" s="15">
        <v>20</v>
      </c>
      <c r="F9" s="15">
        <f>Tabla8[[#This Row],[CANTIDAD]]*Tabla8[[#This Row],[PRECIO]]</f>
        <v>20</v>
      </c>
      <c r="G9" s="13" t="s">
        <v>408</v>
      </c>
      <c r="H9" s="13"/>
      <c r="I9" s="13" t="str">
        <f t="shared" si="0"/>
        <v>ENERO</v>
      </c>
      <c r="J9" s="13">
        <f t="shared" si="1"/>
        <v>2026</v>
      </c>
      <c r="K9" s="13" t="s">
        <v>27</v>
      </c>
      <c r="L9" s="13"/>
    </row>
    <row r="10" spans="1:13" x14ac:dyDescent="0.3">
      <c r="A10" s="12">
        <v>46027</v>
      </c>
      <c r="B10" s="68" t="s">
        <v>67</v>
      </c>
      <c r="C10" s="13" t="s">
        <v>63</v>
      </c>
      <c r="D10" s="14">
        <v>1</v>
      </c>
      <c r="E10" s="15">
        <v>233.47</v>
      </c>
      <c r="F10" s="15">
        <f>Tabla8[[#This Row],[CANTIDAD]]*Tabla8[[#This Row],[PRECIO]]</f>
        <v>233.47</v>
      </c>
      <c r="G10" s="13" t="s">
        <v>419</v>
      </c>
      <c r="H10" s="13"/>
      <c r="I10" s="13" t="str">
        <f t="shared" si="0"/>
        <v>ENERO</v>
      </c>
      <c r="J10" s="13">
        <f t="shared" si="1"/>
        <v>2026</v>
      </c>
      <c r="K10" s="13" t="s">
        <v>27</v>
      </c>
      <c r="L10" s="13"/>
    </row>
    <row r="11" spans="1:13" x14ac:dyDescent="0.3">
      <c r="A11" s="12">
        <v>46027</v>
      </c>
      <c r="B11" s="68" t="s">
        <v>67</v>
      </c>
      <c r="C11" s="13" t="s">
        <v>420</v>
      </c>
      <c r="D11" s="14">
        <v>1</v>
      </c>
      <c r="E11" s="15">
        <v>10.93</v>
      </c>
      <c r="F11" s="15">
        <f>Tabla8[[#This Row],[CANTIDAD]]*Tabla8[[#This Row],[PRECIO]]</f>
        <v>10.93</v>
      </c>
      <c r="G11" s="13" t="s">
        <v>419</v>
      </c>
      <c r="H11" s="13"/>
      <c r="I11" s="13" t="str">
        <f t="shared" si="0"/>
        <v>ENERO</v>
      </c>
      <c r="J11" s="13">
        <f t="shared" si="1"/>
        <v>2026</v>
      </c>
      <c r="K11" s="13" t="s">
        <v>27</v>
      </c>
      <c r="L11" s="13"/>
    </row>
    <row r="12" spans="1:13" x14ac:dyDescent="0.3">
      <c r="A12" s="12">
        <v>46027</v>
      </c>
      <c r="B12" s="68" t="s">
        <v>67</v>
      </c>
      <c r="C12" s="13" t="s">
        <v>421</v>
      </c>
      <c r="D12" s="14">
        <v>1</v>
      </c>
      <c r="E12" s="15">
        <v>68</v>
      </c>
      <c r="F12" s="15">
        <f>Tabla8[[#This Row],[CANTIDAD]]*Tabla8[[#This Row],[PRECIO]]</f>
        <v>68</v>
      </c>
      <c r="G12" s="13" t="s">
        <v>422</v>
      </c>
      <c r="H12" s="13"/>
      <c r="I12" s="13" t="str">
        <f t="shared" si="0"/>
        <v>ENERO</v>
      </c>
      <c r="J12" s="13">
        <f t="shared" si="1"/>
        <v>2026</v>
      </c>
      <c r="K12" s="13" t="s">
        <v>27</v>
      </c>
      <c r="L12" s="13"/>
    </row>
    <row r="13" spans="1:13" x14ac:dyDescent="0.3">
      <c r="A13" s="12">
        <v>46027</v>
      </c>
      <c r="B13" s="68" t="s">
        <v>67</v>
      </c>
      <c r="C13" s="13" t="s">
        <v>423</v>
      </c>
      <c r="D13" s="14">
        <v>1</v>
      </c>
      <c r="E13" s="15">
        <v>55.61</v>
      </c>
      <c r="F13" s="15">
        <f>Tabla8[[#This Row],[CANTIDAD]]*Tabla8[[#This Row],[PRECIO]]</f>
        <v>55.61</v>
      </c>
      <c r="G13" s="13" t="s">
        <v>419</v>
      </c>
      <c r="H13" s="13"/>
      <c r="I13" s="13" t="str">
        <f t="shared" si="0"/>
        <v>ENERO</v>
      </c>
      <c r="J13" s="13">
        <f t="shared" si="1"/>
        <v>2026</v>
      </c>
      <c r="K13" s="13" t="s">
        <v>27</v>
      </c>
      <c r="L13" s="13"/>
    </row>
    <row r="14" spans="1:13" x14ac:dyDescent="0.3">
      <c r="A14" s="12">
        <v>46028</v>
      </c>
      <c r="B14" s="12" t="s">
        <v>67</v>
      </c>
      <c r="C14" s="13" t="s">
        <v>72</v>
      </c>
      <c r="D14" s="14">
        <v>1</v>
      </c>
      <c r="E14" s="15">
        <v>73</v>
      </c>
      <c r="F14" s="15">
        <f>Tabla8[[#This Row],[CANTIDAD]]*Tabla8[[#This Row],[PRECIO]]</f>
        <v>73</v>
      </c>
      <c r="G14" s="13" t="s">
        <v>303</v>
      </c>
      <c r="H14" s="13"/>
      <c r="I14" s="13" t="str">
        <f t="shared" si="0"/>
        <v>ENERO</v>
      </c>
      <c r="J14" s="13">
        <f t="shared" si="1"/>
        <v>2026</v>
      </c>
      <c r="K14" s="13" t="s">
        <v>18</v>
      </c>
      <c r="L14" s="13"/>
    </row>
    <row r="15" spans="1:13" ht="12.6" customHeight="1" x14ac:dyDescent="0.3">
      <c r="A15" s="12">
        <v>46028</v>
      </c>
      <c r="B15" s="12" t="s">
        <v>67</v>
      </c>
      <c r="C15" s="13" t="s">
        <v>72</v>
      </c>
      <c r="D15" s="14">
        <v>1</v>
      </c>
      <c r="E15" s="15">
        <v>3</v>
      </c>
      <c r="F15" s="15">
        <f>Tabla8[[#This Row],[CANTIDAD]]*Tabla8[[#This Row],[PRECIO]]</f>
        <v>3</v>
      </c>
      <c r="G15" s="13" t="s">
        <v>304</v>
      </c>
      <c r="H15" s="13"/>
      <c r="I15" s="13" t="str">
        <f t="shared" si="0"/>
        <v>ENERO</v>
      </c>
      <c r="J15" s="13">
        <f t="shared" si="1"/>
        <v>2026</v>
      </c>
      <c r="K15" s="13" t="s">
        <v>18</v>
      </c>
      <c r="L15" s="13"/>
    </row>
    <row r="16" spans="1:13" x14ac:dyDescent="0.3">
      <c r="A16" s="12">
        <v>46028</v>
      </c>
      <c r="B16" s="12" t="s">
        <v>68</v>
      </c>
      <c r="C16" s="13" t="s">
        <v>65</v>
      </c>
      <c r="D16" s="14">
        <v>1</v>
      </c>
      <c r="E16" s="15">
        <v>10</v>
      </c>
      <c r="F16" s="15">
        <f>Tabla8[[#This Row],[CANTIDAD]]*Tabla8[[#This Row],[PRECIO]]</f>
        <v>10</v>
      </c>
      <c r="G16" s="13" t="s">
        <v>305</v>
      </c>
      <c r="H16" s="13"/>
      <c r="I16" s="13" t="str">
        <f t="shared" si="0"/>
        <v>ENERO</v>
      </c>
      <c r="J16" s="13">
        <f t="shared" si="1"/>
        <v>2026</v>
      </c>
      <c r="K16" s="13" t="s">
        <v>18</v>
      </c>
      <c r="L16" s="13"/>
    </row>
    <row r="17" spans="1:12" x14ac:dyDescent="0.3">
      <c r="A17" s="12">
        <v>46028</v>
      </c>
      <c r="B17" s="12" t="s">
        <v>69</v>
      </c>
      <c r="C17" s="13" t="s">
        <v>65</v>
      </c>
      <c r="D17" s="14">
        <v>1</v>
      </c>
      <c r="E17" s="15">
        <v>70</v>
      </c>
      <c r="F17" s="15">
        <f>Tabla8[[#This Row],[CANTIDAD]]*Tabla8[[#This Row],[PRECIO]]</f>
        <v>70</v>
      </c>
      <c r="G17" s="13" t="s">
        <v>301</v>
      </c>
      <c r="H17" s="13"/>
      <c r="I17" s="13" t="str">
        <f t="shared" si="0"/>
        <v>ENERO</v>
      </c>
      <c r="J17" s="13">
        <f t="shared" si="1"/>
        <v>2026</v>
      </c>
      <c r="K17" s="13" t="s">
        <v>18</v>
      </c>
      <c r="L17" s="13"/>
    </row>
    <row r="18" spans="1:12" x14ac:dyDescent="0.3">
      <c r="A18" s="12">
        <v>46028</v>
      </c>
      <c r="B18" s="12" t="s">
        <v>67</v>
      </c>
      <c r="C18" s="13" t="s">
        <v>65</v>
      </c>
      <c r="D18" s="14">
        <v>1</v>
      </c>
      <c r="E18" s="15">
        <v>65.06</v>
      </c>
      <c r="F18" s="15">
        <f>Tabla8[[#This Row],[CANTIDAD]]*Tabla8[[#This Row],[PRECIO]]</f>
        <v>65.06</v>
      </c>
      <c r="G18" s="13" t="s">
        <v>306</v>
      </c>
      <c r="H18" s="13"/>
      <c r="I18" s="13" t="str">
        <f t="shared" si="0"/>
        <v>ENERO</v>
      </c>
      <c r="J18" s="13">
        <f t="shared" si="1"/>
        <v>2026</v>
      </c>
      <c r="K18" s="13" t="s">
        <v>18</v>
      </c>
      <c r="L18" s="13"/>
    </row>
    <row r="19" spans="1:12" x14ac:dyDescent="0.3">
      <c r="A19" s="12">
        <v>46028</v>
      </c>
      <c r="B19" s="12" t="s">
        <v>67</v>
      </c>
      <c r="C19" s="13" t="s">
        <v>66</v>
      </c>
      <c r="D19" s="14">
        <v>1</v>
      </c>
      <c r="E19" s="15">
        <v>50</v>
      </c>
      <c r="F19" s="15">
        <f>Tabla8[[#This Row],[CANTIDAD]]*Tabla8[[#This Row],[PRECIO]]</f>
        <v>50</v>
      </c>
      <c r="G19" s="13" t="s">
        <v>307</v>
      </c>
      <c r="H19" s="13"/>
      <c r="I19" s="13" t="str">
        <f t="shared" si="0"/>
        <v>ENERO</v>
      </c>
      <c r="J19" s="13">
        <f t="shared" si="1"/>
        <v>2026</v>
      </c>
      <c r="K19" s="13" t="s">
        <v>18</v>
      </c>
      <c r="L19" s="13"/>
    </row>
    <row r="20" spans="1:12" x14ac:dyDescent="0.3">
      <c r="A20" s="12">
        <v>46028</v>
      </c>
      <c r="B20" s="12" t="s">
        <v>22</v>
      </c>
      <c r="C20" s="13" t="s">
        <v>72</v>
      </c>
      <c r="D20" s="14">
        <v>1</v>
      </c>
      <c r="E20" s="15">
        <v>1.2</v>
      </c>
      <c r="F20" s="15">
        <f>Tabla8[[#This Row],[CANTIDAD]]*Tabla8[[#This Row],[PRECIO]]</f>
        <v>1.2</v>
      </c>
      <c r="G20" s="13" t="s">
        <v>22</v>
      </c>
      <c r="H20" s="13"/>
      <c r="I20" s="13" t="str">
        <f t="shared" si="0"/>
        <v>ENERO</v>
      </c>
      <c r="J20" s="13">
        <f t="shared" si="1"/>
        <v>2026</v>
      </c>
      <c r="K20" s="13" t="s">
        <v>18</v>
      </c>
      <c r="L20" s="13"/>
    </row>
    <row r="21" spans="1:12" x14ac:dyDescent="0.3">
      <c r="A21" s="12">
        <v>46029</v>
      </c>
      <c r="B21" s="12" t="s">
        <v>67</v>
      </c>
      <c r="C21" s="13" t="s">
        <v>72</v>
      </c>
      <c r="D21" s="14">
        <v>1</v>
      </c>
      <c r="E21" s="15">
        <v>0.5</v>
      </c>
      <c r="F21" s="15">
        <f>Tabla8[[#This Row],[CANTIDAD]]*Tabla8[[#This Row],[PRECIO]]</f>
        <v>0.5</v>
      </c>
      <c r="G21" s="13" t="s">
        <v>308</v>
      </c>
      <c r="H21" s="13"/>
      <c r="I21" s="13" t="str">
        <f t="shared" si="0"/>
        <v>ENERO</v>
      </c>
      <c r="J21" s="13">
        <f t="shared" si="1"/>
        <v>2026</v>
      </c>
      <c r="K21" s="13" t="s">
        <v>18</v>
      </c>
      <c r="L21" s="13"/>
    </row>
    <row r="22" spans="1:12" x14ac:dyDescent="0.3">
      <c r="A22" s="12">
        <v>46029</v>
      </c>
      <c r="B22" s="12" t="s">
        <v>67</v>
      </c>
      <c r="C22" s="13" t="s">
        <v>72</v>
      </c>
      <c r="D22" s="14">
        <v>1</v>
      </c>
      <c r="E22" s="15">
        <v>1</v>
      </c>
      <c r="F22" s="15">
        <f>Tabla8[[#This Row],[CANTIDAD]]*Tabla8[[#This Row],[PRECIO]]</f>
        <v>1</v>
      </c>
      <c r="G22" s="13" t="s">
        <v>309</v>
      </c>
      <c r="H22" s="13"/>
      <c r="I22" s="13" t="str">
        <f t="shared" si="0"/>
        <v>ENERO</v>
      </c>
      <c r="J22" s="13">
        <f t="shared" si="1"/>
        <v>2026</v>
      </c>
      <c r="K22" s="13" t="s">
        <v>18</v>
      </c>
      <c r="L22" s="13"/>
    </row>
    <row r="23" spans="1:12" x14ac:dyDescent="0.3">
      <c r="A23" s="12">
        <v>46029</v>
      </c>
      <c r="B23" s="12" t="s">
        <v>25</v>
      </c>
      <c r="C23" s="13" t="s">
        <v>27</v>
      </c>
      <c r="D23" s="14">
        <v>1</v>
      </c>
      <c r="E23" s="15">
        <v>150</v>
      </c>
      <c r="F23" s="15">
        <f>Tabla8[[#This Row],[CANTIDAD]]*Tabla8[[#This Row],[PRECIO]]</f>
        <v>150</v>
      </c>
      <c r="G23" s="13" t="s">
        <v>310</v>
      </c>
      <c r="H23" s="13"/>
      <c r="I23" s="13" t="str">
        <f t="shared" si="0"/>
        <v>ENERO</v>
      </c>
      <c r="J23" s="13">
        <f t="shared" si="1"/>
        <v>2026</v>
      </c>
      <c r="K23" s="13" t="s">
        <v>18</v>
      </c>
      <c r="L23" s="13"/>
    </row>
    <row r="24" spans="1:12" x14ac:dyDescent="0.3">
      <c r="A24" s="12">
        <v>46029</v>
      </c>
      <c r="B24" s="68" t="s">
        <v>67</v>
      </c>
      <c r="C24" s="13" t="s">
        <v>62</v>
      </c>
      <c r="D24" s="14">
        <v>1</v>
      </c>
      <c r="E24" s="15">
        <v>16.3</v>
      </c>
      <c r="F24" s="15">
        <f>Tabla8[[#This Row],[CANTIDAD]]*Tabla8[[#This Row],[PRECIO]]</f>
        <v>16.3</v>
      </c>
      <c r="G24" s="13" t="s">
        <v>419</v>
      </c>
      <c r="H24" s="13"/>
      <c r="I24" s="13" t="str">
        <f t="shared" si="0"/>
        <v>ENERO</v>
      </c>
      <c r="J24" s="13">
        <f t="shared" si="1"/>
        <v>2026</v>
      </c>
      <c r="K24" s="13" t="s">
        <v>27</v>
      </c>
      <c r="L24" s="13"/>
    </row>
    <row r="25" spans="1:12" x14ac:dyDescent="0.3">
      <c r="A25" s="12">
        <v>46030</v>
      </c>
      <c r="B25" s="12" t="s">
        <v>25</v>
      </c>
      <c r="C25" s="13" t="s">
        <v>27</v>
      </c>
      <c r="D25" s="14">
        <v>1</v>
      </c>
      <c r="E25" s="15">
        <v>300</v>
      </c>
      <c r="F25" s="15">
        <f>Tabla8[[#This Row],[CANTIDAD]]*Tabla8[[#This Row],[PRECIO]]</f>
        <v>300</v>
      </c>
      <c r="G25" s="13" t="s">
        <v>310</v>
      </c>
      <c r="H25" s="13"/>
      <c r="I25" s="13" t="str">
        <f t="shared" si="0"/>
        <v>ENERO</v>
      </c>
      <c r="J25" s="13">
        <f t="shared" si="1"/>
        <v>2026</v>
      </c>
      <c r="K25" s="13" t="s">
        <v>18</v>
      </c>
      <c r="L25" s="13"/>
    </row>
    <row r="26" spans="1:12" x14ac:dyDescent="0.3">
      <c r="A26" s="12">
        <v>46030</v>
      </c>
      <c r="B26" s="68" t="s">
        <v>67</v>
      </c>
      <c r="C26" s="13" t="s">
        <v>376</v>
      </c>
      <c r="D26" s="14">
        <v>1</v>
      </c>
      <c r="E26" s="15">
        <v>652.05999999999995</v>
      </c>
      <c r="F26" s="15">
        <f>Tabla8[[#This Row],[CANTIDAD]]*Tabla8[[#This Row],[PRECIO]]</f>
        <v>652.05999999999995</v>
      </c>
      <c r="G26" s="13" t="s">
        <v>419</v>
      </c>
      <c r="H26" s="13"/>
      <c r="I26" s="13" t="str">
        <f t="shared" si="0"/>
        <v>ENERO</v>
      </c>
      <c r="J26" s="13">
        <f t="shared" si="1"/>
        <v>2026</v>
      </c>
      <c r="K26" s="13" t="s">
        <v>27</v>
      </c>
      <c r="L26" s="13"/>
    </row>
    <row r="27" spans="1:12" x14ac:dyDescent="0.3">
      <c r="A27" s="12">
        <v>46031</v>
      </c>
      <c r="B27" s="12" t="s">
        <v>69</v>
      </c>
      <c r="C27" s="13" t="s">
        <v>72</v>
      </c>
      <c r="D27" s="14">
        <v>1</v>
      </c>
      <c r="E27" s="15">
        <v>3.5</v>
      </c>
      <c r="F27" s="15">
        <f>Tabla8[[#This Row],[CANTIDAD]]*Tabla8[[#This Row],[PRECIO]]</f>
        <v>3.5</v>
      </c>
      <c r="G27" s="13" t="s">
        <v>69</v>
      </c>
      <c r="H27" s="13"/>
      <c r="I27" s="13" t="str">
        <f t="shared" si="0"/>
        <v>ENERO</v>
      </c>
      <c r="J27" s="13">
        <f t="shared" si="1"/>
        <v>2026</v>
      </c>
      <c r="K27" s="13" t="s">
        <v>18</v>
      </c>
      <c r="L27" s="13"/>
    </row>
    <row r="28" spans="1:12" x14ac:dyDescent="0.3">
      <c r="A28" s="12">
        <v>46031</v>
      </c>
      <c r="B28" s="12" t="s">
        <v>67</v>
      </c>
      <c r="C28" s="13" t="s">
        <v>66</v>
      </c>
      <c r="D28" s="14">
        <v>1</v>
      </c>
      <c r="E28" s="15">
        <v>2.6</v>
      </c>
      <c r="F28" s="15">
        <f>Tabla8[[#This Row],[CANTIDAD]]*Tabla8[[#This Row],[PRECIO]]</f>
        <v>2.6</v>
      </c>
      <c r="G28" s="13" t="s">
        <v>311</v>
      </c>
      <c r="H28" s="13"/>
      <c r="I28" s="13" t="str">
        <f t="shared" si="0"/>
        <v>ENERO</v>
      </c>
      <c r="J28" s="13">
        <f t="shared" si="1"/>
        <v>2026</v>
      </c>
      <c r="K28" s="13" t="s">
        <v>18</v>
      </c>
      <c r="L28" s="13"/>
    </row>
    <row r="29" spans="1:12" x14ac:dyDescent="0.3">
      <c r="A29" s="12">
        <v>46031</v>
      </c>
      <c r="B29" s="12" t="s">
        <v>67</v>
      </c>
      <c r="C29" s="13" t="s">
        <v>72</v>
      </c>
      <c r="D29" s="14">
        <v>1</v>
      </c>
      <c r="E29" s="15">
        <v>4</v>
      </c>
      <c r="F29" s="15">
        <f>Tabla8[[#This Row],[CANTIDAD]]*Tabla8[[#This Row],[PRECIO]]</f>
        <v>4</v>
      </c>
      <c r="G29" s="13" t="s">
        <v>22</v>
      </c>
      <c r="H29" s="13"/>
      <c r="I29" s="13" t="str">
        <f t="shared" si="0"/>
        <v>ENERO</v>
      </c>
      <c r="J29" s="13">
        <f t="shared" si="1"/>
        <v>2026</v>
      </c>
      <c r="K29" s="13" t="s">
        <v>18</v>
      </c>
      <c r="L29" s="13"/>
    </row>
    <row r="30" spans="1:12" x14ac:dyDescent="0.3">
      <c r="A30" s="12">
        <v>46031</v>
      </c>
      <c r="B30" s="12" t="s">
        <v>67</v>
      </c>
      <c r="C30" s="13" t="s">
        <v>72</v>
      </c>
      <c r="D30" s="14">
        <v>1</v>
      </c>
      <c r="E30" s="15">
        <v>1.75</v>
      </c>
      <c r="F30" s="15">
        <f>Tabla8[[#This Row],[CANTIDAD]]*Tabla8[[#This Row],[PRECIO]]</f>
        <v>1.75</v>
      </c>
      <c r="G30" s="13" t="s">
        <v>22</v>
      </c>
      <c r="H30" s="13"/>
      <c r="I30" s="13" t="str">
        <f t="shared" si="0"/>
        <v>ENERO</v>
      </c>
      <c r="J30" s="13">
        <f t="shared" si="1"/>
        <v>2026</v>
      </c>
      <c r="K30" s="13" t="s">
        <v>18</v>
      </c>
      <c r="L30" s="13"/>
    </row>
    <row r="31" spans="1:12" x14ac:dyDescent="0.3">
      <c r="A31" s="12">
        <v>46031</v>
      </c>
      <c r="B31" s="12" t="s">
        <v>19</v>
      </c>
      <c r="C31" s="13" t="s">
        <v>66</v>
      </c>
      <c r="D31" s="14">
        <v>1</v>
      </c>
      <c r="E31" s="15">
        <v>0.75</v>
      </c>
      <c r="F31" s="15">
        <f>Tabla8[[#This Row],[CANTIDAD]]*Tabla8[[#This Row],[PRECIO]]</f>
        <v>0.75</v>
      </c>
      <c r="G31" s="13" t="s">
        <v>312</v>
      </c>
      <c r="H31" s="13"/>
      <c r="I31" s="13" t="str">
        <f t="shared" si="0"/>
        <v>ENERO</v>
      </c>
      <c r="J31" s="13">
        <f t="shared" si="1"/>
        <v>2026</v>
      </c>
      <c r="K31" s="13" t="s">
        <v>18</v>
      </c>
      <c r="L31" s="13"/>
    </row>
    <row r="32" spans="1:12" x14ac:dyDescent="0.3">
      <c r="A32" s="12">
        <v>46031</v>
      </c>
      <c r="B32" s="12" t="s">
        <v>22</v>
      </c>
      <c r="C32" s="13" t="s">
        <v>65</v>
      </c>
      <c r="D32" s="14">
        <v>1</v>
      </c>
      <c r="E32" s="15">
        <v>40</v>
      </c>
      <c r="F32" s="15">
        <f>Tabla8[[#This Row],[CANTIDAD]]*Tabla8[[#This Row],[PRECIO]]</f>
        <v>40</v>
      </c>
      <c r="G32" s="13" t="s">
        <v>313</v>
      </c>
      <c r="H32" s="13"/>
      <c r="I32" s="13" t="str">
        <f t="shared" si="0"/>
        <v>ENERO</v>
      </c>
      <c r="J32" s="13">
        <f t="shared" si="1"/>
        <v>2026</v>
      </c>
      <c r="K32" s="13" t="s">
        <v>18</v>
      </c>
      <c r="L32" s="13"/>
    </row>
    <row r="33" spans="1:12" x14ac:dyDescent="0.3">
      <c r="A33" s="12">
        <v>46031</v>
      </c>
      <c r="B33" s="68" t="s">
        <v>67</v>
      </c>
      <c r="C33" s="13" t="s">
        <v>389</v>
      </c>
      <c r="D33" s="14">
        <v>1</v>
      </c>
      <c r="E33" s="15">
        <v>52.23</v>
      </c>
      <c r="F33" s="15">
        <f>Tabla8[[#This Row],[CANTIDAD]]*Tabla8[[#This Row],[PRECIO]]</f>
        <v>52.23</v>
      </c>
      <c r="G33" s="13" t="s">
        <v>419</v>
      </c>
      <c r="H33" s="13"/>
      <c r="I33" s="13" t="str">
        <f t="shared" si="0"/>
        <v>ENERO</v>
      </c>
      <c r="J33" s="13">
        <f t="shared" si="1"/>
        <v>2026</v>
      </c>
      <c r="K33" s="13" t="s">
        <v>27</v>
      </c>
      <c r="L33" s="13"/>
    </row>
    <row r="34" spans="1:12" x14ac:dyDescent="0.3">
      <c r="A34" s="12">
        <v>46031</v>
      </c>
      <c r="B34" s="68" t="s">
        <v>67</v>
      </c>
      <c r="C34" s="13" t="s">
        <v>390</v>
      </c>
      <c r="D34" s="14">
        <v>1</v>
      </c>
      <c r="E34" s="15">
        <v>3.2</v>
      </c>
      <c r="F34" s="15">
        <f>Tabla8[[#This Row],[CANTIDAD]]*Tabla8[[#This Row],[PRECIO]]</f>
        <v>3.2</v>
      </c>
      <c r="G34" s="13" t="s">
        <v>424</v>
      </c>
      <c r="H34" s="13"/>
      <c r="I34" s="13" t="str">
        <f t="shared" si="0"/>
        <v>ENERO</v>
      </c>
      <c r="J34" s="13">
        <f t="shared" si="1"/>
        <v>2026</v>
      </c>
      <c r="K34" s="13" t="s">
        <v>27</v>
      </c>
      <c r="L34" s="13"/>
    </row>
    <row r="35" spans="1:12" x14ac:dyDescent="0.3">
      <c r="A35" s="12">
        <v>46034</v>
      </c>
      <c r="B35" s="68" t="s">
        <v>67</v>
      </c>
      <c r="C35" s="13" t="s">
        <v>389</v>
      </c>
      <c r="D35" s="14">
        <v>1</v>
      </c>
      <c r="E35" s="15">
        <v>75.23</v>
      </c>
      <c r="F35" s="15">
        <f>Tabla8[[#This Row],[CANTIDAD]]*Tabla8[[#This Row],[PRECIO]]</f>
        <v>75.23</v>
      </c>
      <c r="G35" s="13" t="s">
        <v>424</v>
      </c>
      <c r="H35" s="13"/>
      <c r="I35" s="13" t="str">
        <f t="shared" si="0"/>
        <v>ENERO</v>
      </c>
      <c r="J35" s="13">
        <f t="shared" si="1"/>
        <v>2026</v>
      </c>
      <c r="K35" s="13" t="s">
        <v>27</v>
      </c>
      <c r="L35" s="13"/>
    </row>
    <row r="36" spans="1:12" x14ac:dyDescent="0.3">
      <c r="A36" s="12">
        <v>46034</v>
      </c>
      <c r="B36" s="68" t="s">
        <v>67</v>
      </c>
      <c r="C36" s="13" t="s">
        <v>390</v>
      </c>
      <c r="D36" s="14">
        <v>1</v>
      </c>
      <c r="E36" s="15">
        <v>3.2</v>
      </c>
      <c r="F36" s="15">
        <f>Tabla8[[#This Row],[CANTIDAD]]*Tabla8[[#This Row],[PRECIO]]</f>
        <v>3.2</v>
      </c>
      <c r="G36" s="13" t="s">
        <v>424</v>
      </c>
      <c r="H36" s="13"/>
      <c r="I36" s="13" t="str">
        <f t="shared" ref="I36:I67" si="2">UPPER(TEXT(A36,"MMMM"))</f>
        <v>ENERO</v>
      </c>
      <c r="J36" s="13">
        <f t="shared" ref="J36:J67" si="3">+YEAR(A36)</f>
        <v>2026</v>
      </c>
      <c r="K36" s="13" t="s">
        <v>27</v>
      </c>
      <c r="L36" s="13"/>
    </row>
    <row r="37" spans="1:12" x14ac:dyDescent="0.3">
      <c r="A37" s="12">
        <v>46034</v>
      </c>
      <c r="B37" s="68" t="s">
        <v>67</v>
      </c>
      <c r="C37" s="13" t="s">
        <v>390</v>
      </c>
      <c r="D37" s="14">
        <v>1</v>
      </c>
      <c r="E37" s="15">
        <v>1.4</v>
      </c>
      <c r="F37" s="15">
        <f>Tabla8[[#This Row],[CANTIDAD]]*Tabla8[[#This Row],[PRECIO]]</f>
        <v>1.4</v>
      </c>
      <c r="G37" s="13" t="s">
        <v>424</v>
      </c>
      <c r="H37" s="13"/>
      <c r="I37" s="13" t="str">
        <f t="shared" si="2"/>
        <v>ENERO</v>
      </c>
      <c r="J37" s="13">
        <f t="shared" si="3"/>
        <v>2026</v>
      </c>
      <c r="K37" s="13" t="s">
        <v>27</v>
      </c>
      <c r="L37" s="13"/>
    </row>
    <row r="38" spans="1:12" x14ac:dyDescent="0.3">
      <c r="A38" s="12">
        <v>46035</v>
      </c>
      <c r="B38" s="12" t="s">
        <v>22</v>
      </c>
      <c r="C38" s="13" t="s">
        <v>72</v>
      </c>
      <c r="D38" s="14">
        <v>1</v>
      </c>
      <c r="E38" s="15">
        <v>2</v>
      </c>
      <c r="F38" s="15">
        <f>Tabla8[[#This Row],[CANTIDAD]]*Tabla8[[#This Row],[PRECIO]]</f>
        <v>2</v>
      </c>
      <c r="G38" s="13" t="s">
        <v>314</v>
      </c>
      <c r="H38" s="13"/>
      <c r="I38" s="13" t="str">
        <f t="shared" si="2"/>
        <v>ENERO</v>
      </c>
      <c r="J38" s="13">
        <f t="shared" si="3"/>
        <v>2026</v>
      </c>
      <c r="K38" s="13" t="s">
        <v>18</v>
      </c>
      <c r="L38" s="13"/>
    </row>
    <row r="39" spans="1:12" x14ac:dyDescent="0.3">
      <c r="A39" s="12">
        <v>46035</v>
      </c>
      <c r="B39" s="12" t="s">
        <v>67</v>
      </c>
      <c r="C39" s="13" t="s">
        <v>72</v>
      </c>
      <c r="D39" s="14">
        <v>1</v>
      </c>
      <c r="E39" s="15">
        <v>4</v>
      </c>
      <c r="F39" s="15">
        <f>Tabla8[[#This Row],[CANTIDAD]]*Tabla8[[#This Row],[PRECIO]]</f>
        <v>4</v>
      </c>
      <c r="G39" s="13" t="s">
        <v>315</v>
      </c>
      <c r="H39" s="13"/>
      <c r="I39" s="13" t="str">
        <f t="shared" si="2"/>
        <v>ENERO</v>
      </c>
      <c r="J39" s="13">
        <f t="shared" si="3"/>
        <v>2026</v>
      </c>
      <c r="K39" s="13" t="s">
        <v>18</v>
      </c>
      <c r="L39" s="13"/>
    </row>
    <row r="40" spans="1:12" x14ac:dyDescent="0.3">
      <c r="A40" s="12">
        <v>46035</v>
      </c>
      <c r="B40" s="12" t="s">
        <v>25</v>
      </c>
      <c r="C40" s="13" t="s">
        <v>27</v>
      </c>
      <c r="D40" s="14">
        <v>1</v>
      </c>
      <c r="E40" s="15">
        <v>50</v>
      </c>
      <c r="F40" s="15">
        <f>Tabla8[[#This Row],[CANTIDAD]]*Tabla8[[#This Row],[PRECIO]]</f>
        <v>50</v>
      </c>
      <c r="G40" s="13" t="s">
        <v>310</v>
      </c>
      <c r="H40" s="13"/>
      <c r="I40" s="13" t="str">
        <f t="shared" si="2"/>
        <v>ENERO</v>
      </c>
      <c r="J40" s="13">
        <f t="shared" si="3"/>
        <v>2026</v>
      </c>
      <c r="K40" s="13" t="s">
        <v>18</v>
      </c>
      <c r="L40" s="13"/>
    </row>
    <row r="41" spans="1:12" x14ac:dyDescent="0.3">
      <c r="A41" s="12">
        <v>46035</v>
      </c>
      <c r="B41" s="68" t="s">
        <v>69</v>
      </c>
      <c r="C41" s="13" t="s">
        <v>65</v>
      </c>
      <c r="D41" s="14">
        <v>1</v>
      </c>
      <c r="E41" s="15">
        <v>2</v>
      </c>
      <c r="F41" s="15">
        <f>Tabla8[[#This Row],[CANTIDAD]]*Tabla8[[#This Row],[PRECIO]]</f>
        <v>2</v>
      </c>
      <c r="G41" s="13" t="s">
        <v>301</v>
      </c>
      <c r="H41" s="13"/>
      <c r="I41" s="13" t="str">
        <f t="shared" si="2"/>
        <v>ENERO</v>
      </c>
      <c r="J41" s="13">
        <f t="shared" si="3"/>
        <v>2026</v>
      </c>
      <c r="K41" s="13" t="s">
        <v>27</v>
      </c>
      <c r="L41" s="13"/>
    </row>
    <row r="42" spans="1:12" x14ac:dyDescent="0.3">
      <c r="A42" s="12">
        <v>46036</v>
      </c>
      <c r="B42" s="12" t="s">
        <v>67</v>
      </c>
      <c r="C42" s="13" t="s">
        <v>72</v>
      </c>
      <c r="D42" s="14">
        <v>1</v>
      </c>
      <c r="E42" s="15">
        <v>0.25</v>
      </c>
      <c r="F42" s="15">
        <f>Tabla8[[#This Row],[CANTIDAD]]*Tabla8[[#This Row],[PRECIO]]</f>
        <v>0.25</v>
      </c>
      <c r="G42" s="13" t="s">
        <v>316</v>
      </c>
      <c r="H42" s="13"/>
      <c r="I42" s="13" t="str">
        <f t="shared" si="2"/>
        <v>ENERO</v>
      </c>
      <c r="J42" s="13">
        <f t="shared" si="3"/>
        <v>2026</v>
      </c>
      <c r="K42" s="13" t="s">
        <v>18</v>
      </c>
      <c r="L42" s="13"/>
    </row>
    <row r="43" spans="1:12" x14ac:dyDescent="0.3">
      <c r="A43" s="12">
        <v>46036</v>
      </c>
      <c r="B43" s="12" t="s">
        <v>22</v>
      </c>
      <c r="C43" s="13" t="s">
        <v>72</v>
      </c>
      <c r="D43" s="14">
        <v>1</v>
      </c>
      <c r="E43" s="15">
        <v>15</v>
      </c>
      <c r="F43" s="15">
        <f>Tabla8[[#This Row],[CANTIDAD]]*Tabla8[[#This Row],[PRECIO]]</f>
        <v>15</v>
      </c>
      <c r="G43" s="13" t="s">
        <v>317</v>
      </c>
      <c r="H43" s="13"/>
      <c r="I43" s="13" t="str">
        <f t="shared" si="2"/>
        <v>ENERO</v>
      </c>
      <c r="J43" s="13">
        <f t="shared" si="3"/>
        <v>2026</v>
      </c>
      <c r="K43" s="13" t="s">
        <v>18</v>
      </c>
      <c r="L43" s="13"/>
    </row>
    <row r="44" spans="1:12" x14ac:dyDescent="0.3">
      <c r="A44" s="12">
        <v>46036</v>
      </c>
      <c r="B44" s="12" t="s">
        <v>25</v>
      </c>
      <c r="C44" s="13" t="s">
        <v>27</v>
      </c>
      <c r="D44" s="14">
        <v>1</v>
      </c>
      <c r="E44" s="15">
        <v>300</v>
      </c>
      <c r="F44" s="15">
        <f>Tabla8[[#This Row],[CANTIDAD]]*Tabla8[[#This Row],[PRECIO]]</f>
        <v>300</v>
      </c>
      <c r="G44" s="13" t="s">
        <v>310</v>
      </c>
      <c r="H44" s="13"/>
      <c r="I44" s="13" t="str">
        <f t="shared" si="2"/>
        <v>ENERO</v>
      </c>
      <c r="J44" s="13">
        <f t="shared" si="3"/>
        <v>2026</v>
      </c>
      <c r="K44" s="13" t="s">
        <v>18</v>
      </c>
      <c r="L44" s="13"/>
    </row>
    <row r="45" spans="1:12" x14ac:dyDescent="0.3">
      <c r="A45" s="12">
        <v>46036</v>
      </c>
      <c r="B45" s="68" t="s">
        <v>67</v>
      </c>
      <c r="C45" s="13" t="s">
        <v>389</v>
      </c>
      <c r="D45" s="14">
        <v>1</v>
      </c>
      <c r="E45" s="15">
        <v>179.98</v>
      </c>
      <c r="F45" s="15">
        <f>Tabla8[[#This Row],[CANTIDAD]]*Tabla8[[#This Row],[PRECIO]]</f>
        <v>179.98</v>
      </c>
      <c r="G45" s="13" t="s">
        <v>424</v>
      </c>
      <c r="H45" s="13"/>
      <c r="I45" s="13" t="str">
        <f t="shared" si="2"/>
        <v>ENERO</v>
      </c>
      <c r="J45" s="13">
        <f t="shared" si="3"/>
        <v>2026</v>
      </c>
      <c r="K45" s="13" t="s">
        <v>27</v>
      </c>
      <c r="L45" s="13"/>
    </row>
    <row r="46" spans="1:12" x14ac:dyDescent="0.3">
      <c r="A46" s="12">
        <v>46037</v>
      </c>
      <c r="B46" s="68" t="s">
        <v>69</v>
      </c>
      <c r="C46" s="13" t="s">
        <v>65</v>
      </c>
      <c r="D46" s="14">
        <v>1</v>
      </c>
      <c r="E46" s="15">
        <v>10</v>
      </c>
      <c r="F46" s="15">
        <f>Tabla8[[#This Row],[CANTIDAD]]*Tabla8[[#This Row],[PRECIO]]</f>
        <v>10</v>
      </c>
      <c r="G46" s="13" t="s">
        <v>318</v>
      </c>
      <c r="H46" s="13"/>
      <c r="I46" s="13" t="str">
        <f t="shared" si="2"/>
        <v>ENERO</v>
      </c>
      <c r="J46" s="13">
        <f t="shared" si="3"/>
        <v>2026</v>
      </c>
      <c r="K46" s="13" t="s">
        <v>18</v>
      </c>
      <c r="L46" s="13"/>
    </row>
    <row r="47" spans="1:12" x14ac:dyDescent="0.3">
      <c r="A47" s="12">
        <v>46037</v>
      </c>
      <c r="B47" s="68" t="s">
        <v>22</v>
      </c>
      <c r="C47" s="13" t="s">
        <v>72</v>
      </c>
      <c r="D47" s="14">
        <v>1</v>
      </c>
      <c r="E47" s="15">
        <v>15.1</v>
      </c>
      <c r="F47" s="15">
        <f>Tabla8[[#This Row],[CANTIDAD]]*Tabla8[[#This Row],[PRECIO]]</f>
        <v>15.1</v>
      </c>
      <c r="G47" s="13" t="s">
        <v>22</v>
      </c>
      <c r="H47" s="13"/>
      <c r="I47" s="13" t="str">
        <f t="shared" si="2"/>
        <v>ENERO</v>
      </c>
      <c r="J47" s="13">
        <f t="shared" si="3"/>
        <v>2026</v>
      </c>
      <c r="K47" s="13" t="s">
        <v>18</v>
      </c>
      <c r="L47" s="13"/>
    </row>
    <row r="48" spans="1:12" x14ac:dyDescent="0.3">
      <c r="A48" s="12">
        <v>46039</v>
      </c>
      <c r="B48" s="68" t="s">
        <v>22</v>
      </c>
      <c r="C48" s="13" t="s">
        <v>72</v>
      </c>
      <c r="D48" s="14">
        <v>1</v>
      </c>
      <c r="E48" s="15">
        <v>20</v>
      </c>
      <c r="F48" s="15">
        <f>Tabla8[[#This Row],[CANTIDAD]]*Tabla8[[#This Row],[PRECIO]]</f>
        <v>20</v>
      </c>
      <c r="G48" s="13" t="s">
        <v>22</v>
      </c>
      <c r="H48" s="13"/>
      <c r="I48" s="13" t="str">
        <f t="shared" si="2"/>
        <v>ENERO</v>
      </c>
      <c r="J48" s="13">
        <f t="shared" si="3"/>
        <v>2026</v>
      </c>
      <c r="K48" s="13" t="s">
        <v>18</v>
      </c>
      <c r="L48" s="13"/>
    </row>
    <row r="49" spans="1:12" x14ac:dyDescent="0.3">
      <c r="A49" s="12">
        <v>46039</v>
      </c>
      <c r="B49" s="68" t="s">
        <v>25</v>
      </c>
      <c r="C49" s="13" t="s">
        <v>72</v>
      </c>
      <c r="D49" s="14">
        <v>1</v>
      </c>
      <c r="E49" s="15">
        <v>20</v>
      </c>
      <c r="F49" s="15">
        <f>Tabla8[[#This Row],[CANTIDAD]]*Tabla8[[#This Row],[PRECIO]]</f>
        <v>20</v>
      </c>
      <c r="G49" s="13" t="s">
        <v>319</v>
      </c>
      <c r="H49" s="13"/>
      <c r="I49" s="13" t="str">
        <f t="shared" si="2"/>
        <v>ENERO</v>
      </c>
      <c r="J49" s="13">
        <f t="shared" si="3"/>
        <v>2026</v>
      </c>
      <c r="K49" s="13" t="s">
        <v>18</v>
      </c>
      <c r="L49" s="13"/>
    </row>
    <row r="50" spans="1:12" x14ac:dyDescent="0.3">
      <c r="A50" s="12">
        <v>46041</v>
      </c>
      <c r="B50" s="68" t="s">
        <v>67</v>
      </c>
      <c r="C50" s="13" t="s">
        <v>72</v>
      </c>
      <c r="D50" s="14">
        <v>1</v>
      </c>
      <c r="E50" s="15">
        <v>3</v>
      </c>
      <c r="F50" s="15">
        <f>Tabla8[[#This Row],[CANTIDAD]]*Tabla8[[#This Row],[PRECIO]]</f>
        <v>3</v>
      </c>
      <c r="G50" s="13" t="s">
        <v>320</v>
      </c>
      <c r="H50" s="13"/>
      <c r="I50" s="13" t="str">
        <f t="shared" si="2"/>
        <v>ENERO</v>
      </c>
      <c r="J50" s="13">
        <f t="shared" si="3"/>
        <v>2026</v>
      </c>
      <c r="K50" s="13" t="s">
        <v>18</v>
      </c>
      <c r="L50" s="13"/>
    </row>
    <row r="51" spans="1:12" x14ac:dyDescent="0.3">
      <c r="A51" s="12">
        <v>46041</v>
      </c>
      <c r="B51" s="68" t="s">
        <v>22</v>
      </c>
      <c r="C51" s="13" t="s">
        <v>72</v>
      </c>
      <c r="D51" s="14">
        <v>1</v>
      </c>
      <c r="E51" s="15">
        <v>13.05</v>
      </c>
      <c r="F51" s="15">
        <f>Tabla8[[#This Row],[CANTIDAD]]*Tabla8[[#This Row],[PRECIO]]</f>
        <v>13.05</v>
      </c>
      <c r="G51" s="13" t="s">
        <v>22</v>
      </c>
      <c r="H51" s="13"/>
      <c r="I51" s="13" t="str">
        <f t="shared" si="2"/>
        <v>ENERO</v>
      </c>
      <c r="J51" s="13">
        <f t="shared" si="3"/>
        <v>2026</v>
      </c>
      <c r="K51" s="13" t="s">
        <v>18</v>
      </c>
      <c r="L51" s="13"/>
    </row>
    <row r="52" spans="1:12" x14ac:dyDescent="0.3">
      <c r="A52" s="12">
        <v>46041</v>
      </c>
      <c r="B52" s="68" t="s">
        <v>67</v>
      </c>
      <c r="C52" s="13" t="s">
        <v>72</v>
      </c>
      <c r="D52" s="14">
        <v>1</v>
      </c>
      <c r="E52" s="15">
        <v>34.5</v>
      </c>
      <c r="F52" s="15">
        <f>Tabla8[[#This Row],[CANTIDAD]]*Tabla8[[#This Row],[PRECIO]]</f>
        <v>34.5</v>
      </c>
      <c r="G52" s="13" t="s">
        <v>321</v>
      </c>
      <c r="H52" s="13"/>
      <c r="I52" s="13" t="str">
        <f t="shared" si="2"/>
        <v>ENERO</v>
      </c>
      <c r="J52" s="13">
        <f t="shared" si="3"/>
        <v>2026</v>
      </c>
      <c r="K52" s="13" t="s">
        <v>18</v>
      </c>
      <c r="L52" s="13"/>
    </row>
    <row r="53" spans="1:12" x14ac:dyDescent="0.3">
      <c r="A53" s="12">
        <v>46041</v>
      </c>
      <c r="B53" s="68" t="s">
        <v>67</v>
      </c>
      <c r="C53" s="13" t="s">
        <v>72</v>
      </c>
      <c r="D53" s="14">
        <v>1</v>
      </c>
      <c r="E53" s="15">
        <v>8.85</v>
      </c>
      <c r="F53" s="15">
        <f>Tabla8[[#This Row],[CANTIDAD]]*Tabla8[[#This Row],[PRECIO]]</f>
        <v>8.85</v>
      </c>
      <c r="G53" s="13" t="s">
        <v>322</v>
      </c>
      <c r="H53" s="13"/>
      <c r="I53" s="13" t="str">
        <f t="shared" si="2"/>
        <v>ENERO</v>
      </c>
      <c r="J53" s="13">
        <f t="shared" si="3"/>
        <v>2026</v>
      </c>
      <c r="K53" s="13" t="s">
        <v>18</v>
      </c>
      <c r="L53" s="13"/>
    </row>
    <row r="54" spans="1:12" x14ac:dyDescent="0.3">
      <c r="A54" s="12">
        <v>46041</v>
      </c>
      <c r="B54" s="68" t="s">
        <v>67</v>
      </c>
      <c r="C54" s="13" t="s">
        <v>390</v>
      </c>
      <c r="D54" s="14">
        <v>1</v>
      </c>
      <c r="E54" s="15">
        <v>11.2</v>
      </c>
      <c r="F54" s="15">
        <f>Tabla8[[#This Row],[CANTIDAD]]*Tabla8[[#This Row],[PRECIO]]</f>
        <v>11.2</v>
      </c>
      <c r="G54" s="13" t="s">
        <v>424</v>
      </c>
      <c r="H54" s="13"/>
      <c r="I54" s="13" t="str">
        <f t="shared" si="2"/>
        <v>ENERO</v>
      </c>
      <c r="J54" s="13">
        <f t="shared" si="3"/>
        <v>2026</v>
      </c>
      <c r="K54" s="13" t="s">
        <v>27</v>
      </c>
      <c r="L54" s="13"/>
    </row>
    <row r="55" spans="1:12" x14ac:dyDescent="0.3">
      <c r="A55" s="12">
        <v>46041</v>
      </c>
      <c r="B55" s="68" t="s">
        <v>67</v>
      </c>
      <c r="C55" s="13" t="s">
        <v>390</v>
      </c>
      <c r="D55" s="14">
        <v>1</v>
      </c>
      <c r="E55" s="15">
        <v>14</v>
      </c>
      <c r="F55" s="15">
        <f>Tabla8[[#This Row],[CANTIDAD]]*Tabla8[[#This Row],[PRECIO]]</f>
        <v>14</v>
      </c>
      <c r="G55" s="13" t="s">
        <v>424</v>
      </c>
      <c r="H55" s="13"/>
      <c r="I55" s="13" t="str">
        <f t="shared" si="2"/>
        <v>ENERO</v>
      </c>
      <c r="J55" s="13">
        <f t="shared" si="3"/>
        <v>2026</v>
      </c>
      <c r="K55" s="13" t="s">
        <v>27</v>
      </c>
      <c r="L55" s="13"/>
    </row>
    <row r="56" spans="1:12" x14ac:dyDescent="0.3">
      <c r="A56" s="12">
        <v>46042</v>
      </c>
      <c r="B56" s="68" t="s">
        <v>22</v>
      </c>
      <c r="C56" s="13" t="s">
        <v>72</v>
      </c>
      <c r="D56" s="14">
        <v>1</v>
      </c>
      <c r="E56" s="15">
        <v>6.25</v>
      </c>
      <c r="F56" s="15">
        <f>Tabla8[[#This Row],[CANTIDAD]]*Tabla8[[#This Row],[PRECIO]]</f>
        <v>6.25</v>
      </c>
      <c r="G56" s="13" t="s">
        <v>323</v>
      </c>
      <c r="H56" s="13"/>
      <c r="I56" s="13" t="str">
        <f t="shared" si="2"/>
        <v>ENERO</v>
      </c>
      <c r="J56" s="13">
        <f t="shared" si="3"/>
        <v>2026</v>
      </c>
      <c r="K56" s="13" t="s">
        <v>18</v>
      </c>
      <c r="L56" s="13"/>
    </row>
    <row r="57" spans="1:12" x14ac:dyDescent="0.3">
      <c r="A57" s="12">
        <v>46042</v>
      </c>
      <c r="B57" s="68" t="s">
        <v>67</v>
      </c>
      <c r="C57" s="13" t="s">
        <v>425</v>
      </c>
      <c r="D57" s="14">
        <v>1</v>
      </c>
      <c r="E57" s="15">
        <v>83</v>
      </c>
      <c r="F57" s="15">
        <f>Tabla8[[#This Row],[CANTIDAD]]*Tabla8[[#This Row],[PRECIO]]</f>
        <v>83</v>
      </c>
      <c r="G57" s="13" t="s">
        <v>424</v>
      </c>
      <c r="H57" s="13"/>
      <c r="I57" s="13" t="str">
        <f t="shared" si="2"/>
        <v>ENERO</v>
      </c>
      <c r="J57" s="13">
        <f t="shared" si="3"/>
        <v>2026</v>
      </c>
      <c r="K57" s="13" t="s">
        <v>27</v>
      </c>
      <c r="L57" s="13"/>
    </row>
    <row r="58" spans="1:12" x14ac:dyDescent="0.3">
      <c r="A58" s="12">
        <v>46042</v>
      </c>
      <c r="B58" s="68" t="s">
        <v>67</v>
      </c>
      <c r="C58" s="13" t="s">
        <v>425</v>
      </c>
      <c r="D58" s="14">
        <v>1</v>
      </c>
      <c r="E58" s="15">
        <v>88.5</v>
      </c>
      <c r="F58" s="15">
        <f>Tabla8[[#This Row],[CANTIDAD]]*Tabla8[[#This Row],[PRECIO]]</f>
        <v>88.5</v>
      </c>
      <c r="G58" s="13" t="s">
        <v>424</v>
      </c>
      <c r="H58" s="13"/>
      <c r="I58" s="13" t="str">
        <f t="shared" si="2"/>
        <v>ENERO</v>
      </c>
      <c r="J58" s="13">
        <f t="shared" si="3"/>
        <v>2026</v>
      </c>
      <c r="K58" s="13" t="s">
        <v>27</v>
      </c>
      <c r="L58" s="13"/>
    </row>
    <row r="59" spans="1:12" x14ac:dyDescent="0.3">
      <c r="A59" s="12">
        <v>46042</v>
      </c>
      <c r="B59" s="68" t="s">
        <v>25</v>
      </c>
      <c r="C59" s="13" t="s">
        <v>459</v>
      </c>
      <c r="D59" s="14">
        <v>1</v>
      </c>
      <c r="E59" s="15">
        <v>200</v>
      </c>
      <c r="F59" s="15">
        <f>Tabla8[[#This Row],[CANTIDAD]]*Tabla8[[#This Row],[PRECIO]]</f>
        <v>200</v>
      </c>
      <c r="G59" s="13" t="s">
        <v>460</v>
      </c>
      <c r="H59" s="13"/>
      <c r="I59" s="13" t="str">
        <f t="shared" si="2"/>
        <v>ENERO</v>
      </c>
      <c r="J59" s="13">
        <f t="shared" si="3"/>
        <v>2026</v>
      </c>
      <c r="K59" s="13" t="s">
        <v>27</v>
      </c>
      <c r="L59" s="13"/>
    </row>
    <row r="60" spans="1:12" x14ac:dyDescent="0.3">
      <c r="A60" s="12">
        <v>46043</v>
      </c>
      <c r="B60" s="68" t="s">
        <v>22</v>
      </c>
      <c r="C60" s="13" t="s">
        <v>72</v>
      </c>
      <c r="D60" s="14">
        <v>1</v>
      </c>
      <c r="E60" s="15">
        <v>12.5</v>
      </c>
      <c r="F60" s="15">
        <f>Tabla8[[#This Row],[CANTIDAD]]*Tabla8[[#This Row],[PRECIO]]</f>
        <v>12.5</v>
      </c>
      <c r="G60" s="13" t="s">
        <v>323</v>
      </c>
      <c r="H60" s="13"/>
      <c r="I60" s="13" t="str">
        <f t="shared" si="2"/>
        <v>ENERO</v>
      </c>
      <c r="J60" s="13">
        <f t="shared" si="3"/>
        <v>2026</v>
      </c>
      <c r="K60" s="13" t="s">
        <v>18</v>
      </c>
      <c r="L60" s="13"/>
    </row>
    <row r="61" spans="1:12" x14ac:dyDescent="0.3">
      <c r="A61" s="12">
        <v>46044</v>
      </c>
      <c r="B61" s="68" t="s">
        <v>22</v>
      </c>
      <c r="C61" s="13" t="s">
        <v>72</v>
      </c>
      <c r="D61" s="14">
        <v>1</v>
      </c>
      <c r="E61" s="15">
        <v>12.5</v>
      </c>
      <c r="F61" s="15">
        <f>Tabla8[[#This Row],[CANTIDAD]]*Tabla8[[#This Row],[PRECIO]]</f>
        <v>12.5</v>
      </c>
      <c r="G61" s="13" t="s">
        <v>323</v>
      </c>
      <c r="H61" s="13"/>
      <c r="I61" s="13" t="str">
        <f t="shared" si="2"/>
        <v>ENERO</v>
      </c>
      <c r="J61" s="13">
        <f t="shared" si="3"/>
        <v>2026</v>
      </c>
      <c r="K61" s="13" t="s">
        <v>18</v>
      </c>
      <c r="L61" s="13"/>
    </row>
    <row r="62" spans="1:12" x14ac:dyDescent="0.3">
      <c r="A62" s="12">
        <v>46044</v>
      </c>
      <c r="B62" s="68" t="s">
        <v>19</v>
      </c>
      <c r="C62" s="13" t="s">
        <v>72</v>
      </c>
      <c r="D62" s="14">
        <v>1</v>
      </c>
      <c r="E62" s="15">
        <v>9</v>
      </c>
      <c r="F62" s="15">
        <f>Tabla8[[#This Row],[CANTIDAD]]*Tabla8[[#This Row],[PRECIO]]</f>
        <v>9</v>
      </c>
      <c r="G62" s="13" t="s">
        <v>332</v>
      </c>
      <c r="H62" s="13"/>
      <c r="I62" s="13" t="str">
        <f t="shared" si="2"/>
        <v>ENERO</v>
      </c>
      <c r="J62" s="13">
        <f t="shared" si="3"/>
        <v>2026</v>
      </c>
      <c r="K62" s="13" t="s">
        <v>18</v>
      </c>
      <c r="L62" s="13"/>
    </row>
    <row r="63" spans="1:12" x14ac:dyDescent="0.3">
      <c r="A63" s="12">
        <v>46044</v>
      </c>
      <c r="B63" s="68" t="s">
        <v>67</v>
      </c>
      <c r="C63" s="13" t="s">
        <v>66</v>
      </c>
      <c r="D63" s="14">
        <v>1</v>
      </c>
      <c r="E63" s="15">
        <v>10</v>
      </c>
      <c r="F63" s="15">
        <f>Tabla8[[#This Row],[CANTIDAD]]*Tabla8[[#This Row],[PRECIO]]</f>
        <v>10</v>
      </c>
      <c r="G63" s="13" t="s">
        <v>426</v>
      </c>
      <c r="H63" s="13"/>
      <c r="I63" s="13" t="str">
        <f t="shared" si="2"/>
        <v>ENERO</v>
      </c>
      <c r="J63" s="13">
        <f t="shared" si="3"/>
        <v>2026</v>
      </c>
      <c r="K63" s="13" t="s">
        <v>27</v>
      </c>
      <c r="L63" s="13"/>
    </row>
    <row r="64" spans="1:12" x14ac:dyDescent="0.3">
      <c r="A64" s="12">
        <v>46045</v>
      </c>
      <c r="B64" s="68" t="s">
        <v>19</v>
      </c>
      <c r="C64" s="13" t="s">
        <v>72</v>
      </c>
      <c r="D64" s="14">
        <v>1</v>
      </c>
      <c r="E64" s="15">
        <v>3.5</v>
      </c>
      <c r="F64" s="15">
        <f>Tabla8[[#This Row],[CANTIDAD]]*Tabla8[[#This Row],[PRECIO]]</f>
        <v>3.5</v>
      </c>
      <c r="G64" s="13" t="s">
        <v>19</v>
      </c>
      <c r="H64" s="13"/>
      <c r="I64" s="13" t="str">
        <f t="shared" si="2"/>
        <v>ENERO</v>
      </c>
      <c r="J64" s="13">
        <f t="shared" si="3"/>
        <v>2026</v>
      </c>
      <c r="K64" s="13" t="s">
        <v>18</v>
      </c>
      <c r="L64" s="13"/>
    </row>
    <row r="65" spans="1:12" x14ac:dyDescent="0.3">
      <c r="A65" s="12">
        <v>46045</v>
      </c>
      <c r="B65" s="68" t="s">
        <v>22</v>
      </c>
      <c r="C65" s="13" t="s">
        <v>72</v>
      </c>
      <c r="D65" s="14">
        <v>1</v>
      </c>
      <c r="E65" s="15">
        <v>8.75</v>
      </c>
      <c r="F65" s="15">
        <f>Tabla8[[#This Row],[CANTIDAD]]*Tabla8[[#This Row],[PRECIO]]</f>
        <v>8.75</v>
      </c>
      <c r="G65" s="13" t="s">
        <v>323</v>
      </c>
      <c r="H65" s="13"/>
      <c r="I65" s="13" t="str">
        <f t="shared" si="2"/>
        <v>ENERO</v>
      </c>
      <c r="J65" s="13">
        <f t="shared" si="3"/>
        <v>2026</v>
      </c>
      <c r="K65" s="13" t="s">
        <v>18</v>
      </c>
      <c r="L65" s="13"/>
    </row>
    <row r="66" spans="1:12" x14ac:dyDescent="0.3">
      <c r="A66" s="12">
        <v>46045</v>
      </c>
      <c r="B66" s="68" t="s">
        <v>67</v>
      </c>
      <c r="C66" s="13" t="s">
        <v>421</v>
      </c>
      <c r="D66" s="14">
        <v>1</v>
      </c>
      <c r="E66" s="15">
        <v>15</v>
      </c>
      <c r="F66" s="15">
        <f>Tabla8[[#This Row],[CANTIDAD]]*Tabla8[[#This Row],[PRECIO]]</f>
        <v>15</v>
      </c>
      <c r="G66" s="13" t="s">
        <v>427</v>
      </c>
      <c r="H66" s="13"/>
      <c r="I66" s="13" t="str">
        <f t="shared" si="2"/>
        <v>ENERO</v>
      </c>
      <c r="J66" s="13">
        <f t="shared" si="3"/>
        <v>2026</v>
      </c>
      <c r="K66" s="13" t="s">
        <v>27</v>
      </c>
      <c r="L66" s="13"/>
    </row>
    <row r="67" spans="1:12" x14ac:dyDescent="0.3">
      <c r="A67" s="12">
        <v>46045</v>
      </c>
      <c r="B67" s="68" t="s">
        <v>67</v>
      </c>
      <c r="C67" s="13" t="s">
        <v>428</v>
      </c>
      <c r="D67" s="14">
        <v>1</v>
      </c>
      <c r="E67" s="15">
        <v>62.25</v>
      </c>
      <c r="F67" s="15">
        <f>Tabla8[[#This Row],[CANTIDAD]]*Tabla8[[#This Row],[PRECIO]]</f>
        <v>62.25</v>
      </c>
      <c r="G67" s="13" t="s">
        <v>429</v>
      </c>
      <c r="H67" s="13"/>
      <c r="I67" s="13" t="str">
        <f t="shared" si="2"/>
        <v>ENERO</v>
      </c>
      <c r="J67" s="13">
        <f t="shared" si="3"/>
        <v>2026</v>
      </c>
      <c r="K67" s="13" t="s">
        <v>27</v>
      </c>
      <c r="L67" s="13"/>
    </row>
    <row r="68" spans="1:12" x14ac:dyDescent="0.3">
      <c r="A68" s="12">
        <v>46046</v>
      </c>
      <c r="B68" s="68" t="s">
        <v>67</v>
      </c>
      <c r="C68" s="13" t="s">
        <v>72</v>
      </c>
      <c r="D68" s="14">
        <v>1</v>
      </c>
      <c r="E68" s="15">
        <v>1.5</v>
      </c>
      <c r="F68" s="15">
        <f>Tabla8[[#This Row],[CANTIDAD]]*Tabla8[[#This Row],[PRECIO]]</f>
        <v>1.5</v>
      </c>
      <c r="G68" s="13" t="s">
        <v>311</v>
      </c>
      <c r="H68" s="13"/>
      <c r="I68" s="13" t="str">
        <f t="shared" ref="I68:I99" si="4">UPPER(TEXT(A68,"MMMM"))</f>
        <v>ENERO</v>
      </c>
      <c r="J68" s="13">
        <f t="shared" ref="J68:J99" si="5">+YEAR(A68)</f>
        <v>2026</v>
      </c>
      <c r="K68" s="13" t="s">
        <v>18</v>
      </c>
      <c r="L68" s="13"/>
    </row>
    <row r="69" spans="1:12" x14ac:dyDescent="0.3">
      <c r="A69" s="12">
        <v>46046</v>
      </c>
      <c r="B69" s="68" t="s">
        <v>22</v>
      </c>
      <c r="C69" s="13" t="s">
        <v>72</v>
      </c>
      <c r="D69" s="14">
        <v>1</v>
      </c>
      <c r="E69" s="15">
        <v>1.35</v>
      </c>
      <c r="F69" s="15">
        <f>Tabla8[[#This Row],[CANTIDAD]]*Tabla8[[#This Row],[PRECIO]]</f>
        <v>1.35</v>
      </c>
      <c r="G69" s="13" t="s">
        <v>154</v>
      </c>
      <c r="H69" s="13"/>
      <c r="I69" s="13" t="str">
        <f t="shared" si="4"/>
        <v>ENERO</v>
      </c>
      <c r="J69" s="13">
        <f t="shared" si="5"/>
        <v>2026</v>
      </c>
      <c r="K69" s="13" t="s">
        <v>18</v>
      </c>
      <c r="L69" s="13"/>
    </row>
    <row r="70" spans="1:12" x14ac:dyDescent="0.3">
      <c r="A70" s="12">
        <v>46046</v>
      </c>
      <c r="B70" s="68" t="s">
        <v>67</v>
      </c>
      <c r="C70" s="13" t="s">
        <v>72</v>
      </c>
      <c r="D70" s="14">
        <v>1</v>
      </c>
      <c r="E70" s="15">
        <v>0.25</v>
      </c>
      <c r="F70" s="15">
        <f>Tabla8[[#This Row],[CANTIDAD]]*Tabla8[[#This Row],[PRECIO]]</f>
        <v>0.25</v>
      </c>
      <c r="G70" s="13" t="s">
        <v>340</v>
      </c>
      <c r="H70" s="13"/>
      <c r="I70" s="13" t="str">
        <f t="shared" si="4"/>
        <v>ENERO</v>
      </c>
      <c r="J70" s="13">
        <f t="shared" si="5"/>
        <v>2026</v>
      </c>
      <c r="K70" s="13" t="s">
        <v>18</v>
      </c>
      <c r="L70" s="13"/>
    </row>
    <row r="71" spans="1:12" x14ac:dyDescent="0.3">
      <c r="A71" s="12">
        <v>46046</v>
      </c>
      <c r="B71" s="68" t="s">
        <v>67</v>
      </c>
      <c r="C71" s="13" t="s">
        <v>72</v>
      </c>
      <c r="D71" s="14">
        <v>1</v>
      </c>
      <c r="E71" s="15">
        <v>1.2</v>
      </c>
      <c r="F71" s="15">
        <f>Tabla8[[#This Row],[CANTIDAD]]*Tabla8[[#This Row],[PRECIO]]</f>
        <v>1.2</v>
      </c>
      <c r="G71" s="13" t="s">
        <v>341</v>
      </c>
      <c r="H71" s="13"/>
      <c r="I71" s="13" t="str">
        <f t="shared" si="4"/>
        <v>ENERO</v>
      </c>
      <c r="J71" s="13">
        <f t="shared" si="5"/>
        <v>2026</v>
      </c>
      <c r="K71" s="13" t="s">
        <v>18</v>
      </c>
      <c r="L71" s="13"/>
    </row>
    <row r="72" spans="1:12" x14ac:dyDescent="0.3">
      <c r="A72" s="12">
        <v>46046</v>
      </c>
      <c r="B72" s="68" t="s">
        <v>19</v>
      </c>
      <c r="C72" s="13" t="s">
        <v>66</v>
      </c>
      <c r="D72" s="14">
        <v>1</v>
      </c>
      <c r="E72" s="15">
        <v>2.5</v>
      </c>
      <c r="F72" s="15">
        <f>Tabla8[[#This Row],[CANTIDAD]]*Tabla8[[#This Row],[PRECIO]]</f>
        <v>2.5</v>
      </c>
      <c r="G72" s="13" t="s">
        <v>19</v>
      </c>
      <c r="H72" s="13"/>
      <c r="I72" s="13" t="str">
        <f t="shared" si="4"/>
        <v>ENERO</v>
      </c>
      <c r="J72" s="13">
        <f t="shared" si="5"/>
        <v>2026</v>
      </c>
      <c r="K72" s="13" t="s">
        <v>18</v>
      </c>
      <c r="L72" s="13"/>
    </row>
    <row r="73" spans="1:12" x14ac:dyDescent="0.3">
      <c r="A73" s="12">
        <v>46046</v>
      </c>
      <c r="B73" s="68" t="s">
        <v>69</v>
      </c>
      <c r="C73" s="13" t="s">
        <v>301</v>
      </c>
      <c r="D73" s="14">
        <v>1</v>
      </c>
      <c r="E73" s="15">
        <v>32.79</v>
      </c>
      <c r="F73" s="15">
        <f>Tabla8[[#This Row],[CANTIDAD]]*Tabla8[[#This Row],[PRECIO]]</f>
        <v>32.79</v>
      </c>
      <c r="G73" s="13" t="s">
        <v>461</v>
      </c>
      <c r="H73" s="13"/>
      <c r="I73" s="13" t="str">
        <f t="shared" si="4"/>
        <v>ENERO</v>
      </c>
      <c r="J73" s="13">
        <f t="shared" si="5"/>
        <v>2026</v>
      </c>
      <c r="K73" s="13" t="s">
        <v>27</v>
      </c>
      <c r="L73" s="13"/>
    </row>
    <row r="74" spans="1:12" x14ac:dyDescent="0.3">
      <c r="A74" s="12">
        <v>46048</v>
      </c>
      <c r="B74" s="68" t="s">
        <v>67</v>
      </c>
      <c r="C74" s="13" t="s">
        <v>390</v>
      </c>
      <c r="D74" s="14">
        <v>1</v>
      </c>
      <c r="E74" s="15">
        <v>16.5</v>
      </c>
      <c r="F74" s="15">
        <f>Tabla8[[#This Row],[CANTIDAD]]*Tabla8[[#This Row],[PRECIO]]</f>
        <v>16.5</v>
      </c>
      <c r="G74" s="13" t="s">
        <v>424</v>
      </c>
      <c r="H74" s="13"/>
      <c r="I74" s="13" t="str">
        <f t="shared" si="4"/>
        <v>ENERO</v>
      </c>
      <c r="J74" s="13">
        <f t="shared" si="5"/>
        <v>2026</v>
      </c>
      <c r="K74" s="13" t="s">
        <v>27</v>
      </c>
      <c r="L74" s="13"/>
    </row>
    <row r="75" spans="1:12" x14ac:dyDescent="0.3">
      <c r="A75" s="12">
        <v>46048</v>
      </c>
      <c r="B75" s="68" t="s">
        <v>67</v>
      </c>
      <c r="C75" s="13" t="s">
        <v>430</v>
      </c>
      <c r="D75" s="14">
        <v>1</v>
      </c>
      <c r="E75" s="15">
        <v>47.15</v>
      </c>
      <c r="F75" s="15">
        <f>Tabla8[[#This Row],[CANTIDAD]]*Tabla8[[#This Row],[PRECIO]]</f>
        <v>47.15</v>
      </c>
      <c r="G75" s="13" t="s">
        <v>431</v>
      </c>
      <c r="H75" s="13"/>
      <c r="I75" s="13" t="str">
        <f t="shared" si="4"/>
        <v>ENERO</v>
      </c>
      <c r="J75" s="13">
        <f t="shared" si="5"/>
        <v>2026</v>
      </c>
      <c r="K75" s="13" t="s">
        <v>27</v>
      </c>
      <c r="L75" s="13"/>
    </row>
    <row r="76" spans="1:12" x14ac:dyDescent="0.3">
      <c r="A76" s="12">
        <v>46048</v>
      </c>
      <c r="B76" s="68" t="s">
        <v>67</v>
      </c>
      <c r="C76" s="13" t="s">
        <v>390</v>
      </c>
      <c r="D76" s="14">
        <v>1</v>
      </c>
      <c r="E76" s="15">
        <v>6.99</v>
      </c>
      <c r="F76" s="15">
        <f>Tabla8[[#This Row],[CANTIDAD]]*Tabla8[[#This Row],[PRECIO]]</f>
        <v>6.99</v>
      </c>
      <c r="G76" s="13" t="s">
        <v>424</v>
      </c>
      <c r="H76" s="13"/>
      <c r="I76" s="13" t="str">
        <f t="shared" si="4"/>
        <v>ENERO</v>
      </c>
      <c r="J76" s="13">
        <f t="shared" si="5"/>
        <v>2026</v>
      </c>
      <c r="K76" s="13" t="s">
        <v>27</v>
      </c>
      <c r="L76" s="13"/>
    </row>
    <row r="77" spans="1:12" x14ac:dyDescent="0.3">
      <c r="A77" s="12">
        <v>46048</v>
      </c>
      <c r="B77" s="68" t="s">
        <v>67</v>
      </c>
      <c r="C77" s="13" t="s">
        <v>66</v>
      </c>
      <c r="D77" s="14">
        <v>1</v>
      </c>
      <c r="E77" s="15">
        <v>4.55</v>
      </c>
      <c r="F77" s="15">
        <f>Tabla8[[#This Row],[CANTIDAD]]*Tabla8[[#This Row],[PRECIO]]</f>
        <v>4.55</v>
      </c>
      <c r="G77" s="13" t="s">
        <v>432</v>
      </c>
      <c r="H77" s="13"/>
      <c r="I77" s="13" t="str">
        <f t="shared" si="4"/>
        <v>ENERO</v>
      </c>
      <c r="J77" s="13">
        <f t="shared" si="5"/>
        <v>2026</v>
      </c>
      <c r="K77" s="13" t="s">
        <v>27</v>
      </c>
      <c r="L77" s="13"/>
    </row>
    <row r="78" spans="1:12" x14ac:dyDescent="0.3">
      <c r="A78" s="12">
        <v>46049</v>
      </c>
      <c r="B78" s="68" t="s">
        <v>19</v>
      </c>
      <c r="C78" s="13" t="s">
        <v>66</v>
      </c>
      <c r="D78" s="14">
        <v>1</v>
      </c>
      <c r="E78" s="15">
        <v>2</v>
      </c>
      <c r="F78" s="15">
        <f>Tabla8[[#This Row],[CANTIDAD]]*Tabla8[[#This Row],[PRECIO]]</f>
        <v>2</v>
      </c>
      <c r="G78" s="13" t="s">
        <v>19</v>
      </c>
      <c r="H78" s="13"/>
      <c r="I78" s="13" t="str">
        <f t="shared" si="4"/>
        <v>ENERO</v>
      </c>
      <c r="J78" s="13">
        <f t="shared" si="5"/>
        <v>2026</v>
      </c>
      <c r="K78" s="13" t="s">
        <v>18</v>
      </c>
      <c r="L78" s="13"/>
    </row>
    <row r="79" spans="1:12" x14ac:dyDescent="0.3">
      <c r="A79" s="12">
        <v>46049</v>
      </c>
      <c r="B79" s="68" t="s">
        <v>22</v>
      </c>
      <c r="C79" s="13" t="s">
        <v>66</v>
      </c>
      <c r="D79" s="14">
        <v>1</v>
      </c>
      <c r="E79" s="15">
        <v>9.8000000000000007</v>
      </c>
      <c r="F79" s="15">
        <f>Tabla8[[#This Row],[CANTIDAD]]*Tabla8[[#This Row],[PRECIO]]</f>
        <v>9.8000000000000007</v>
      </c>
      <c r="G79" s="13" t="s">
        <v>323</v>
      </c>
      <c r="H79" s="13"/>
      <c r="I79" s="13" t="str">
        <f t="shared" si="4"/>
        <v>ENERO</v>
      </c>
      <c r="J79" s="13">
        <f t="shared" si="5"/>
        <v>2026</v>
      </c>
      <c r="K79" s="13" t="s">
        <v>18</v>
      </c>
      <c r="L79" s="13"/>
    </row>
    <row r="80" spans="1:12" x14ac:dyDescent="0.3">
      <c r="A80" s="12">
        <v>46049</v>
      </c>
      <c r="B80" s="68" t="s">
        <v>67</v>
      </c>
      <c r="C80" s="13" t="s">
        <v>390</v>
      </c>
      <c r="D80" s="14">
        <v>1</v>
      </c>
      <c r="E80" s="15">
        <v>6.99</v>
      </c>
      <c r="F80" s="15">
        <f>Tabla8[[#This Row],[CANTIDAD]]*Tabla8[[#This Row],[PRECIO]]</f>
        <v>6.99</v>
      </c>
      <c r="G80" s="13" t="s">
        <v>424</v>
      </c>
      <c r="H80" s="13"/>
      <c r="I80" s="13" t="str">
        <f t="shared" si="4"/>
        <v>ENERO</v>
      </c>
      <c r="J80" s="13">
        <f t="shared" si="5"/>
        <v>2026</v>
      </c>
      <c r="K80" s="13" t="s">
        <v>27</v>
      </c>
      <c r="L80" s="13"/>
    </row>
    <row r="81" spans="1:12" x14ac:dyDescent="0.3">
      <c r="A81" s="12">
        <v>46049</v>
      </c>
      <c r="B81" s="68" t="s">
        <v>67</v>
      </c>
      <c r="C81" s="13" t="s">
        <v>430</v>
      </c>
      <c r="D81" s="14">
        <v>1</v>
      </c>
      <c r="E81" s="15">
        <v>47.15</v>
      </c>
      <c r="F81" s="15">
        <f>Tabla8[[#This Row],[CANTIDAD]]*Tabla8[[#This Row],[PRECIO]]</f>
        <v>47.15</v>
      </c>
      <c r="G81" s="13" t="s">
        <v>431</v>
      </c>
      <c r="H81" s="13"/>
      <c r="I81" s="13" t="str">
        <f t="shared" si="4"/>
        <v>ENERO</v>
      </c>
      <c r="J81" s="13">
        <f t="shared" si="5"/>
        <v>2026</v>
      </c>
      <c r="K81" s="13" t="s">
        <v>27</v>
      </c>
      <c r="L81" s="13"/>
    </row>
    <row r="82" spans="1:12" x14ac:dyDescent="0.3">
      <c r="A82" s="12">
        <v>46050</v>
      </c>
      <c r="B82" s="68" t="s">
        <v>22</v>
      </c>
      <c r="C82" s="13" t="s">
        <v>66</v>
      </c>
      <c r="D82" s="14">
        <v>1</v>
      </c>
      <c r="E82" s="15">
        <v>1.35</v>
      </c>
      <c r="F82" s="15">
        <f>Tabla8[[#This Row],[CANTIDAD]]*Tabla8[[#This Row],[PRECIO]]</f>
        <v>1.35</v>
      </c>
      <c r="G82" s="13" t="s">
        <v>154</v>
      </c>
      <c r="H82" s="13"/>
      <c r="I82" s="13" t="str">
        <f t="shared" si="4"/>
        <v>ENERO</v>
      </c>
      <c r="J82" s="13">
        <f t="shared" si="5"/>
        <v>2026</v>
      </c>
      <c r="K82" s="13" t="s">
        <v>18</v>
      </c>
      <c r="L82" s="13"/>
    </row>
    <row r="83" spans="1:12" x14ac:dyDescent="0.3">
      <c r="A83" s="12">
        <v>46050</v>
      </c>
      <c r="B83" s="68" t="s">
        <v>22</v>
      </c>
      <c r="C83" s="13" t="s">
        <v>66</v>
      </c>
      <c r="D83" s="14">
        <v>1</v>
      </c>
      <c r="E83" s="15">
        <v>7</v>
      </c>
      <c r="F83" s="15">
        <f>Tabla8[[#This Row],[CANTIDAD]]*Tabla8[[#This Row],[PRECIO]]</f>
        <v>7</v>
      </c>
      <c r="G83" s="13" t="s">
        <v>323</v>
      </c>
      <c r="H83" s="13"/>
      <c r="I83" s="13" t="str">
        <f t="shared" si="4"/>
        <v>ENERO</v>
      </c>
      <c r="J83" s="13">
        <f t="shared" si="5"/>
        <v>2026</v>
      </c>
      <c r="K83" s="13" t="s">
        <v>18</v>
      </c>
      <c r="L83" s="13"/>
    </row>
    <row r="84" spans="1:12" x14ac:dyDescent="0.3">
      <c r="A84" s="12">
        <v>46050</v>
      </c>
      <c r="B84" s="68" t="s">
        <v>68</v>
      </c>
      <c r="C84" s="13" t="s">
        <v>65</v>
      </c>
      <c r="D84" s="14">
        <v>1</v>
      </c>
      <c r="E84" s="15">
        <v>30</v>
      </c>
      <c r="F84" s="15">
        <f>Tabla8[[#This Row],[CANTIDAD]]*Tabla8[[#This Row],[PRECIO]]</f>
        <v>30</v>
      </c>
      <c r="G84" s="13" t="s">
        <v>361</v>
      </c>
      <c r="H84" s="13"/>
      <c r="I84" s="13" t="str">
        <f t="shared" si="4"/>
        <v>ENERO</v>
      </c>
      <c r="J84" s="13">
        <f t="shared" si="5"/>
        <v>2026</v>
      </c>
      <c r="K84" s="13" t="s">
        <v>18</v>
      </c>
      <c r="L84" s="13"/>
    </row>
    <row r="85" spans="1:12" x14ac:dyDescent="0.3">
      <c r="A85" s="12">
        <v>46050</v>
      </c>
      <c r="B85" s="68" t="s">
        <v>22</v>
      </c>
      <c r="C85" s="13" t="s">
        <v>65</v>
      </c>
      <c r="D85" s="14">
        <v>1</v>
      </c>
      <c r="E85" s="15">
        <v>1</v>
      </c>
      <c r="F85" s="15">
        <f>Tabla8[[#This Row],[CANTIDAD]]*Tabla8[[#This Row],[PRECIO]]</f>
        <v>1</v>
      </c>
      <c r="G85" s="13" t="s">
        <v>362</v>
      </c>
      <c r="H85" s="13"/>
      <c r="I85" s="13" t="str">
        <f t="shared" si="4"/>
        <v>ENERO</v>
      </c>
      <c r="J85" s="13">
        <f t="shared" si="5"/>
        <v>2026</v>
      </c>
      <c r="K85" s="13" t="s">
        <v>18</v>
      </c>
      <c r="L85" s="13"/>
    </row>
    <row r="86" spans="1:12" x14ac:dyDescent="0.3">
      <c r="A86" s="12">
        <v>46050</v>
      </c>
      <c r="B86" s="68" t="s">
        <v>67</v>
      </c>
      <c r="C86" s="13" t="s">
        <v>430</v>
      </c>
      <c r="D86" s="14">
        <v>1</v>
      </c>
      <c r="E86" s="15">
        <v>47.15</v>
      </c>
      <c r="F86" s="15">
        <f>Tabla8[[#This Row],[CANTIDAD]]*Tabla8[[#This Row],[PRECIO]]</f>
        <v>47.15</v>
      </c>
      <c r="G86" s="13" t="s">
        <v>431</v>
      </c>
      <c r="H86" s="13"/>
      <c r="I86" s="13" t="str">
        <f t="shared" si="4"/>
        <v>ENERO</v>
      </c>
      <c r="J86" s="13">
        <f t="shared" si="5"/>
        <v>2026</v>
      </c>
      <c r="K86" s="13" t="s">
        <v>27</v>
      </c>
      <c r="L86" s="13"/>
    </row>
    <row r="87" spans="1:12" x14ac:dyDescent="0.3">
      <c r="A87" s="12">
        <v>46050</v>
      </c>
      <c r="B87" s="68" t="s">
        <v>67</v>
      </c>
      <c r="C87" s="13" t="s">
        <v>66</v>
      </c>
      <c r="D87" s="14">
        <v>1</v>
      </c>
      <c r="E87" s="15">
        <v>4.5</v>
      </c>
      <c r="F87" s="15">
        <f>Tabla8[[#This Row],[CANTIDAD]]*Tabla8[[#This Row],[PRECIO]]</f>
        <v>4.5</v>
      </c>
      <c r="G87" s="13" t="s">
        <v>22</v>
      </c>
      <c r="H87" s="13"/>
      <c r="I87" s="13" t="str">
        <f t="shared" si="4"/>
        <v>ENERO</v>
      </c>
      <c r="J87" s="13">
        <f t="shared" si="5"/>
        <v>2026</v>
      </c>
      <c r="K87" s="13" t="s">
        <v>27</v>
      </c>
      <c r="L87" s="13"/>
    </row>
    <row r="88" spans="1:12" x14ac:dyDescent="0.3">
      <c r="A88" s="12">
        <v>46051</v>
      </c>
      <c r="B88" s="68" t="s">
        <v>67</v>
      </c>
      <c r="C88" s="13" t="s">
        <v>430</v>
      </c>
      <c r="D88" s="14">
        <v>1</v>
      </c>
      <c r="E88" s="15">
        <v>3.45</v>
      </c>
      <c r="F88" s="15">
        <f>Tabla8[[#This Row],[CANTIDAD]]*Tabla8[[#This Row],[PRECIO]]</f>
        <v>3.45</v>
      </c>
      <c r="G88" s="13" t="s">
        <v>312</v>
      </c>
      <c r="H88" s="13"/>
      <c r="I88" s="13" t="str">
        <f t="shared" si="4"/>
        <v>ENERO</v>
      </c>
      <c r="J88" s="13">
        <f t="shared" si="5"/>
        <v>2026</v>
      </c>
      <c r="K88" s="13" t="s">
        <v>27</v>
      </c>
      <c r="L88" s="13"/>
    </row>
    <row r="89" spans="1:12" x14ac:dyDescent="0.3">
      <c r="A89" s="12">
        <v>46051</v>
      </c>
      <c r="B89" s="68" t="s">
        <v>67</v>
      </c>
      <c r="C89" s="13" t="s">
        <v>390</v>
      </c>
      <c r="D89" s="14">
        <v>1</v>
      </c>
      <c r="E89" s="15">
        <v>6.05</v>
      </c>
      <c r="F89" s="15">
        <f>Tabla8[[#This Row],[CANTIDAD]]*Tabla8[[#This Row],[PRECIO]]</f>
        <v>6.05</v>
      </c>
      <c r="G89" s="13" t="s">
        <v>424</v>
      </c>
      <c r="H89" s="13"/>
      <c r="I89" s="13" t="str">
        <f t="shared" si="4"/>
        <v>ENERO</v>
      </c>
      <c r="J89" s="13">
        <f t="shared" si="5"/>
        <v>2026</v>
      </c>
      <c r="K89" s="13" t="s">
        <v>27</v>
      </c>
      <c r="L89" s="13"/>
    </row>
    <row r="90" spans="1:12" x14ac:dyDescent="0.3">
      <c r="A90" s="12">
        <v>46052</v>
      </c>
      <c r="B90" s="68" t="s">
        <v>22</v>
      </c>
      <c r="C90" s="13" t="s">
        <v>65</v>
      </c>
      <c r="D90" s="14">
        <v>1</v>
      </c>
      <c r="E90" s="15">
        <v>5.49</v>
      </c>
      <c r="F90" s="15">
        <f>Tabla8[[#This Row],[CANTIDAD]]*Tabla8[[#This Row],[PRECIO]]</f>
        <v>5.49</v>
      </c>
      <c r="G90" s="13" t="s">
        <v>154</v>
      </c>
      <c r="H90" s="13"/>
      <c r="I90" s="13" t="str">
        <f t="shared" si="4"/>
        <v>ENERO</v>
      </c>
      <c r="J90" s="13">
        <f t="shared" si="5"/>
        <v>2026</v>
      </c>
      <c r="K90" s="13" t="s">
        <v>18</v>
      </c>
      <c r="L90" s="13"/>
    </row>
    <row r="91" spans="1:12" x14ac:dyDescent="0.3">
      <c r="A91" s="12">
        <v>46052</v>
      </c>
      <c r="B91" s="68" t="s">
        <v>22</v>
      </c>
      <c r="C91" s="13" t="s">
        <v>65</v>
      </c>
      <c r="D91" s="14">
        <v>1</v>
      </c>
      <c r="E91" s="15">
        <v>1</v>
      </c>
      <c r="F91" s="15">
        <f>Tabla8[[#This Row],[CANTIDAD]]*Tabla8[[#This Row],[PRECIO]]</f>
        <v>1</v>
      </c>
      <c r="G91" s="13" t="s">
        <v>154</v>
      </c>
      <c r="H91" s="13"/>
      <c r="I91" s="13" t="str">
        <f t="shared" si="4"/>
        <v>ENERO</v>
      </c>
      <c r="J91" s="13">
        <f t="shared" si="5"/>
        <v>2026</v>
      </c>
      <c r="K91" s="13" t="s">
        <v>18</v>
      </c>
      <c r="L91" s="13"/>
    </row>
    <row r="92" spans="1:12" x14ac:dyDescent="0.3">
      <c r="A92" s="12">
        <v>46053</v>
      </c>
      <c r="B92" s="12" t="s">
        <v>22</v>
      </c>
      <c r="C92" s="13" t="s">
        <v>66</v>
      </c>
      <c r="D92" s="14">
        <v>1</v>
      </c>
      <c r="E92" s="15">
        <v>1.75</v>
      </c>
      <c r="F92" s="15">
        <f>Tabla8[[#This Row],[CANTIDAD]]*Tabla8[[#This Row],[PRECIO]]</f>
        <v>1.75</v>
      </c>
      <c r="G92" s="13" t="s">
        <v>403</v>
      </c>
      <c r="H92" s="13"/>
      <c r="I92" s="13" t="str">
        <f t="shared" si="4"/>
        <v>ENERO</v>
      </c>
      <c r="J92" s="13">
        <f t="shared" si="5"/>
        <v>2026</v>
      </c>
      <c r="K92" s="13" t="s">
        <v>18</v>
      </c>
      <c r="L92" s="13"/>
    </row>
    <row r="93" spans="1:12" x14ac:dyDescent="0.3">
      <c r="A93" s="12">
        <v>46053</v>
      </c>
      <c r="B93" s="12" t="s">
        <v>22</v>
      </c>
      <c r="C93" s="13" t="s">
        <v>66</v>
      </c>
      <c r="D93" s="14">
        <v>1</v>
      </c>
      <c r="E93" s="15">
        <v>2</v>
      </c>
      <c r="F93" s="15">
        <f>Tabla8[[#This Row],[CANTIDAD]]*Tabla8[[#This Row],[PRECIO]]</f>
        <v>2</v>
      </c>
      <c r="G93" s="13" t="s">
        <v>404</v>
      </c>
      <c r="H93" s="13"/>
      <c r="I93" s="13" t="str">
        <f t="shared" si="4"/>
        <v>ENERO</v>
      </c>
      <c r="J93" s="13">
        <f t="shared" si="5"/>
        <v>2026</v>
      </c>
      <c r="K93" s="13" t="s">
        <v>18</v>
      </c>
      <c r="L93" s="13"/>
    </row>
    <row r="94" spans="1:12" x14ac:dyDescent="0.3">
      <c r="A94" s="12">
        <v>46053</v>
      </c>
      <c r="B94" s="12" t="s">
        <v>69</v>
      </c>
      <c r="C94" s="13" t="s">
        <v>66</v>
      </c>
      <c r="D94" s="14">
        <v>1</v>
      </c>
      <c r="E94" s="15">
        <v>10</v>
      </c>
      <c r="F94" s="15">
        <f>Tabla8[[#This Row],[CANTIDAD]]*Tabla8[[#This Row],[PRECIO]]</f>
        <v>10</v>
      </c>
      <c r="G94" s="13" t="s">
        <v>301</v>
      </c>
      <c r="H94" s="13"/>
      <c r="I94" s="13" t="str">
        <f t="shared" si="4"/>
        <v>ENERO</v>
      </c>
      <c r="J94" s="13">
        <f t="shared" si="5"/>
        <v>2026</v>
      </c>
      <c r="K94" s="13" t="s">
        <v>18</v>
      </c>
      <c r="L94" s="13"/>
    </row>
    <row r="95" spans="1:12" x14ac:dyDescent="0.3">
      <c r="A95" s="12">
        <v>46053</v>
      </c>
      <c r="B95" s="68" t="s">
        <v>69</v>
      </c>
      <c r="C95" s="13" t="s">
        <v>65</v>
      </c>
      <c r="D95" s="14">
        <v>1</v>
      </c>
      <c r="E95" s="15">
        <v>11.05</v>
      </c>
      <c r="F95" s="15">
        <f>Tabla8[[#This Row],[CANTIDAD]]*Tabla8[[#This Row],[PRECIO]]</f>
        <v>11.05</v>
      </c>
      <c r="G95" s="13" t="s">
        <v>408</v>
      </c>
      <c r="H95" s="13"/>
      <c r="I95" s="13" t="str">
        <f t="shared" si="4"/>
        <v>ENERO</v>
      </c>
      <c r="J95" s="13">
        <f t="shared" si="5"/>
        <v>2026</v>
      </c>
      <c r="K95" s="13" t="s">
        <v>18</v>
      </c>
      <c r="L95" s="13"/>
    </row>
    <row r="96" spans="1:12" x14ac:dyDescent="0.3">
      <c r="A96" s="12">
        <v>46053</v>
      </c>
      <c r="B96" s="12" t="s">
        <v>25</v>
      </c>
      <c r="C96" s="13" t="s">
        <v>27</v>
      </c>
      <c r="D96" s="14">
        <v>1</v>
      </c>
      <c r="E96" s="15">
        <v>300</v>
      </c>
      <c r="F96" s="15">
        <f>Tabla8[[#This Row],[CANTIDAD]]*Tabla8[[#This Row],[PRECIO]]</f>
        <v>300</v>
      </c>
      <c r="G96" s="13" t="s">
        <v>310</v>
      </c>
      <c r="H96" s="13"/>
      <c r="I96" s="13" t="str">
        <f t="shared" si="4"/>
        <v>ENERO</v>
      </c>
      <c r="J96" s="13">
        <f t="shared" si="5"/>
        <v>2026</v>
      </c>
      <c r="K96" s="13" t="s">
        <v>18</v>
      </c>
      <c r="L96" s="13"/>
    </row>
    <row r="97" spans="1:12" x14ac:dyDescent="0.3">
      <c r="A97" s="12">
        <v>46055</v>
      </c>
      <c r="B97" s="68" t="s">
        <v>22</v>
      </c>
      <c r="C97" s="13" t="s">
        <v>66</v>
      </c>
      <c r="D97" s="14">
        <v>1</v>
      </c>
      <c r="E97" s="15">
        <v>0.5</v>
      </c>
      <c r="F97" s="15">
        <f>Tabla8[[#This Row],[CANTIDAD]]*Tabla8[[#This Row],[PRECIO]]</f>
        <v>0.5</v>
      </c>
      <c r="G97" s="13" t="s">
        <v>22</v>
      </c>
      <c r="H97" s="13"/>
      <c r="I97" s="13" t="str">
        <f t="shared" si="4"/>
        <v>FEBRERO</v>
      </c>
      <c r="J97" s="13">
        <f t="shared" si="5"/>
        <v>2026</v>
      </c>
      <c r="K97" s="13" t="s">
        <v>27</v>
      </c>
      <c r="L97" s="13"/>
    </row>
    <row r="98" spans="1:12" x14ac:dyDescent="0.3">
      <c r="A98" s="12">
        <v>46055</v>
      </c>
      <c r="B98" s="68" t="s">
        <v>67</v>
      </c>
      <c r="C98" s="13" t="s">
        <v>66</v>
      </c>
      <c r="D98" s="14">
        <v>1</v>
      </c>
      <c r="E98" s="15">
        <v>432.51</v>
      </c>
      <c r="F98" s="15">
        <f>Tabla8[[#This Row],[CANTIDAD]]*Tabla8[[#This Row],[PRECIO]]</f>
        <v>432.51</v>
      </c>
      <c r="G98" s="13" t="s">
        <v>483</v>
      </c>
      <c r="H98" s="13"/>
      <c r="I98" s="13" t="str">
        <f t="shared" si="4"/>
        <v>FEBRERO</v>
      </c>
      <c r="J98" s="13">
        <f t="shared" si="5"/>
        <v>2026</v>
      </c>
      <c r="K98" s="13" t="s">
        <v>27</v>
      </c>
      <c r="L98" s="13"/>
    </row>
    <row r="99" spans="1:12" x14ac:dyDescent="0.3">
      <c r="A99" s="12">
        <v>46056</v>
      </c>
      <c r="B99" s="68" t="s">
        <v>67</v>
      </c>
      <c r="C99" s="13" t="s">
        <v>66</v>
      </c>
      <c r="D99" s="14">
        <v>1</v>
      </c>
      <c r="E99" s="15">
        <v>13.8</v>
      </c>
      <c r="F99" s="15">
        <f>Tabla8[[#This Row],[CANTIDAD]]*Tabla8[[#This Row],[PRECIO]]</f>
        <v>13.8</v>
      </c>
      <c r="G99" s="13" t="s">
        <v>409</v>
      </c>
      <c r="H99" s="13"/>
      <c r="I99" s="13" t="str">
        <f t="shared" si="4"/>
        <v>FEBRERO</v>
      </c>
      <c r="J99" s="13">
        <f t="shared" si="5"/>
        <v>2026</v>
      </c>
      <c r="K99" s="13" t="s">
        <v>18</v>
      </c>
      <c r="L99" s="13"/>
    </row>
    <row r="100" spans="1:12" x14ac:dyDescent="0.3">
      <c r="A100" s="12">
        <v>46056</v>
      </c>
      <c r="B100" s="68" t="s">
        <v>69</v>
      </c>
      <c r="C100" s="13" t="s">
        <v>65</v>
      </c>
      <c r="D100" s="14">
        <v>1</v>
      </c>
      <c r="E100" s="15">
        <v>20</v>
      </c>
      <c r="F100" s="15">
        <f>Tabla8[[#This Row],[CANTIDAD]]*Tabla8[[#This Row],[PRECIO]]</f>
        <v>20</v>
      </c>
      <c r="G100" s="13" t="s">
        <v>410</v>
      </c>
      <c r="H100" s="13"/>
      <c r="I100" s="13" t="str">
        <f t="shared" ref="I100:I131" si="6">UPPER(TEXT(A100,"MMMM"))</f>
        <v>FEBRERO</v>
      </c>
      <c r="J100" s="13">
        <f t="shared" ref="J100:J131" si="7">+YEAR(A100)</f>
        <v>2026</v>
      </c>
      <c r="K100" s="13" t="s">
        <v>18</v>
      </c>
      <c r="L100" s="13"/>
    </row>
    <row r="101" spans="1:12" x14ac:dyDescent="0.3">
      <c r="A101" s="12">
        <v>46056</v>
      </c>
      <c r="B101" s="68" t="s">
        <v>67</v>
      </c>
      <c r="C101" s="13" t="s">
        <v>66</v>
      </c>
      <c r="D101" s="14">
        <v>1</v>
      </c>
      <c r="E101" s="15">
        <v>22.45</v>
      </c>
      <c r="F101" s="15">
        <f>Tabla8[[#This Row],[CANTIDAD]]*Tabla8[[#This Row],[PRECIO]]</f>
        <v>22.45</v>
      </c>
      <c r="G101" s="13" t="s">
        <v>22</v>
      </c>
      <c r="H101" s="13"/>
      <c r="I101" s="13" t="str">
        <f t="shared" si="6"/>
        <v>FEBRERO</v>
      </c>
      <c r="J101" s="13">
        <f t="shared" si="7"/>
        <v>2026</v>
      </c>
      <c r="K101" s="13" t="s">
        <v>18</v>
      </c>
      <c r="L101" s="13"/>
    </row>
    <row r="102" spans="1:12" x14ac:dyDescent="0.3">
      <c r="A102" s="12">
        <v>46056</v>
      </c>
      <c r="B102" s="68" t="s">
        <v>67</v>
      </c>
      <c r="C102" s="13" t="s">
        <v>66</v>
      </c>
      <c r="D102" s="14">
        <v>1</v>
      </c>
      <c r="E102" s="15">
        <v>66.75</v>
      </c>
      <c r="F102" s="15">
        <f>Tabla8[[#This Row],[CANTIDAD]]*Tabla8[[#This Row],[PRECIO]]</f>
        <v>66.75</v>
      </c>
      <c r="G102" s="13" t="s">
        <v>411</v>
      </c>
      <c r="H102" s="13"/>
      <c r="I102" s="13" t="str">
        <f t="shared" si="6"/>
        <v>FEBRERO</v>
      </c>
      <c r="J102" s="13">
        <f t="shared" si="7"/>
        <v>2026</v>
      </c>
      <c r="K102" s="13" t="s">
        <v>18</v>
      </c>
      <c r="L102" s="13"/>
    </row>
    <row r="103" spans="1:12" x14ac:dyDescent="0.3">
      <c r="A103" s="12">
        <v>46056</v>
      </c>
      <c r="B103" s="68" t="s">
        <v>67</v>
      </c>
      <c r="C103" s="13" t="s">
        <v>66</v>
      </c>
      <c r="D103" s="14">
        <v>1</v>
      </c>
      <c r="E103" s="15">
        <v>34.950000000000003</v>
      </c>
      <c r="F103" s="15">
        <f>Tabla8[[#This Row],[CANTIDAD]]*Tabla8[[#This Row],[PRECIO]]</f>
        <v>34.950000000000003</v>
      </c>
      <c r="G103" s="13" t="s">
        <v>22</v>
      </c>
      <c r="H103" s="13"/>
      <c r="I103" s="13" t="str">
        <f t="shared" si="6"/>
        <v>FEBRERO</v>
      </c>
      <c r="J103" s="13">
        <f t="shared" si="7"/>
        <v>2026</v>
      </c>
      <c r="K103" s="13" t="s">
        <v>18</v>
      </c>
      <c r="L103" s="13"/>
    </row>
    <row r="104" spans="1:12" x14ac:dyDescent="0.3">
      <c r="A104" s="12">
        <v>46056</v>
      </c>
      <c r="B104" s="68" t="s">
        <v>22</v>
      </c>
      <c r="C104" s="13" t="s">
        <v>65</v>
      </c>
      <c r="D104" s="14">
        <v>1</v>
      </c>
      <c r="E104" s="15">
        <v>1.2</v>
      </c>
      <c r="F104" s="15">
        <f>Tabla8[[#This Row],[CANTIDAD]]*Tabla8[[#This Row],[PRECIO]]</f>
        <v>1.2</v>
      </c>
      <c r="G104" s="13" t="s">
        <v>472</v>
      </c>
      <c r="H104" s="13"/>
      <c r="I104" s="13" t="str">
        <f t="shared" si="6"/>
        <v>FEBRERO</v>
      </c>
      <c r="J104" s="13">
        <f t="shared" si="7"/>
        <v>2026</v>
      </c>
      <c r="K104" s="13" t="s">
        <v>18</v>
      </c>
      <c r="L104" s="13"/>
    </row>
    <row r="105" spans="1:12" x14ac:dyDescent="0.3">
      <c r="A105" s="12">
        <v>46057</v>
      </c>
      <c r="B105" s="68" t="s">
        <v>69</v>
      </c>
      <c r="C105" s="13" t="s">
        <v>65</v>
      </c>
      <c r="D105" s="14">
        <v>1</v>
      </c>
      <c r="E105" s="15">
        <v>20</v>
      </c>
      <c r="F105" s="15">
        <f>Tabla8[[#This Row],[CANTIDAD]]*Tabla8[[#This Row],[PRECIO]]</f>
        <v>20</v>
      </c>
      <c r="G105" s="13" t="s">
        <v>301</v>
      </c>
      <c r="H105" s="13"/>
      <c r="I105" s="13" t="str">
        <f t="shared" si="6"/>
        <v>FEBRERO</v>
      </c>
      <c r="J105" s="13">
        <f t="shared" si="7"/>
        <v>2026</v>
      </c>
      <c r="K105" s="13" t="s">
        <v>83</v>
      </c>
      <c r="L105" s="13"/>
    </row>
    <row r="106" spans="1:12" x14ac:dyDescent="0.3">
      <c r="A106" s="12">
        <v>46057</v>
      </c>
      <c r="B106" s="68" t="s">
        <v>22</v>
      </c>
      <c r="C106" s="13" t="s">
        <v>65</v>
      </c>
      <c r="D106" s="14">
        <v>1</v>
      </c>
      <c r="E106" s="15">
        <v>20</v>
      </c>
      <c r="F106" s="15">
        <f>Tabla8[[#This Row],[CANTIDAD]]*Tabla8[[#This Row],[PRECIO]]</f>
        <v>20</v>
      </c>
      <c r="G106" s="13" t="s">
        <v>473</v>
      </c>
      <c r="H106" s="13"/>
      <c r="I106" s="13" t="str">
        <f t="shared" si="6"/>
        <v>FEBRERO</v>
      </c>
      <c r="J106" s="13">
        <f t="shared" si="7"/>
        <v>2026</v>
      </c>
      <c r="K106" s="13" t="s">
        <v>18</v>
      </c>
      <c r="L106" s="13"/>
    </row>
    <row r="107" spans="1:12" x14ac:dyDescent="0.3">
      <c r="A107" s="12">
        <v>46058</v>
      </c>
      <c r="B107" s="68" t="s">
        <v>67</v>
      </c>
      <c r="C107" s="13" t="s">
        <v>66</v>
      </c>
      <c r="D107" s="14">
        <v>1</v>
      </c>
      <c r="E107" s="15">
        <v>92.02</v>
      </c>
      <c r="F107" s="15">
        <f>Tabla8[[#This Row],[CANTIDAD]]*Tabla8[[#This Row],[PRECIO]]</f>
        <v>92.02</v>
      </c>
      <c r="G107" s="13" t="s">
        <v>375</v>
      </c>
      <c r="H107" s="13"/>
      <c r="I107" s="13" t="str">
        <f t="shared" si="6"/>
        <v>FEBRERO</v>
      </c>
      <c r="J107" s="13">
        <f t="shared" si="7"/>
        <v>2026</v>
      </c>
      <c r="K107" s="13" t="s">
        <v>18</v>
      </c>
      <c r="L107" s="13"/>
    </row>
    <row r="108" spans="1:12" x14ac:dyDescent="0.3">
      <c r="A108" s="12">
        <v>46058</v>
      </c>
      <c r="B108" s="68" t="s">
        <v>69</v>
      </c>
      <c r="C108" s="13" t="s">
        <v>65</v>
      </c>
      <c r="D108" s="14">
        <v>1</v>
      </c>
      <c r="E108" s="15">
        <v>24</v>
      </c>
      <c r="F108" s="15">
        <f>Tabla8[[#This Row],[CANTIDAD]]*Tabla8[[#This Row],[PRECIO]]</f>
        <v>24</v>
      </c>
      <c r="G108" s="13" t="s">
        <v>301</v>
      </c>
      <c r="H108" s="13"/>
      <c r="I108" s="13" t="str">
        <f t="shared" si="6"/>
        <v>FEBRERO</v>
      </c>
      <c r="J108" s="13">
        <f t="shared" si="7"/>
        <v>2026</v>
      </c>
      <c r="K108" s="13" t="s">
        <v>83</v>
      </c>
      <c r="L108" s="13"/>
    </row>
    <row r="109" spans="1:12" x14ac:dyDescent="0.3">
      <c r="A109" s="12">
        <v>46058</v>
      </c>
      <c r="B109" s="68" t="s">
        <v>22</v>
      </c>
      <c r="C109" s="13" t="s">
        <v>65</v>
      </c>
      <c r="D109" s="14">
        <v>1</v>
      </c>
      <c r="E109" s="15">
        <v>13.75</v>
      </c>
      <c r="F109" s="15">
        <f>Tabla8[[#This Row],[CANTIDAD]]*Tabla8[[#This Row],[PRECIO]]</f>
        <v>13.75</v>
      </c>
      <c r="G109" s="13" t="s">
        <v>411</v>
      </c>
      <c r="H109" s="13"/>
      <c r="I109" s="13" t="str">
        <f t="shared" si="6"/>
        <v>FEBRERO</v>
      </c>
      <c r="J109" s="13">
        <f t="shared" si="7"/>
        <v>2026</v>
      </c>
      <c r="K109" s="13" t="s">
        <v>18</v>
      </c>
      <c r="L109" s="13"/>
    </row>
    <row r="110" spans="1:12" x14ac:dyDescent="0.3">
      <c r="A110" s="12">
        <v>46058</v>
      </c>
      <c r="B110" s="68" t="s">
        <v>22</v>
      </c>
      <c r="C110" s="13" t="s">
        <v>65</v>
      </c>
      <c r="D110" s="14">
        <v>1</v>
      </c>
      <c r="E110" s="15">
        <v>7.5</v>
      </c>
      <c r="F110" s="15">
        <f>Tabla8[[#This Row],[CANTIDAD]]*Tabla8[[#This Row],[PRECIO]]</f>
        <v>7.5</v>
      </c>
      <c r="G110" s="13" t="s">
        <v>454</v>
      </c>
      <c r="H110" s="13"/>
      <c r="I110" s="13" t="str">
        <f t="shared" si="6"/>
        <v>FEBRERO</v>
      </c>
      <c r="J110" s="13">
        <f t="shared" si="7"/>
        <v>2026</v>
      </c>
      <c r="K110" s="13" t="s">
        <v>27</v>
      </c>
      <c r="L110" s="13" t="s">
        <v>488</v>
      </c>
    </row>
    <row r="111" spans="1:12" x14ac:dyDescent="0.3">
      <c r="A111" s="12">
        <v>46059</v>
      </c>
      <c r="B111" s="68" t="s">
        <v>67</v>
      </c>
      <c r="C111" s="13" t="s">
        <v>421</v>
      </c>
      <c r="D111" s="14">
        <v>1</v>
      </c>
      <c r="E111" s="15">
        <v>27</v>
      </c>
      <c r="F111" s="15">
        <f>Tabla8[[#This Row],[CANTIDAD]]*Tabla8[[#This Row],[PRECIO]]</f>
        <v>27</v>
      </c>
      <c r="G111" s="13" t="s">
        <v>447</v>
      </c>
      <c r="H111" s="13"/>
      <c r="I111" s="13" t="str">
        <f t="shared" si="6"/>
        <v>FEBRERO</v>
      </c>
      <c r="J111" s="13">
        <f t="shared" si="7"/>
        <v>2026</v>
      </c>
      <c r="K111" s="13" t="s">
        <v>27</v>
      </c>
      <c r="L111" s="13"/>
    </row>
    <row r="112" spans="1:12" x14ac:dyDescent="0.3">
      <c r="A112" s="12">
        <v>46059</v>
      </c>
      <c r="B112" s="68" t="s">
        <v>68</v>
      </c>
      <c r="C112" s="13" t="s">
        <v>65</v>
      </c>
      <c r="D112" s="14">
        <v>1</v>
      </c>
      <c r="E112" s="15">
        <v>5</v>
      </c>
      <c r="F112" s="15">
        <f>Tabla8[[#This Row],[CANTIDAD]]*Tabla8[[#This Row],[PRECIO]]</f>
        <v>5</v>
      </c>
      <c r="G112" s="13" t="s">
        <v>484</v>
      </c>
      <c r="H112" s="13"/>
      <c r="I112" s="13" t="str">
        <f t="shared" si="6"/>
        <v>FEBRERO</v>
      </c>
      <c r="J112" s="13">
        <f t="shared" si="7"/>
        <v>2026</v>
      </c>
      <c r="K112" s="13" t="s">
        <v>27</v>
      </c>
      <c r="L112" s="13"/>
    </row>
    <row r="113" spans="1:12" x14ac:dyDescent="0.3">
      <c r="A113" s="12">
        <v>46059</v>
      </c>
      <c r="B113" s="68" t="s">
        <v>25</v>
      </c>
      <c r="C113" s="13" t="s">
        <v>450</v>
      </c>
      <c r="D113" s="14">
        <v>1</v>
      </c>
      <c r="E113" s="15">
        <v>188.94</v>
      </c>
      <c r="F113" s="15">
        <f>Tabla8[[#This Row],[CANTIDAD]]*Tabla8[[#This Row],[PRECIO]]</f>
        <v>188.94</v>
      </c>
      <c r="G113" s="13" t="s">
        <v>451</v>
      </c>
      <c r="H113" s="13"/>
      <c r="I113" s="13" t="str">
        <f t="shared" si="6"/>
        <v>FEBRERO</v>
      </c>
      <c r="J113" s="13">
        <f t="shared" si="7"/>
        <v>2026</v>
      </c>
      <c r="K113" s="13" t="s">
        <v>30</v>
      </c>
      <c r="L113" s="13"/>
    </row>
    <row r="114" spans="1:12" x14ac:dyDescent="0.3">
      <c r="A114" s="12">
        <v>46059</v>
      </c>
      <c r="B114" s="68" t="s">
        <v>22</v>
      </c>
      <c r="C114" s="13" t="s">
        <v>65</v>
      </c>
      <c r="D114" s="14">
        <v>1</v>
      </c>
      <c r="E114" s="15">
        <v>23.84</v>
      </c>
      <c r="F114" s="15">
        <f>Tabla8[[#This Row],[CANTIDAD]]*Tabla8[[#This Row],[PRECIO]]</f>
        <v>23.84</v>
      </c>
      <c r="G114" s="13" t="s">
        <v>454</v>
      </c>
      <c r="H114" s="13"/>
      <c r="I114" s="13" t="str">
        <f t="shared" si="6"/>
        <v>FEBRERO</v>
      </c>
      <c r="J114" s="13">
        <f t="shared" si="7"/>
        <v>2026</v>
      </c>
      <c r="K114" s="13" t="s">
        <v>30</v>
      </c>
      <c r="L114" s="13"/>
    </row>
    <row r="115" spans="1:12" x14ac:dyDescent="0.3">
      <c r="A115" s="12">
        <v>46059</v>
      </c>
      <c r="B115" s="68" t="s">
        <v>25</v>
      </c>
      <c r="C115" s="13" t="s">
        <v>452</v>
      </c>
      <c r="D115" s="14">
        <v>1</v>
      </c>
      <c r="E115" s="15">
        <v>0.31</v>
      </c>
      <c r="F115" s="15">
        <f>Tabla8[[#This Row],[CANTIDAD]]*Tabla8[[#This Row],[PRECIO]]</f>
        <v>0.31</v>
      </c>
      <c r="G115" s="13" t="s">
        <v>453</v>
      </c>
      <c r="H115" s="13"/>
      <c r="I115" s="13" t="str">
        <f t="shared" si="6"/>
        <v>FEBRERO</v>
      </c>
      <c r="J115" s="13">
        <f t="shared" si="7"/>
        <v>2026</v>
      </c>
      <c r="K115" s="13" t="s">
        <v>30</v>
      </c>
      <c r="L115" s="13"/>
    </row>
    <row r="116" spans="1:12" x14ac:dyDescent="0.3">
      <c r="A116" s="12">
        <v>46059</v>
      </c>
      <c r="B116" s="68" t="s">
        <v>67</v>
      </c>
      <c r="C116" s="13" t="s">
        <v>66</v>
      </c>
      <c r="D116" s="14">
        <v>1</v>
      </c>
      <c r="E116" s="15">
        <v>27</v>
      </c>
      <c r="F116" s="15">
        <f>Tabla8[[#This Row],[CANTIDAD]]*Tabla8[[#This Row],[PRECIO]]</f>
        <v>27</v>
      </c>
      <c r="G116" s="13" t="s">
        <v>446</v>
      </c>
      <c r="H116" s="13"/>
      <c r="I116" s="13" t="str">
        <f t="shared" si="6"/>
        <v>FEBRERO</v>
      </c>
      <c r="J116" s="13">
        <f t="shared" si="7"/>
        <v>2026</v>
      </c>
      <c r="K116" s="13" t="s">
        <v>27</v>
      </c>
      <c r="L116" s="13"/>
    </row>
    <row r="117" spans="1:12" x14ac:dyDescent="0.3">
      <c r="A117" s="12">
        <v>46059</v>
      </c>
      <c r="B117" s="68" t="s">
        <v>69</v>
      </c>
      <c r="C117" s="13" t="s">
        <v>65</v>
      </c>
      <c r="D117" s="14">
        <v>1</v>
      </c>
      <c r="E117" s="15">
        <v>32.5</v>
      </c>
      <c r="F117" s="15">
        <f>Tabla8[[#This Row],[CANTIDAD]]*Tabla8[[#This Row],[PRECIO]]</f>
        <v>32.5</v>
      </c>
      <c r="G117" s="13" t="s">
        <v>301</v>
      </c>
      <c r="H117" s="13"/>
      <c r="I117" s="13" t="str">
        <f t="shared" si="6"/>
        <v>FEBRERO</v>
      </c>
      <c r="J117" s="13">
        <f t="shared" si="7"/>
        <v>2026</v>
      </c>
      <c r="K117" s="13" t="s">
        <v>27</v>
      </c>
      <c r="L117" s="13"/>
    </row>
    <row r="118" spans="1:12" x14ac:dyDescent="0.3">
      <c r="A118" s="12">
        <v>46059</v>
      </c>
      <c r="B118" s="68" t="s">
        <v>25</v>
      </c>
      <c r="C118" s="13" t="s">
        <v>459</v>
      </c>
      <c r="D118" s="14">
        <v>1</v>
      </c>
      <c r="E118" s="15">
        <v>40</v>
      </c>
      <c r="F118" s="15">
        <f>Tabla8[[#This Row],[CANTIDAD]]*Tabla8[[#This Row],[PRECIO]]</f>
        <v>40</v>
      </c>
      <c r="G118" s="13" t="s">
        <v>489</v>
      </c>
      <c r="H118" s="13"/>
      <c r="I118" s="13" t="str">
        <f t="shared" si="6"/>
        <v>FEBRERO</v>
      </c>
      <c r="J118" s="13">
        <f t="shared" si="7"/>
        <v>2026</v>
      </c>
      <c r="K118" s="13" t="s">
        <v>27</v>
      </c>
      <c r="L118" s="13" t="s">
        <v>488</v>
      </c>
    </row>
    <row r="119" spans="1:12" x14ac:dyDescent="0.3">
      <c r="A119" s="12">
        <v>46060</v>
      </c>
      <c r="B119" s="68" t="s">
        <v>22</v>
      </c>
      <c r="C119" s="13" t="s">
        <v>65</v>
      </c>
      <c r="D119" s="14">
        <v>1</v>
      </c>
      <c r="E119" s="15">
        <v>4</v>
      </c>
      <c r="F119" s="15">
        <f>Tabla8[[#This Row],[CANTIDAD]]*Tabla8[[#This Row],[PRECIO]]</f>
        <v>4</v>
      </c>
      <c r="G119" s="13" t="s">
        <v>474</v>
      </c>
      <c r="H119" s="13"/>
      <c r="I119" s="13" t="str">
        <f t="shared" si="6"/>
        <v>FEBRERO</v>
      </c>
      <c r="J119" s="13">
        <f t="shared" si="7"/>
        <v>2026</v>
      </c>
      <c r="K119" s="13" t="s">
        <v>18</v>
      </c>
      <c r="L119" s="13"/>
    </row>
    <row r="120" spans="1:12" x14ac:dyDescent="0.3">
      <c r="A120" s="12">
        <v>46061</v>
      </c>
      <c r="B120" s="68" t="s">
        <v>69</v>
      </c>
      <c r="C120" s="13" t="s">
        <v>65</v>
      </c>
      <c r="D120" s="14">
        <v>1</v>
      </c>
      <c r="E120" s="15">
        <v>30</v>
      </c>
      <c r="F120" s="15">
        <f>Tabla8[[#This Row],[CANTIDAD]]*Tabla8[[#This Row],[PRECIO]]</f>
        <v>30</v>
      </c>
      <c r="G120" s="13" t="s">
        <v>301</v>
      </c>
      <c r="H120" s="13"/>
      <c r="I120" s="13" t="str">
        <f t="shared" si="6"/>
        <v>FEBRERO</v>
      </c>
      <c r="J120" s="13">
        <f t="shared" si="7"/>
        <v>2026</v>
      </c>
      <c r="K120" s="13" t="s">
        <v>18</v>
      </c>
      <c r="L120" s="13"/>
    </row>
    <row r="121" spans="1:12" x14ac:dyDescent="0.3">
      <c r="A121" s="12">
        <v>46062</v>
      </c>
      <c r="B121" s="68" t="s">
        <v>22</v>
      </c>
      <c r="C121" s="13" t="s">
        <v>65</v>
      </c>
      <c r="D121" s="14">
        <v>1</v>
      </c>
      <c r="E121" s="15">
        <v>2.5</v>
      </c>
      <c r="F121" s="15">
        <f>Tabla8[[#This Row],[CANTIDAD]]*Tabla8[[#This Row],[PRECIO]]</f>
        <v>2.5</v>
      </c>
      <c r="G121" s="13" t="s">
        <v>454</v>
      </c>
      <c r="H121" s="13"/>
      <c r="I121" s="13" t="str">
        <f t="shared" si="6"/>
        <v>FEBRERO</v>
      </c>
      <c r="J121" s="13">
        <f t="shared" si="7"/>
        <v>2026</v>
      </c>
      <c r="K121" s="13" t="s">
        <v>27</v>
      </c>
      <c r="L121" s="13" t="s">
        <v>488</v>
      </c>
    </row>
    <row r="122" spans="1:12" x14ac:dyDescent="0.3">
      <c r="A122" s="12">
        <v>46063</v>
      </c>
      <c r="B122" s="68" t="s">
        <v>25</v>
      </c>
      <c r="C122" s="13" t="s">
        <v>66</v>
      </c>
      <c r="D122" s="14">
        <v>1</v>
      </c>
      <c r="E122" s="15">
        <v>50</v>
      </c>
      <c r="F122" s="15">
        <f>Tabla8[[#This Row],[CANTIDAD]]*Tabla8[[#This Row],[PRECIO]]</f>
        <v>50</v>
      </c>
      <c r="G122" s="13" t="s">
        <v>310</v>
      </c>
      <c r="H122" s="13"/>
      <c r="I122" s="13" t="str">
        <f t="shared" si="6"/>
        <v>FEBRERO</v>
      </c>
      <c r="J122" s="13">
        <f t="shared" si="7"/>
        <v>2026</v>
      </c>
      <c r="K122" s="13" t="s">
        <v>18</v>
      </c>
      <c r="L122" s="13"/>
    </row>
    <row r="123" spans="1:12" x14ac:dyDescent="0.3">
      <c r="A123" s="12">
        <v>46063</v>
      </c>
      <c r="B123" s="68" t="s">
        <v>67</v>
      </c>
      <c r="C123" s="13" t="s">
        <v>66</v>
      </c>
      <c r="D123" s="14">
        <v>1</v>
      </c>
      <c r="E123" s="15">
        <v>6.21</v>
      </c>
      <c r="F123" s="15">
        <f>Tabla8[[#This Row],[CANTIDAD]]*Tabla8[[#This Row],[PRECIO]]</f>
        <v>6.21</v>
      </c>
      <c r="G123" s="13" t="s">
        <v>485</v>
      </c>
      <c r="H123" s="13"/>
      <c r="I123" s="13" t="str">
        <f t="shared" si="6"/>
        <v>FEBRERO</v>
      </c>
      <c r="J123" s="13">
        <f t="shared" si="7"/>
        <v>2026</v>
      </c>
      <c r="K123" s="13" t="s">
        <v>27</v>
      </c>
      <c r="L123" s="13"/>
    </row>
    <row r="124" spans="1:12" x14ac:dyDescent="0.3">
      <c r="A124" s="12">
        <v>46065</v>
      </c>
      <c r="B124" s="68" t="s">
        <v>22</v>
      </c>
      <c r="C124" s="13" t="s">
        <v>65</v>
      </c>
      <c r="D124" s="14">
        <v>1</v>
      </c>
      <c r="E124" s="15">
        <v>5</v>
      </c>
      <c r="F124" s="15">
        <f>Tabla8[[#This Row],[CANTIDAD]]*Tabla8[[#This Row],[PRECIO]]</f>
        <v>5</v>
      </c>
      <c r="G124" s="13" t="s">
        <v>477</v>
      </c>
      <c r="H124" s="13"/>
      <c r="I124" s="13" t="str">
        <f t="shared" si="6"/>
        <v>FEBRERO</v>
      </c>
      <c r="J124" s="13">
        <f t="shared" si="7"/>
        <v>2026</v>
      </c>
      <c r="K124" s="13" t="s">
        <v>18</v>
      </c>
      <c r="L124" s="13"/>
    </row>
    <row r="125" spans="1:12" x14ac:dyDescent="0.3">
      <c r="A125" s="12">
        <v>46065</v>
      </c>
      <c r="B125" s="68" t="s">
        <v>68</v>
      </c>
      <c r="C125" s="13" t="s">
        <v>65</v>
      </c>
      <c r="D125" s="14">
        <v>1</v>
      </c>
      <c r="E125" s="15">
        <v>40</v>
      </c>
      <c r="F125" s="15">
        <f>Tabla8[[#This Row],[CANTIDAD]]*Tabla8[[#This Row],[PRECIO]]</f>
        <v>40</v>
      </c>
      <c r="G125" s="13" t="s">
        <v>361</v>
      </c>
      <c r="H125" s="13"/>
      <c r="I125" s="13" t="str">
        <f t="shared" si="6"/>
        <v>FEBRERO</v>
      </c>
      <c r="J125" s="13">
        <f t="shared" si="7"/>
        <v>2026</v>
      </c>
      <c r="K125" s="13" t="s">
        <v>18</v>
      </c>
      <c r="L125" s="13"/>
    </row>
    <row r="126" spans="1:12" x14ac:dyDescent="0.3">
      <c r="A126" s="12">
        <v>46065</v>
      </c>
      <c r="B126" s="68" t="s">
        <v>22</v>
      </c>
      <c r="C126" s="13" t="s">
        <v>65</v>
      </c>
      <c r="D126" s="14">
        <v>1</v>
      </c>
      <c r="E126" s="15">
        <v>1.2</v>
      </c>
      <c r="F126" s="15">
        <f>Tabla8[[#This Row],[CANTIDAD]]*Tabla8[[#This Row],[PRECIO]]</f>
        <v>1.2</v>
      </c>
      <c r="G126" s="13" t="s">
        <v>22</v>
      </c>
      <c r="H126" s="13"/>
      <c r="I126" s="13" t="str">
        <f t="shared" si="6"/>
        <v>FEBRERO</v>
      </c>
      <c r="J126" s="13">
        <f t="shared" si="7"/>
        <v>2026</v>
      </c>
      <c r="K126" s="13" t="s">
        <v>18</v>
      </c>
      <c r="L126" s="13"/>
    </row>
    <row r="127" spans="1:12" x14ac:dyDescent="0.3">
      <c r="A127" s="12">
        <v>46065</v>
      </c>
      <c r="B127" s="68" t="s">
        <v>69</v>
      </c>
      <c r="C127" s="13" t="s">
        <v>65</v>
      </c>
      <c r="D127" s="14">
        <v>1</v>
      </c>
      <c r="E127" s="15">
        <v>15</v>
      </c>
      <c r="F127" s="15">
        <f>Tabla8[[#This Row],[CANTIDAD]]*Tabla8[[#This Row],[PRECIO]]</f>
        <v>15</v>
      </c>
      <c r="G127" s="13" t="s">
        <v>301</v>
      </c>
      <c r="H127" s="13"/>
      <c r="I127" s="13" t="str">
        <f t="shared" si="6"/>
        <v>FEBRERO</v>
      </c>
      <c r="J127" s="13">
        <f t="shared" si="7"/>
        <v>2026</v>
      </c>
      <c r="K127" s="13" t="s">
        <v>27</v>
      </c>
      <c r="L127" s="13"/>
    </row>
    <row r="128" spans="1:12" x14ac:dyDescent="0.3">
      <c r="A128" s="12">
        <v>46066</v>
      </c>
      <c r="B128" s="68" t="s">
        <v>67</v>
      </c>
      <c r="C128" s="13" t="s">
        <v>66</v>
      </c>
      <c r="D128" s="14">
        <v>1</v>
      </c>
      <c r="E128" s="15">
        <v>18</v>
      </c>
      <c r="F128" s="15">
        <f>Tabla8[[#This Row],[CANTIDAD]]*Tabla8[[#This Row],[PRECIO]]</f>
        <v>18</v>
      </c>
      <c r="G128" s="13" t="s">
        <v>478</v>
      </c>
      <c r="H128" s="13"/>
      <c r="I128" s="13" t="str">
        <f t="shared" si="6"/>
        <v>FEBRERO</v>
      </c>
      <c r="J128" s="13">
        <f t="shared" si="7"/>
        <v>2026</v>
      </c>
      <c r="K128" s="13" t="s">
        <v>18</v>
      </c>
      <c r="L128" s="13"/>
    </row>
    <row r="129" spans="1:12" x14ac:dyDescent="0.3">
      <c r="A129" s="12">
        <v>46066</v>
      </c>
      <c r="B129" s="68" t="s">
        <v>68</v>
      </c>
      <c r="C129" s="13" t="s">
        <v>65</v>
      </c>
      <c r="D129" s="14">
        <v>1</v>
      </c>
      <c r="E129" s="15">
        <v>4</v>
      </c>
      <c r="F129" s="15">
        <f>Tabla8[[#This Row],[CANTIDAD]]*Tabla8[[#This Row],[PRECIO]]</f>
        <v>4</v>
      </c>
      <c r="G129" s="13" t="s">
        <v>361</v>
      </c>
      <c r="H129" s="13"/>
      <c r="I129" s="13" t="str">
        <f t="shared" si="6"/>
        <v>FEBRERO</v>
      </c>
      <c r="J129" s="13">
        <f t="shared" si="7"/>
        <v>2026</v>
      </c>
      <c r="K129" s="13" t="s">
        <v>18</v>
      </c>
      <c r="L129" s="13"/>
    </row>
    <row r="130" spans="1:12" x14ac:dyDescent="0.3">
      <c r="A130" s="12">
        <v>46066</v>
      </c>
      <c r="B130" s="68" t="s">
        <v>69</v>
      </c>
      <c r="C130" s="13" t="s">
        <v>65</v>
      </c>
      <c r="D130" s="14">
        <v>1</v>
      </c>
      <c r="E130" s="15">
        <v>18</v>
      </c>
      <c r="F130" s="15">
        <f>Tabla8[[#This Row],[CANTIDAD]]*Tabla8[[#This Row],[PRECIO]]</f>
        <v>18</v>
      </c>
      <c r="G130" s="13" t="s">
        <v>301</v>
      </c>
      <c r="H130" s="13"/>
      <c r="I130" s="13" t="str">
        <f t="shared" si="6"/>
        <v>FEBRERO</v>
      </c>
      <c r="J130" s="13">
        <f t="shared" si="7"/>
        <v>2026</v>
      </c>
      <c r="K130" s="13" t="s">
        <v>27</v>
      </c>
      <c r="L130" s="13"/>
    </row>
    <row r="131" spans="1:12" x14ac:dyDescent="0.3">
      <c r="A131" s="12">
        <v>46066</v>
      </c>
      <c r="B131" s="68" t="s">
        <v>22</v>
      </c>
      <c r="C131" s="13" t="s">
        <v>65</v>
      </c>
      <c r="D131" s="14">
        <v>1</v>
      </c>
      <c r="E131" s="15">
        <v>10</v>
      </c>
      <c r="F131" s="15">
        <f>Tabla8[[#This Row],[CANTIDAD]]*Tabla8[[#This Row],[PRECIO]]</f>
        <v>10</v>
      </c>
      <c r="G131" s="13" t="s">
        <v>323</v>
      </c>
      <c r="H131" s="13"/>
      <c r="I131" s="13" t="str">
        <f t="shared" si="6"/>
        <v>FEBRERO</v>
      </c>
      <c r="J131" s="13">
        <f t="shared" si="7"/>
        <v>2026</v>
      </c>
      <c r="K131" s="13" t="s">
        <v>18</v>
      </c>
      <c r="L131" s="13"/>
    </row>
    <row r="132" spans="1:12" x14ac:dyDescent="0.3">
      <c r="A132" s="12">
        <v>46066</v>
      </c>
      <c r="B132" s="68" t="s">
        <v>68</v>
      </c>
      <c r="C132" s="13" t="s">
        <v>65</v>
      </c>
      <c r="D132" s="14">
        <v>1</v>
      </c>
      <c r="E132" s="15">
        <v>1</v>
      </c>
      <c r="F132" s="15">
        <f>Tabla8[[#This Row],[CANTIDAD]]*Tabla8[[#This Row],[PRECIO]]</f>
        <v>1</v>
      </c>
      <c r="G132" s="13" t="s">
        <v>68</v>
      </c>
      <c r="H132" s="13"/>
      <c r="I132" s="13" t="str">
        <f t="shared" ref="I132:I141" si="8">UPPER(TEXT(A132,"MMMM"))</f>
        <v>FEBRERO</v>
      </c>
      <c r="J132" s="13">
        <f t="shared" ref="J132:J141" si="9">+YEAR(A132)</f>
        <v>2026</v>
      </c>
      <c r="K132" s="13" t="s">
        <v>18</v>
      </c>
      <c r="L132" s="13"/>
    </row>
    <row r="133" spans="1:12" x14ac:dyDescent="0.3">
      <c r="A133" s="12">
        <v>46066</v>
      </c>
      <c r="B133" s="68" t="s">
        <v>22</v>
      </c>
      <c r="C133" s="13" t="s">
        <v>65</v>
      </c>
      <c r="D133" s="14">
        <v>1</v>
      </c>
      <c r="E133" s="15">
        <v>20</v>
      </c>
      <c r="F133" s="15">
        <f>Tabla8[[#This Row],[CANTIDAD]]*Tabla8[[#This Row],[PRECIO]]</f>
        <v>20</v>
      </c>
      <c r="G133" s="13" t="s">
        <v>323</v>
      </c>
      <c r="H133" s="13"/>
      <c r="I133" s="13" t="str">
        <f t="shared" si="8"/>
        <v>FEBRERO</v>
      </c>
      <c r="J133" s="13">
        <f t="shared" si="9"/>
        <v>2026</v>
      </c>
      <c r="K133" s="13" t="s">
        <v>18</v>
      </c>
      <c r="L133" s="13"/>
    </row>
    <row r="134" spans="1:12" x14ac:dyDescent="0.3">
      <c r="A134" s="12">
        <v>46066</v>
      </c>
      <c r="B134" s="68" t="s">
        <v>25</v>
      </c>
      <c r="C134" s="13" t="s">
        <v>66</v>
      </c>
      <c r="D134" s="14">
        <v>1</v>
      </c>
      <c r="E134" s="15">
        <v>200</v>
      </c>
      <c r="F134" s="15">
        <f>Tabla8[[#This Row],[CANTIDAD]]*Tabla8[[#This Row],[PRECIO]]</f>
        <v>200</v>
      </c>
      <c r="G134" s="13" t="s">
        <v>307</v>
      </c>
      <c r="H134" s="13"/>
      <c r="I134" s="13" t="str">
        <f t="shared" si="8"/>
        <v>FEBRERO</v>
      </c>
      <c r="J134" s="13">
        <f t="shared" si="9"/>
        <v>2026</v>
      </c>
      <c r="K134" s="13" t="s">
        <v>18</v>
      </c>
      <c r="L134" s="13"/>
    </row>
    <row r="135" spans="1:12" x14ac:dyDescent="0.3">
      <c r="A135" s="12">
        <v>46067</v>
      </c>
      <c r="B135" s="68" t="s">
        <v>19</v>
      </c>
      <c r="C135" s="13" t="s">
        <v>66</v>
      </c>
      <c r="D135" s="14">
        <v>1</v>
      </c>
      <c r="E135" s="15">
        <v>5</v>
      </c>
      <c r="F135" s="15">
        <f>Tabla8[[#This Row],[CANTIDAD]]*Tabla8[[#This Row],[PRECIO]]</f>
        <v>5</v>
      </c>
      <c r="G135" s="13" t="s">
        <v>19</v>
      </c>
      <c r="H135" s="13"/>
      <c r="I135" s="13" t="str">
        <f t="shared" si="8"/>
        <v>FEBRERO</v>
      </c>
      <c r="J135" s="13">
        <f t="shared" si="9"/>
        <v>2026</v>
      </c>
      <c r="K135" s="13" t="s">
        <v>18</v>
      </c>
      <c r="L135" s="13"/>
    </row>
    <row r="136" spans="1:12" x14ac:dyDescent="0.3">
      <c r="A136" s="12">
        <v>46067</v>
      </c>
      <c r="B136" s="68" t="s">
        <v>19</v>
      </c>
      <c r="C136" s="13" t="s">
        <v>66</v>
      </c>
      <c r="D136" s="14">
        <v>1</v>
      </c>
      <c r="E136" s="15">
        <v>2</v>
      </c>
      <c r="F136" s="15">
        <f>Tabla8[[#This Row],[CANTIDAD]]*Tabla8[[#This Row],[PRECIO]]</f>
        <v>2</v>
      </c>
      <c r="G136" s="13" t="s">
        <v>474</v>
      </c>
      <c r="H136" s="13"/>
      <c r="I136" s="13" t="str">
        <f t="shared" si="8"/>
        <v>FEBRERO</v>
      </c>
      <c r="J136" s="13">
        <f t="shared" si="9"/>
        <v>2026</v>
      </c>
      <c r="K136" s="13" t="s">
        <v>18</v>
      </c>
      <c r="L136" s="13"/>
    </row>
    <row r="137" spans="1:12" x14ac:dyDescent="0.3">
      <c r="A137" s="12">
        <v>46068</v>
      </c>
      <c r="B137" s="68" t="s">
        <v>69</v>
      </c>
      <c r="C137" s="13" t="s">
        <v>65</v>
      </c>
      <c r="D137" s="14">
        <v>1</v>
      </c>
      <c r="E137" s="15">
        <v>15</v>
      </c>
      <c r="F137" s="15">
        <f>Tabla8[[#This Row],[CANTIDAD]]*Tabla8[[#This Row],[PRECIO]]</f>
        <v>15</v>
      </c>
      <c r="G137" s="13" t="s">
        <v>301</v>
      </c>
      <c r="H137" s="13"/>
      <c r="I137" s="13" t="str">
        <f t="shared" si="8"/>
        <v>FEBRERO</v>
      </c>
      <c r="J137" s="13">
        <f t="shared" si="9"/>
        <v>2026</v>
      </c>
      <c r="K137" s="13" t="s">
        <v>27</v>
      </c>
      <c r="L137" s="13" t="s">
        <v>488</v>
      </c>
    </row>
    <row r="138" spans="1:12" x14ac:dyDescent="0.3">
      <c r="A138" s="12">
        <v>46071</v>
      </c>
      <c r="B138" s="68" t="s">
        <v>69</v>
      </c>
      <c r="C138" s="13" t="s">
        <v>65</v>
      </c>
      <c r="D138" s="14">
        <v>1</v>
      </c>
      <c r="E138" s="15">
        <v>20</v>
      </c>
      <c r="F138" s="15">
        <f>Tabla8[[#This Row],[CANTIDAD]]*Tabla8[[#This Row],[PRECIO]]</f>
        <v>20</v>
      </c>
      <c r="G138" s="13" t="s">
        <v>301</v>
      </c>
      <c r="H138" s="13"/>
      <c r="I138" s="13" t="str">
        <f t="shared" si="8"/>
        <v>FEBRERO</v>
      </c>
      <c r="J138" s="13">
        <f t="shared" si="9"/>
        <v>2026</v>
      </c>
      <c r="K138" s="13" t="s">
        <v>27</v>
      </c>
      <c r="L138" s="13" t="s">
        <v>488</v>
      </c>
    </row>
    <row r="139" spans="1:12" x14ac:dyDescent="0.3">
      <c r="A139" s="12">
        <v>46071</v>
      </c>
      <c r="B139" s="68" t="s">
        <v>25</v>
      </c>
      <c r="C139" s="13" t="s">
        <v>65</v>
      </c>
      <c r="D139" s="14">
        <v>1</v>
      </c>
      <c r="E139" s="15">
        <v>100</v>
      </c>
      <c r="F139" s="15">
        <f>Tabla8[[#This Row],[CANTIDAD]]*Tabla8[[#This Row],[PRECIO]]</f>
        <v>100</v>
      </c>
      <c r="G139" s="13" t="s">
        <v>499</v>
      </c>
      <c r="H139" s="13"/>
      <c r="I139" s="13" t="str">
        <f t="shared" si="8"/>
        <v>FEBRERO</v>
      </c>
      <c r="J139" s="13">
        <f t="shared" si="9"/>
        <v>2026</v>
      </c>
      <c r="K139" s="13" t="s">
        <v>18</v>
      </c>
      <c r="L139" s="13"/>
    </row>
    <row r="140" spans="1:12" x14ac:dyDescent="0.3">
      <c r="A140" s="12">
        <v>46072</v>
      </c>
      <c r="B140" s="68" t="s">
        <v>22</v>
      </c>
      <c r="C140" s="13" t="s">
        <v>65</v>
      </c>
      <c r="D140" s="14">
        <v>1</v>
      </c>
      <c r="E140" s="15">
        <v>20</v>
      </c>
      <c r="F140" s="15">
        <f>Tabla8[[#This Row],[CANTIDAD]]*Tabla8[[#This Row],[PRECIO]]</f>
        <v>20</v>
      </c>
      <c r="G140" s="13" t="s">
        <v>454</v>
      </c>
      <c r="H140" s="13"/>
      <c r="I140" s="13" t="str">
        <f t="shared" si="8"/>
        <v>FEBRERO</v>
      </c>
      <c r="J140" s="13">
        <f t="shared" si="9"/>
        <v>2026</v>
      </c>
      <c r="K140" s="13" t="s">
        <v>18</v>
      </c>
      <c r="L140" s="13"/>
    </row>
    <row r="141" spans="1:12" x14ac:dyDescent="0.3">
      <c r="A141" s="12">
        <v>46072</v>
      </c>
      <c r="B141" s="68" t="s">
        <v>22</v>
      </c>
      <c r="C141" s="13" t="s">
        <v>65</v>
      </c>
      <c r="D141" s="14">
        <v>1</v>
      </c>
      <c r="E141" s="15">
        <v>8.3000000000000007</v>
      </c>
      <c r="F141" s="15">
        <f>Tabla8[[#This Row],[CANTIDAD]]*Tabla8[[#This Row],[PRECIO]]</f>
        <v>8.3000000000000007</v>
      </c>
      <c r="G141" s="13" t="s">
        <v>454</v>
      </c>
      <c r="H141" s="13"/>
      <c r="I141" s="13" t="str">
        <f t="shared" si="8"/>
        <v>FEBRERO</v>
      </c>
      <c r="J141" s="13">
        <f t="shared" si="9"/>
        <v>2026</v>
      </c>
      <c r="K141" s="13" t="s">
        <v>18</v>
      </c>
      <c r="L141" s="13"/>
    </row>
    <row r="142" spans="1:12" x14ac:dyDescent="0.3">
      <c r="A142" s="12">
        <v>46073</v>
      </c>
      <c r="B142" s="68" t="s">
        <v>22</v>
      </c>
      <c r="C142" s="13" t="s">
        <v>65</v>
      </c>
      <c r="D142" s="14">
        <v>1</v>
      </c>
      <c r="E142" s="15">
        <v>6.9</v>
      </c>
      <c r="F142" s="15">
        <f>Tabla8[[#This Row],[CANTIDAD]]*Tabla8[[#This Row],[PRECIO]]</f>
        <v>6.9</v>
      </c>
      <c r="G142" s="13" t="s">
        <v>454</v>
      </c>
      <c r="H142" s="13"/>
      <c r="I142" s="13" t="str">
        <f>UPPER(TEXT(A142,"MMMM"))</f>
        <v>FEBRERO</v>
      </c>
      <c r="J142" s="13">
        <f>+YEAR(A142)</f>
        <v>2026</v>
      </c>
      <c r="K142" s="13" t="s">
        <v>18</v>
      </c>
      <c r="L142" s="13"/>
    </row>
    <row r="143" spans="1:12" x14ac:dyDescent="0.3">
      <c r="A143" s="12">
        <v>46073</v>
      </c>
      <c r="B143" s="68" t="s">
        <v>19</v>
      </c>
      <c r="C143" s="13" t="s">
        <v>66</v>
      </c>
      <c r="D143" s="14">
        <v>1</v>
      </c>
      <c r="E143" s="15">
        <v>5</v>
      </c>
      <c r="F143" s="15">
        <f>Tabla8[[#This Row],[CANTIDAD]]*Tabla8[[#This Row],[PRECIO]]</f>
        <v>5</v>
      </c>
      <c r="G143" s="13" t="s">
        <v>19</v>
      </c>
      <c r="H143" s="13"/>
      <c r="I143" s="13" t="str">
        <f>UPPER(TEXT(A143,"MMMM"))</f>
        <v>FEBRERO</v>
      </c>
      <c r="J143" s="13">
        <f>+YEAR(A143)</f>
        <v>2026</v>
      </c>
      <c r="K143" s="13" t="s">
        <v>18</v>
      </c>
      <c r="L143" s="13"/>
    </row>
    <row r="144" spans="1:12" x14ac:dyDescent="0.3">
      <c r="A144" s="12">
        <v>46076</v>
      </c>
      <c r="B144" s="68" t="s">
        <v>22</v>
      </c>
      <c r="C144" s="13" t="s">
        <v>65</v>
      </c>
      <c r="D144" s="14">
        <v>1</v>
      </c>
      <c r="E144" s="15">
        <v>4</v>
      </c>
      <c r="F144" s="15">
        <f>Tabla8[[#This Row],[CANTIDAD]]*Tabla8[[#This Row],[PRECIO]]</f>
        <v>4</v>
      </c>
      <c r="G144" s="13" t="s">
        <v>454</v>
      </c>
      <c r="H144" s="13"/>
      <c r="I144" s="13" t="str">
        <f>UPPER(TEXT(A144,"MMMM"))</f>
        <v>FEBRERO</v>
      </c>
      <c r="J144" s="13">
        <f>+YEAR(A144)</f>
        <v>2026</v>
      </c>
      <c r="K144" s="13" t="s">
        <v>18</v>
      </c>
      <c r="L144" s="13"/>
    </row>
    <row r="145" spans="1:12" x14ac:dyDescent="0.3">
      <c r="A145" s="12">
        <v>46077</v>
      </c>
      <c r="B145" s="68" t="s">
        <v>31</v>
      </c>
      <c r="C145" s="13" t="s">
        <v>66</v>
      </c>
      <c r="D145" s="14">
        <v>1</v>
      </c>
      <c r="E145" s="15">
        <v>7.15</v>
      </c>
      <c r="F145" s="15">
        <f>Tabla8[[#This Row],[CANTIDAD]]*Tabla8[[#This Row],[PRECIO]]</f>
        <v>7.15</v>
      </c>
      <c r="G145" s="13" t="s">
        <v>532</v>
      </c>
      <c r="H145" s="13"/>
      <c r="I145" s="13" t="str">
        <f t="shared" ref="I145:I166" si="10">UPPER(TEXT(A145,"MMMM"))</f>
        <v>FEBRERO</v>
      </c>
      <c r="J145" s="13">
        <v>2026</v>
      </c>
      <c r="K145" s="13" t="s">
        <v>18</v>
      </c>
      <c r="L145" s="13"/>
    </row>
    <row r="146" spans="1:12" x14ac:dyDescent="0.3">
      <c r="A146" s="12">
        <v>46079</v>
      </c>
      <c r="B146" s="68" t="s">
        <v>25</v>
      </c>
      <c r="C146" s="13" t="s">
        <v>66</v>
      </c>
      <c r="D146" s="14">
        <v>1</v>
      </c>
      <c r="E146" s="15">
        <v>10</v>
      </c>
      <c r="F146" s="15">
        <f>Tabla8[[#This Row],[CANTIDAD]]*Tabla8[[#This Row],[PRECIO]]</f>
        <v>10</v>
      </c>
      <c r="G146" s="13" t="s">
        <v>533</v>
      </c>
      <c r="H146" s="13"/>
      <c r="I146" s="13" t="str">
        <f t="shared" si="10"/>
        <v>FEBRERO</v>
      </c>
      <c r="J146" s="13">
        <f t="shared" ref="J146:J166" si="11">+YEAR(A146)</f>
        <v>2026</v>
      </c>
      <c r="K146" s="13" t="s">
        <v>18</v>
      </c>
      <c r="L146" s="13"/>
    </row>
    <row r="147" spans="1:12" x14ac:dyDescent="0.3">
      <c r="A147" s="12">
        <v>46079</v>
      </c>
      <c r="B147" s="68" t="s">
        <v>19</v>
      </c>
      <c r="C147" s="13" t="s">
        <v>66</v>
      </c>
      <c r="D147" s="14">
        <v>1</v>
      </c>
      <c r="E147" s="15">
        <v>6</v>
      </c>
      <c r="F147" s="15">
        <f>Tabla8[[#This Row],[CANTIDAD]]*Tabla8[[#This Row],[PRECIO]]</f>
        <v>6</v>
      </c>
      <c r="G147" s="13" t="s">
        <v>19</v>
      </c>
      <c r="H147" s="13"/>
      <c r="I147" s="13" t="str">
        <f t="shared" si="10"/>
        <v>FEBRERO</v>
      </c>
      <c r="J147" s="13">
        <f t="shared" si="11"/>
        <v>2026</v>
      </c>
      <c r="K147" s="13" t="s">
        <v>18</v>
      </c>
      <c r="L147" s="13"/>
    </row>
    <row r="148" spans="1:12" x14ac:dyDescent="0.3">
      <c r="A148" s="12">
        <v>46079</v>
      </c>
      <c r="B148" s="68" t="s">
        <v>22</v>
      </c>
      <c r="C148" s="13" t="s">
        <v>65</v>
      </c>
      <c r="D148" s="14">
        <v>1</v>
      </c>
      <c r="E148" s="15">
        <v>1</v>
      </c>
      <c r="F148" s="15">
        <f>Tabla8[[#This Row],[CANTIDAD]]*Tabla8[[#This Row],[PRECIO]]</f>
        <v>1</v>
      </c>
      <c r="G148" s="13" t="s">
        <v>534</v>
      </c>
      <c r="H148" s="13"/>
      <c r="I148" s="13" t="str">
        <f t="shared" si="10"/>
        <v>FEBRERO</v>
      </c>
      <c r="J148" s="13">
        <f t="shared" si="11"/>
        <v>2026</v>
      </c>
      <c r="K148" s="13" t="s">
        <v>18</v>
      </c>
      <c r="L148" s="13"/>
    </row>
    <row r="149" spans="1:12" x14ac:dyDescent="0.3">
      <c r="A149" s="12">
        <v>46080</v>
      </c>
      <c r="B149" s="68" t="s">
        <v>67</v>
      </c>
      <c r="C149" s="13" t="s">
        <v>66</v>
      </c>
      <c r="D149" s="14">
        <v>1</v>
      </c>
      <c r="E149" s="15">
        <v>5</v>
      </c>
      <c r="F149" s="15">
        <f>Tabla8[[#This Row],[CANTIDAD]]*Tabla8[[#This Row],[PRECIO]]</f>
        <v>5</v>
      </c>
      <c r="G149" s="13" t="s">
        <v>320</v>
      </c>
      <c r="H149" s="13"/>
      <c r="I149" s="13" t="str">
        <f t="shared" si="10"/>
        <v>FEBRERO</v>
      </c>
      <c r="J149" s="13">
        <f t="shared" si="11"/>
        <v>2026</v>
      </c>
      <c r="K149" s="13" t="s">
        <v>18</v>
      </c>
      <c r="L149" s="13"/>
    </row>
    <row r="150" spans="1:12" x14ac:dyDescent="0.3">
      <c r="A150" s="12">
        <v>46080</v>
      </c>
      <c r="B150" s="68" t="s">
        <v>67</v>
      </c>
      <c r="C150" s="13" t="s">
        <v>65</v>
      </c>
      <c r="D150" s="14">
        <v>1</v>
      </c>
      <c r="E150" s="15">
        <v>650</v>
      </c>
      <c r="F150" s="15">
        <f>Tabla8[[#This Row],[CANTIDAD]]*Tabla8[[#This Row],[PRECIO]]</f>
        <v>650</v>
      </c>
      <c r="G150" s="13" t="s">
        <v>535</v>
      </c>
      <c r="H150" s="13"/>
      <c r="I150" s="13" t="str">
        <f t="shared" si="10"/>
        <v>FEBRERO</v>
      </c>
      <c r="J150" s="13">
        <f t="shared" si="11"/>
        <v>2026</v>
      </c>
      <c r="K150" s="13" t="s">
        <v>18</v>
      </c>
      <c r="L150" s="13"/>
    </row>
    <row r="151" spans="1:12" x14ac:dyDescent="0.3">
      <c r="A151" s="12">
        <v>46080</v>
      </c>
      <c r="B151" s="68" t="s">
        <v>67</v>
      </c>
      <c r="C151" s="13" t="s">
        <v>65</v>
      </c>
      <c r="D151" s="14">
        <v>1</v>
      </c>
      <c r="E151" s="15">
        <v>24.36</v>
      </c>
      <c r="F151" s="15">
        <f>Tabla8[[#This Row],[CANTIDAD]]*Tabla8[[#This Row],[PRECIO]]</f>
        <v>24.36</v>
      </c>
      <c r="G151" s="13" t="s">
        <v>548</v>
      </c>
      <c r="H151" s="13"/>
      <c r="I151" s="13" t="str">
        <f t="shared" si="10"/>
        <v>FEBRERO</v>
      </c>
      <c r="J151" s="13">
        <f t="shared" si="11"/>
        <v>2026</v>
      </c>
      <c r="K151" s="13" t="s">
        <v>18</v>
      </c>
      <c r="L151" s="13"/>
    </row>
    <row r="152" spans="1:12" x14ac:dyDescent="0.3">
      <c r="A152" s="12">
        <v>46081</v>
      </c>
      <c r="B152" s="68" t="s">
        <v>67</v>
      </c>
      <c r="C152" s="13" t="s">
        <v>65</v>
      </c>
      <c r="D152" s="14">
        <v>1</v>
      </c>
      <c r="E152" s="15">
        <v>20.3</v>
      </c>
      <c r="F152" s="15">
        <f>Tabla8[[#This Row],[CANTIDAD]]*Tabla8[[#This Row],[PRECIO]]</f>
        <v>20.3</v>
      </c>
      <c r="G152" s="13" t="s">
        <v>549</v>
      </c>
      <c r="H152" s="13"/>
      <c r="I152" s="13" t="str">
        <f t="shared" si="10"/>
        <v>FEBRERO</v>
      </c>
      <c r="J152" s="13">
        <f t="shared" si="11"/>
        <v>2026</v>
      </c>
      <c r="K152" s="13" t="s">
        <v>18</v>
      </c>
      <c r="L152" s="13"/>
    </row>
    <row r="153" spans="1:12" x14ac:dyDescent="0.3">
      <c r="A153" s="12">
        <v>46083</v>
      </c>
      <c r="B153" s="68" t="s">
        <v>22</v>
      </c>
      <c r="C153" s="13" t="s">
        <v>65</v>
      </c>
      <c r="D153" s="14">
        <v>1</v>
      </c>
      <c r="E153" s="15">
        <v>10</v>
      </c>
      <c r="F153" s="15">
        <f>Tabla8[[#This Row],[CANTIDAD]]*Tabla8[[#This Row],[PRECIO]]</f>
        <v>10</v>
      </c>
      <c r="G153" s="13" t="s">
        <v>550</v>
      </c>
      <c r="H153" s="13"/>
      <c r="I153" s="13" t="str">
        <f t="shared" si="10"/>
        <v>MARZO</v>
      </c>
      <c r="J153" s="13">
        <f t="shared" si="11"/>
        <v>2026</v>
      </c>
      <c r="K153" s="13" t="s">
        <v>18</v>
      </c>
      <c r="L153" s="13"/>
    </row>
    <row r="154" spans="1:12" x14ac:dyDescent="0.3">
      <c r="A154" s="12">
        <v>46083</v>
      </c>
      <c r="B154" s="68" t="s">
        <v>69</v>
      </c>
      <c r="C154" s="13" t="s">
        <v>65</v>
      </c>
      <c r="D154" s="14">
        <v>1</v>
      </c>
      <c r="E154" s="15">
        <v>60</v>
      </c>
      <c r="F154" s="15">
        <f>Tabla8[[#This Row],[CANTIDAD]]*Tabla8[[#This Row],[PRECIO]]</f>
        <v>60</v>
      </c>
      <c r="G154" s="13" t="s">
        <v>301</v>
      </c>
      <c r="H154" s="13"/>
      <c r="I154" s="13" t="str">
        <f t="shared" si="10"/>
        <v>MARZO</v>
      </c>
      <c r="J154" s="13">
        <f t="shared" si="11"/>
        <v>2026</v>
      </c>
      <c r="K154" s="13" t="s">
        <v>18</v>
      </c>
      <c r="L154" s="13"/>
    </row>
    <row r="155" spans="1:12" x14ac:dyDescent="0.3">
      <c r="A155" s="12" t="s">
        <v>551</v>
      </c>
      <c r="B155" s="68" t="s">
        <v>67</v>
      </c>
      <c r="C155" s="13" t="s">
        <v>66</v>
      </c>
      <c r="D155" s="14">
        <v>1</v>
      </c>
      <c r="E155" s="15">
        <v>2.5</v>
      </c>
      <c r="F155" s="15">
        <f>Tabla8[[#This Row],[CANTIDAD]]*Tabla8[[#This Row],[PRECIO]]</f>
        <v>2.5</v>
      </c>
      <c r="G155" s="13" t="s">
        <v>311</v>
      </c>
      <c r="H155" s="13"/>
      <c r="I155" s="13" t="s">
        <v>42</v>
      </c>
      <c r="J155" s="13">
        <v>2026</v>
      </c>
      <c r="K155" s="13" t="s">
        <v>18</v>
      </c>
      <c r="L155" s="13"/>
    </row>
    <row r="156" spans="1:12" x14ac:dyDescent="0.3">
      <c r="A156" s="12">
        <v>46085</v>
      </c>
      <c r="B156" s="68" t="s">
        <v>68</v>
      </c>
      <c r="C156" s="13" t="s">
        <v>65</v>
      </c>
      <c r="D156" s="14">
        <v>1</v>
      </c>
      <c r="E156" s="15">
        <v>200</v>
      </c>
      <c r="F156" s="15">
        <f>Tabla8[[#This Row],[CANTIDAD]]*Tabla8[[#This Row],[PRECIO]]</f>
        <v>200</v>
      </c>
      <c r="G156" s="13" t="s">
        <v>552</v>
      </c>
      <c r="H156" s="13"/>
      <c r="I156" s="13" t="str">
        <f t="shared" si="10"/>
        <v>MARZO</v>
      </c>
      <c r="J156" s="13">
        <f t="shared" si="11"/>
        <v>2026</v>
      </c>
      <c r="K156" s="13" t="s">
        <v>18</v>
      </c>
      <c r="L156" s="13"/>
    </row>
    <row r="157" spans="1:12" x14ac:dyDescent="0.3">
      <c r="A157" s="12">
        <v>46085</v>
      </c>
      <c r="B157" s="68" t="s">
        <v>22</v>
      </c>
      <c r="C157" s="13" t="s">
        <v>65</v>
      </c>
      <c r="D157" s="14">
        <v>1</v>
      </c>
      <c r="E157" s="15">
        <v>4</v>
      </c>
      <c r="F157" s="15">
        <f>Tabla8[[#This Row],[CANTIDAD]]*Tabla8[[#This Row],[PRECIO]]</f>
        <v>4</v>
      </c>
      <c r="G157" s="13" t="s">
        <v>553</v>
      </c>
      <c r="H157" s="13"/>
      <c r="I157" s="13" t="str">
        <f t="shared" si="10"/>
        <v>MARZO</v>
      </c>
      <c r="J157" s="13">
        <f t="shared" si="11"/>
        <v>2026</v>
      </c>
      <c r="K157" s="13" t="s">
        <v>18</v>
      </c>
      <c r="L157" s="13"/>
    </row>
    <row r="158" spans="1:12" x14ac:dyDescent="0.3">
      <c r="A158" s="12">
        <v>46085</v>
      </c>
      <c r="B158" s="68" t="s">
        <v>67</v>
      </c>
      <c r="C158" s="13" t="s">
        <v>65</v>
      </c>
      <c r="D158" s="14">
        <v>1</v>
      </c>
      <c r="E158" s="15">
        <v>20</v>
      </c>
      <c r="F158" s="15">
        <f>Tabla8[[#This Row],[CANTIDAD]]*Tabla8[[#This Row],[PRECIO]]</f>
        <v>20</v>
      </c>
      <c r="G158" s="13" t="s">
        <v>554</v>
      </c>
      <c r="H158" s="13"/>
      <c r="I158" s="13" t="str">
        <f t="shared" si="10"/>
        <v>MARZO</v>
      </c>
      <c r="J158" s="13">
        <f t="shared" si="11"/>
        <v>2026</v>
      </c>
      <c r="K158" s="13" t="s">
        <v>18</v>
      </c>
      <c r="L158" s="13"/>
    </row>
    <row r="159" spans="1:12" x14ac:dyDescent="0.3">
      <c r="A159" s="12">
        <v>46091</v>
      </c>
      <c r="B159" s="68"/>
      <c r="C159" s="13"/>
      <c r="D159" s="14"/>
      <c r="E159" s="15"/>
      <c r="F159" s="15">
        <f>Tabla8[[#This Row],[CANTIDAD]]*Tabla8[[#This Row],[PRECIO]]</f>
        <v>0</v>
      </c>
      <c r="G159" s="13"/>
      <c r="H159" s="13"/>
      <c r="I159" s="13" t="str">
        <f t="shared" si="10"/>
        <v>MARZO</v>
      </c>
      <c r="J159" s="13">
        <f t="shared" si="11"/>
        <v>2026</v>
      </c>
      <c r="K159" s="13"/>
      <c r="L159" s="13"/>
    </row>
    <row r="160" spans="1:12" x14ac:dyDescent="0.3">
      <c r="A160" s="12">
        <v>46092</v>
      </c>
      <c r="B160" s="68"/>
      <c r="C160" s="13"/>
      <c r="D160" s="14"/>
      <c r="E160" s="15"/>
      <c r="F160" s="15">
        <f>Tabla8[[#This Row],[CANTIDAD]]*Tabla8[[#This Row],[PRECIO]]</f>
        <v>0</v>
      </c>
      <c r="G160" s="13"/>
      <c r="H160" s="13"/>
      <c r="I160" s="13" t="str">
        <f t="shared" si="10"/>
        <v>MARZO</v>
      </c>
      <c r="J160" s="13">
        <f t="shared" si="11"/>
        <v>2026</v>
      </c>
      <c r="K160" s="13"/>
      <c r="L160" s="13"/>
    </row>
    <row r="161" spans="1:12" x14ac:dyDescent="0.3">
      <c r="A161" s="12">
        <v>46093</v>
      </c>
      <c r="B161" s="68"/>
      <c r="C161" s="13"/>
      <c r="D161" s="14"/>
      <c r="E161" s="15"/>
      <c r="F161" s="15">
        <f>Tabla8[[#This Row],[CANTIDAD]]*Tabla8[[#This Row],[PRECIO]]</f>
        <v>0</v>
      </c>
      <c r="G161" s="13"/>
      <c r="H161" s="13"/>
      <c r="I161" s="13" t="str">
        <f t="shared" si="10"/>
        <v>MARZO</v>
      </c>
      <c r="J161" s="13">
        <f t="shared" si="11"/>
        <v>2026</v>
      </c>
      <c r="K161" s="13"/>
      <c r="L161" s="13"/>
    </row>
    <row r="162" spans="1:12" x14ac:dyDescent="0.3">
      <c r="A162" s="12">
        <v>46094</v>
      </c>
      <c r="B162" s="68"/>
      <c r="C162" s="13"/>
      <c r="D162" s="14"/>
      <c r="E162" s="15"/>
      <c r="F162" s="15">
        <f>Tabla8[[#This Row],[CANTIDAD]]*Tabla8[[#This Row],[PRECIO]]</f>
        <v>0</v>
      </c>
      <c r="G162" s="13"/>
      <c r="H162" s="13"/>
      <c r="I162" s="13" t="str">
        <f t="shared" si="10"/>
        <v>MARZO</v>
      </c>
      <c r="J162" s="13">
        <f t="shared" si="11"/>
        <v>2026</v>
      </c>
      <c r="K162" s="13"/>
      <c r="L162" s="13"/>
    </row>
    <row r="163" spans="1:12" x14ac:dyDescent="0.3">
      <c r="A163" s="12">
        <v>46095</v>
      </c>
      <c r="B163" s="68"/>
      <c r="C163" s="13"/>
      <c r="D163" s="14"/>
      <c r="E163" s="15"/>
      <c r="F163" s="15">
        <f>Tabla8[[#This Row],[CANTIDAD]]*Tabla8[[#This Row],[PRECIO]]</f>
        <v>0</v>
      </c>
      <c r="G163" s="13"/>
      <c r="H163" s="13"/>
      <c r="I163" s="13" t="str">
        <f t="shared" si="10"/>
        <v>MARZO</v>
      </c>
      <c r="J163" s="13">
        <f t="shared" si="11"/>
        <v>2026</v>
      </c>
      <c r="K163" s="13"/>
      <c r="L163" s="13"/>
    </row>
    <row r="164" spans="1:12" x14ac:dyDescent="0.3">
      <c r="A164" s="12">
        <v>46096</v>
      </c>
      <c r="B164" s="68"/>
      <c r="C164" s="13"/>
      <c r="D164" s="14"/>
      <c r="E164" s="15"/>
      <c r="F164" s="15">
        <f>Tabla8[[#This Row],[CANTIDAD]]*Tabla8[[#This Row],[PRECIO]]</f>
        <v>0</v>
      </c>
      <c r="G164" s="13"/>
      <c r="H164" s="13"/>
      <c r="I164" s="13" t="str">
        <f t="shared" si="10"/>
        <v>MARZO</v>
      </c>
      <c r="J164" s="13">
        <f t="shared" si="11"/>
        <v>2026</v>
      </c>
      <c r="K164" s="13"/>
      <c r="L164" s="13"/>
    </row>
    <row r="165" spans="1:12" x14ac:dyDescent="0.3">
      <c r="A165" s="12">
        <v>46097</v>
      </c>
      <c r="B165" s="68"/>
      <c r="C165" s="13"/>
      <c r="D165" s="14"/>
      <c r="E165" s="15"/>
      <c r="F165" s="15">
        <f>Tabla8[[#This Row],[CANTIDAD]]*Tabla8[[#This Row],[PRECIO]]</f>
        <v>0</v>
      </c>
      <c r="G165" s="13"/>
      <c r="H165" s="13"/>
      <c r="I165" s="13" t="str">
        <f t="shared" si="10"/>
        <v>MARZO</v>
      </c>
      <c r="J165" s="13">
        <f t="shared" si="11"/>
        <v>2026</v>
      </c>
      <c r="K165" s="13"/>
      <c r="L165" s="13"/>
    </row>
    <row r="166" spans="1:12" x14ac:dyDescent="0.3">
      <c r="A166" s="12">
        <v>46098</v>
      </c>
      <c r="B166" s="68"/>
      <c r="C166" s="13"/>
      <c r="D166" s="14"/>
      <c r="E166" s="15"/>
      <c r="F166" s="15">
        <f>Tabla8[[#This Row],[CANTIDAD]]*Tabla8[[#This Row],[PRECIO]]</f>
        <v>0</v>
      </c>
      <c r="G166" s="13"/>
      <c r="H166" s="13"/>
      <c r="I166" s="13" t="str">
        <f t="shared" si="10"/>
        <v>MARZO</v>
      </c>
      <c r="J166" s="13">
        <f t="shared" si="11"/>
        <v>2026</v>
      </c>
      <c r="K166" s="13"/>
      <c r="L166" s="13"/>
    </row>
  </sheetData>
  <mergeCells count="2">
    <mergeCell ref="A1:F1"/>
    <mergeCell ref="G1:M1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BC9DC5-4471-4687-BEDA-B403C62CC340}">
          <x14:formula1>
            <xm:f>'CUENTAS CONTABLES'!$I$5:$I$14</xm:f>
          </x14:formula1>
          <xm:sqref>C4:C60</xm:sqref>
        </x14:dataValidation>
        <x14:dataValidation type="list" allowBlank="1" showInputMessage="1" showErrorMessage="1" xr:uid="{8F588F84-8A4B-41EE-9C5F-F36AD168E1CE}">
          <x14:formula1>
            <xm:f>'CUENTAS CONTABLES'!$C$5:$C$15</xm:f>
          </x14:formula1>
          <xm:sqref>B4:B166</xm:sqref>
        </x14:dataValidation>
        <x14:dataValidation type="list" allowBlank="1" showInputMessage="1" showErrorMessage="1" xr:uid="{1B36022B-D017-4A30-A926-A6D8157B0AF1}">
          <x14:formula1>
            <xm:f>'CUENTAS CONTABLES'!$G$5:$G$11</xm:f>
          </x14:formula1>
          <xm:sqref>K4:K166</xm:sqref>
        </x14:dataValidation>
        <x14:dataValidation type="list" allowBlank="1" showInputMessage="1" showErrorMessage="1" xr:uid="{A72FD84C-357E-493F-B119-CCBA33DC70B9}">
          <x14:formula1>
            <xm:f>'CUENTAS CONTABLES'!$I$5:$I$20</xm:f>
          </x14:formula1>
          <xm:sqref>C61:C70</xm:sqref>
        </x14:dataValidation>
        <x14:dataValidation type="list" allowBlank="1" showInputMessage="1" showErrorMessage="1" xr:uid="{D9578BA0-1D35-445A-A66C-E7B592E08F05}">
          <x14:formula1>
            <xm:f>'CUENTAS CONTABLES'!$I$5:$I$35</xm:f>
          </x14:formula1>
          <xm:sqref>C71:C114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3EB6-1078-45F0-84C1-88A2A401D697}">
  <dimension ref="A1:I80"/>
  <sheetViews>
    <sheetView topLeftCell="A2" workbookViewId="0">
      <selection activeCell="A69" sqref="A69"/>
    </sheetView>
  </sheetViews>
  <sheetFormatPr baseColWidth="10" defaultRowHeight="14.4" x14ac:dyDescent="0.3"/>
  <cols>
    <col min="2" max="2" width="20.109375" customWidth="1"/>
    <col min="3" max="3" width="16.109375" customWidth="1"/>
    <col min="4" max="4" width="10.5546875" customWidth="1"/>
    <col min="5" max="5" width="44.21875" customWidth="1"/>
    <col min="6" max="6" width="17.6640625" customWidth="1"/>
    <col min="7" max="7" width="20" customWidth="1"/>
    <col min="8" max="8" width="18" customWidth="1"/>
    <col min="11" max="11" width="14.88671875" customWidth="1"/>
  </cols>
  <sheetData>
    <row r="1" spans="1:9" ht="48" customHeight="1" x14ac:dyDescent="0.3">
      <c r="A1" s="70"/>
      <c r="B1" s="70"/>
      <c r="C1" s="70"/>
      <c r="D1" s="70"/>
      <c r="E1" s="79" t="s">
        <v>388</v>
      </c>
      <c r="F1" s="79"/>
      <c r="G1" s="79"/>
      <c r="H1" s="79"/>
      <c r="I1" s="79"/>
    </row>
    <row r="3" spans="1:9" x14ac:dyDescent="0.3">
      <c r="A3" s="71" t="s">
        <v>1</v>
      </c>
      <c r="B3" s="71" t="s">
        <v>2</v>
      </c>
      <c r="C3" s="71" t="s">
        <v>61</v>
      </c>
      <c r="D3" s="71" t="s">
        <v>354</v>
      </c>
      <c r="E3" s="71" t="s">
        <v>58</v>
      </c>
      <c r="F3" s="71" t="s">
        <v>59</v>
      </c>
      <c r="G3" s="71" t="s">
        <v>7</v>
      </c>
      <c r="H3" s="71" t="s">
        <v>8</v>
      </c>
      <c r="I3" s="71" t="s">
        <v>10</v>
      </c>
    </row>
    <row r="4" spans="1:9" x14ac:dyDescent="0.3">
      <c r="A4" s="12">
        <v>46028</v>
      </c>
      <c r="B4" s="12" t="s">
        <v>352</v>
      </c>
      <c r="C4" s="13" t="s">
        <v>63</v>
      </c>
      <c r="D4" s="15">
        <v>25.9</v>
      </c>
      <c r="E4" s="13" t="s">
        <v>355</v>
      </c>
      <c r="F4" s="13">
        <v>62352</v>
      </c>
      <c r="G4" s="13" t="str">
        <f t="shared" ref="G4:G35" si="0">UPPER(TEXT(A4,"MMMM"))</f>
        <v>ENERO</v>
      </c>
      <c r="H4" s="13">
        <f t="shared" ref="H4:H35" si="1">+YEAR(A4)</f>
        <v>2026</v>
      </c>
      <c r="I4" s="13"/>
    </row>
    <row r="5" spans="1:9" x14ac:dyDescent="0.3">
      <c r="A5" s="12">
        <v>46028</v>
      </c>
      <c r="B5" s="12" t="s">
        <v>352</v>
      </c>
      <c r="C5" s="13" t="s">
        <v>63</v>
      </c>
      <c r="D5" s="15">
        <v>31.51</v>
      </c>
      <c r="E5" s="13" t="s">
        <v>356</v>
      </c>
      <c r="F5" s="13">
        <v>62355</v>
      </c>
      <c r="G5" s="13" t="str">
        <f t="shared" si="0"/>
        <v>ENERO</v>
      </c>
      <c r="H5" s="13">
        <f t="shared" si="1"/>
        <v>2026</v>
      </c>
      <c r="I5" s="13"/>
    </row>
    <row r="6" spans="1:9" x14ac:dyDescent="0.3">
      <c r="A6" s="12">
        <v>46029</v>
      </c>
      <c r="B6" s="12" t="s">
        <v>352</v>
      </c>
      <c r="C6" s="13" t="s">
        <v>63</v>
      </c>
      <c r="D6" s="15">
        <v>29.26</v>
      </c>
      <c r="E6" s="13" t="s">
        <v>357</v>
      </c>
      <c r="F6" s="13">
        <v>62416</v>
      </c>
      <c r="G6" s="13" t="str">
        <f t="shared" si="0"/>
        <v>ENERO</v>
      </c>
      <c r="H6" s="13">
        <f t="shared" si="1"/>
        <v>2026</v>
      </c>
      <c r="I6" s="13"/>
    </row>
    <row r="7" spans="1:9" x14ac:dyDescent="0.3">
      <c r="A7" s="12">
        <v>46029</v>
      </c>
      <c r="B7" s="12" t="s">
        <v>352</v>
      </c>
      <c r="C7" s="13" t="s">
        <v>63</v>
      </c>
      <c r="D7" s="15">
        <v>31.35</v>
      </c>
      <c r="E7" s="13" t="s">
        <v>358</v>
      </c>
      <c r="F7" s="13">
        <v>62425</v>
      </c>
      <c r="G7" s="13" t="str">
        <f t="shared" si="0"/>
        <v>ENERO</v>
      </c>
      <c r="H7" s="13">
        <f t="shared" si="1"/>
        <v>2026</v>
      </c>
      <c r="I7" s="13"/>
    </row>
    <row r="8" spans="1:9" x14ac:dyDescent="0.3">
      <c r="A8" s="12">
        <v>46029</v>
      </c>
      <c r="B8" s="12" t="s">
        <v>352</v>
      </c>
      <c r="C8" s="13" t="s">
        <v>63</v>
      </c>
      <c r="D8" s="15">
        <v>23.9</v>
      </c>
      <c r="E8" s="13" t="s">
        <v>359</v>
      </c>
      <c r="F8" s="13">
        <v>62427</v>
      </c>
      <c r="G8" s="13" t="str">
        <f t="shared" si="0"/>
        <v>ENERO</v>
      </c>
      <c r="H8" s="13">
        <f t="shared" si="1"/>
        <v>2026</v>
      </c>
      <c r="I8" s="13"/>
    </row>
    <row r="9" spans="1:9" x14ac:dyDescent="0.3">
      <c r="A9" s="12">
        <v>46030</v>
      </c>
      <c r="B9" s="12" t="s">
        <v>352</v>
      </c>
      <c r="C9" s="13" t="s">
        <v>376</v>
      </c>
      <c r="D9" s="15">
        <v>24.15</v>
      </c>
      <c r="E9" s="13" t="s">
        <v>381</v>
      </c>
      <c r="F9" s="13">
        <v>928780</v>
      </c>
      <c r="G9" s="13" t="str">
        <f t="shared" si="0"/>
        <v>ENERO</v>
      </c>
      <c r="H9" s="13">
        <f t="shared" si="1"/>
        <v>2026</v>
      </c>
      <c r="I9" s="13"/>
    </row>
    <row r="10" spans="1:9" x14ac:dyDescent="0.3">
      <c r="A10" s="12">
        <v>46030</v>
      </c>
      <c r="B10" s="12" t="s">
        <v>352</v>
      </c>
      <c r="C10" s="13" t="s">
        <v>376</v>
      </c>
      <c r="D10" s="15">
        <v>41.4</v>
      </c>
      <c r="E10" s="13" t="s">
        <v>382</v>
      </c>
      <c r="F10" s="13">
        <v>92782</v>
      </c>
      <c r="G10" s="13" t="str">
        <f t="shared" si="0"/>
        <v>ENERO</v>
      </c>
      <c r="H10" s="13">
        <f t="shared" si="1"/>
        <v>2026</v>
      </c>
      <c r="I10" s="13"/>
    </row>
    <row r="11" spans="1:9" x14ac:dyDescent="0.3">
      <c r="A11" s="12">
        <v>46031</v>
      </c>
      <c r="B11" s="12" t="s">
        <v>352</v>
      </c>
      <c r="C11" s="13" t="s">
        <v>63</v>
      </c>
      <c r="D11" s="15">
        <v>2.1</v>
      </c>
      <c r="E11" s="13" t="s">
        <v>364</v>
      </c>
      <c r="F11" s="13">
        <v>62552</v>
      </c>
      <c r="G11" s="13" t="str">
        <f t="shared" si="0"/>
        <v>ENERO</v>
      </c>
      <c r="H11" s="13">
        <f t="shared" si="1"/>
        <v>2026</v>
      </c>
      <c r="I11" s="13"/>
    </row>
    <row r="12" spans="1:9" x14ac:dyDescent="0.3">
      <c r="A12" s="12">
        <v>46031</v>
      </c>
      <c r="B12" s="12" t="s">
        <v>353</v>
      </c>
      <c r="C12" s="13" t="s">
        <v>389</v>
      </c>
      <c r="D12" s="15">
        <v>52.23</v>
      </c>
      <c r="E12" s="13" t="s">
        <v>393</v>
      </c>
      <c r="F12" s="13">
        <v>2354</v>
      </c>
      <c r="G12" s="13" t="str">
        <f t="shared" si="0"/>
        <v>ENERO</v>
      </c>
      <c r="H12" s="13">
        <f t="shared" si="1"/>
        <v>2026</v>
      </c>
      <c r="I12" s="13"/>
    </row>
    <row r="13" spans="1:9" x14ac:dyDescent="0.3">
      <c r="A13" s="12">
        <v>46032</v>
      </c>
      <c r="B13" s="12" t="s">
        <v>352</v>
      </c>
      <c r="C13" s="13" t="s">
        <v>63</v>
      </c>
      <c r="D13" s="15">
        <v>2.6</v>
      </c>
      <c r="E13" s="13" t="s">
        <v>365</v>
      </c>
      <c r="F13" s="13">
        <v>62590</v>
      </c>
      <c r="G13" s="13" t="str">
        <f t="shared" si="0"/>
        <v>ENERO</v>
      </c>
      <c r="H13" s="13">
        <f t="shared" si="1"/>
        <v>2026</v>
      </c>
      <c r="I13" s="13"/>
    </row>
    <row r="14" spans="1:9" x14ac:dyDescent="0.3">
      <c r="A14" s="12">
        <v>46034</v>
      </c>
      <c r="B14" s="12" t="s">
        <v>352</v>
      </c>
      <c r="C14" s="13" t="s">
        <v>63</v>
      </c>
      <c r="D14" s="15">
        <v>1</v>
      </c>
      <c r="E14" s="13" t="s">
        <v>364</v>
      </c>
      <c r="F14" s="13">
        <v>62630</v>
      </c>
      <c r="G14" s="13" t="str">
        <f t="shared" si="0"/>
        <v>ENERO</v>
      </c>
      <c r="H14" s="13">
        <f t="shared" si="1"/>
        <v>2026</v>
      </c>
      <c r="I14" s="13"/>
    </row>
    <row r="15" spans="1:9" x14ac:dyDescent="0.3">
      <c r="A15" s="12">
        <v>46034</v>
      </c>
      <c r="B15" s="12" t="s">
        <v>352</v>
      </c>
      <c r="C15" s="13" t="s">
        <v>63</v>
      </c>
      <c r="D15" s="15">
        <v>27</v>
      </c>
      <c r="E15" s="13" t="s">
        <v>377</v>
      </c>
      <c r="F15" s="13">
        <v>62660</v>
      </c>
      <c r="G15" s="13" t="str">
        <f t="shared" si="0"/>
        <v>ENERO</v>
      </c>
      <c r="H15" s="13">
        <f t="shared" si="1"/>
        <v>2026</v>
      </c>
      <c r="I15" s="13"/>
    </row>
    <row r="16" spans="1:9" x14ac:dyDescent="0.3">
      <c r="A16" s="12">
        <v>46034</v>
      </c>
      <c r="B16" s="12" t="s">
        <v>352</v>
      </c>
      <c r="C16" s="13" t="s">
        <v>63</v>
      </c>
      <c r="D16" s="15">
        <v>23.99</v>
      </c>
      <c r="E16" s="13" t="s">
        <v>378</v>
      </c>
      <c r="F16" s="13">
        <v>62669</v>
      </c>
      <c r="G16" s="13" t="str">
        <f t="shared" si="0"/>
        <v>ENERO</v>
      </c>
      <c r="H16" s="13">
        <f t="shared" si="1"/>
        <v>2026</v>
      </c>
      <c r="I16" s="13"/>
    </row>
    <row r="17" spans="1:9" x14ac:dyDescent="0.3">
      <c r="A17" s="12">
        <v>46034</v>
      </c>
      <c r="B17" s="12" t="s">
        <v>353</v>
      </c>
      <c r="C17" s="13" t="s">
        <v>389</v>
      </c>
      <c r="D17" s="15">
        <v>75.23</v>
      </c>
      <c r="E17" s="13" t="s">
        <v>391</v>
      </c>
      <c r="F17" s="13">
        <v>2383</v>
      </c>
      <c r="G17" s="13" t="str">
        <f t="shared" si="0"/>
        <v>ENERO</v>
      </c>
      <c r="H17" s="13">
        <f t="shared" si="1"/>
        <v>2026</v>
      </c>
      <c r="I17" s="13"/>
    </row>
    <row r="18" spans="1:9" x14ac:dyDescent="0.3">
      <c r="A18" s="12">
        <v>46035</v>
      </c>
      <c r="B18" s="12" t="s">
        <v>352</v>
      </c>
      <c r="C18" s="13" t="s">
        <v>63</v>
      </c>
      <c r="D18" s="15">
        <v>15.25</v>
      </c>
      <c r="E18" s="13" t="s">
        <v>360</v>
      </c>
      <c r="F18" s="13">
        <v>62697</v>
      </c>
      <c r="G18" s="13" t="str">
        <f t="shared" si="0"/>
        <v>ENERO</v>
      </c>
      <c r="H18" s="13">
        <f t="shared" si="1"/>
        <v>2026</v>
      </c>
      <c r="I18" s="13"/>
    </row>
    <row r="19" spans="1:9" x14ac:dyDescent="0.3">
      <c r="A19" s="12">
        <v>46035</v>
      </c>
      <c r="B19" s="12" t="s">
        <v>352</v>
      </c>
      <c r="C19" s="13" t="s">
        <v>63</v>
      </c>
      <c r="D19" s="15">
        <v>1.45</v>
      </c>
      <c r="E19" s="13" t="s">
        <v>363</v>
      </c>
      <c r="F19" s="13">
        <v>62729</v>
      </c>
      <c r="G19" s="13" t="str">
        <f t="shared" si="0"/>
        <v>ENERO</v>
      </c>
      <c r="H19" s="13">
        <f t="shared" si="1"/>
        <v>2026</v>
      </c>
      <c r="I19" s="13"/>
    </row>
    <row r="20" spans="1:9" x14ac:dyDescent="0.3">
      <c r="A20" s="12">
        <v>46035</v>
      </c>
      <c r="B20" s="12" t="s">
        <v>352</v>
      </c>
      <c r="C20" s="13" t="s">
        <v>376</v>
      </c>
      <c r="D20" s="15">
        <v>98.9</v>
      </c>
      <c r="E20" s="13" t="s">
        <v>383</v>
      </c>
      <c r="F20" s="13">
        <v>930327</v>
      </c>
      <c r="G20" s="13" t="str">
        <f t="shared" si="0"/>
        <v>ENERO</v>
      </c>
      <c r="H20" s="13">
        <f t="shared" si="1"/>
        <v>2026</v>
      </c>
      <c r="I20" s="13"/>
    </row>
    <row r="21" spans="1:9" x14ac:dyDescent="0.3">
      <c r="A21" s="12">
        <v>46036</v>
      </c>
      <c r="B21" s="12" t="s">
        <v>352</v>
      </c>
      <c r="C21" s="13" t="s">
        <v>63</v>
      </c>
      <c r="D21" s="15">
        <v>2.69</v>
      </c>
      <c r="E21" s="13" t="s">
        <v>366</v>
      </c>
      <c r="F21" s="13">
        <v>62763</v>
      </c>
      <c r="G21" s="13" t="str">
        <f t="shared" si="0"/>
        <v>ENERO</v>
      </c>
      <c r="H21" s="13">
        <f t="shared" si="1"/>
        <v>2026</v>
      </c>
      <c r="I21" s="13"/>
    </row>
    <row r="22" spans="1:9" x14ac:dyDescent="0.3">
      <c r="A22" s="12">
        <v>46036</v>
      </c>
      <c r="B22" s="12" t="s">
        <v>352</v>
      </c>
      <c r="C22" s="13" t="s">
        <v>63</v>
      </c>
      <c r="D22" s="15">
        <v>23.9</v>
      </c>
      <c r="E22" s="13" t="s">
        <v>380</v>
      </c>
      <c r="F22" s="13">
        <v>62771</v>
      </c>
      <c r="G22" s="13" t="str">
        <f t="shared" si="0"/>
        <v>ENERO</v>
      </c>
      <c r="H22" s="13">
        <f t="shared" si="1"/>
        <v>2026</v>
      </c>
      <c r="I22" s="13"/>
    </row>
    <row r="23" spans="1:9" x14ac:dyDescent="0.3">
      <c r="A23" s="12">
        <v>46036</v>
      </c>
      <c r="B23" s="12" t="s">
        <v>353</v>
      </c>
      <c r="C23" s="13" t="s">
        <v>389</v>
      </c>
      <c r="D23" s="15">
        <v>46.21</v>
      </c>
      <c r="E23" s="13" t="s">
        <v>392</v>
      </c>
      <c r="F23" s="13">
        <v>2529</v>
      </c>
      <c r="G23" s="13" t="str">
        <f t="shared" si="0"/>
        <v>ENERO</v>
      </c>
      <c r="H23" s="13">
        <f t="shared" si="1"/>
        <v>2026</v>
      </c>
      <c r="I23" s="13"/>
    </row>
    <row r="24" spans="1:9" x14ac:dyDescent="0.3">
      <c r="A24" s="12">
        <v>46036</v>
      </c>
      <c r="B24" s="12" t="s">
        <v>353</v>
      </c>
      <c r="C24" s="13" t="s">
        <v>389</v>
      </c>
      <c r="D24" s="15">
        <v>82.56</v>
      </c>
      <c r="E24" s="13" t="s">
        <v>394</v>
      </c>
      <c r="F24" s="13">
        <v>2570</v>
      </c>
      <c r="G24" s="13" t="str">
        <f t="shared" si="0"/>
        <v>ENERO</v>
      </c>
      <c r="H24" s="13">
        <f t="shared" si="1"/>
        <v>2026</v>
      </c>
      <c r="I24" s="13"/>
    </row>
    <row r="25" spans="1:9" x14ac:dyDescent="0.3">
      <c r="A25" s="12">
        <v>46036</v>
      </c>
      <c r="B25" s="12" t="s">
        <v>353</v>
      </c>
      <c r="C25" s="13" t="s">
        <v>389</v>
      </c>
      <c r="D25" s="15">
        <v>46.21</v>
      </c>
      <c r="E25" s="13" t="s">
        <v>395</v>
      </c>
      <c r="F25" s="13">
        <v>46.21</v>
      </c>
      <c r="G25" s="13" t="str">
        <f t="shared" si="0"/>
        <v>ENERO</v>
      </c>
      <c r="H25" s="13">
        <f t="shared" si="1"/>
        <v>2026</v>
      </c>
      <c r="I25" s="13"/>
    </row>
    <row r="26" spans="1:9" x14ac:dyDescent="0.3">
      <c r="A26" s="12">
        <v>46037</v>
      </c>
      <c r="B26" s="12" t="s">
        <v>352</v>
      </c>
      <c r="C26" s="13" t="s">
        <v>63</v>
      </c>
      <c r="D26" s="15">
        <v>5.76</v>
      </c>
      <c r="E26" s="13" t="s">
        <v>158</v>
      </c>
      <c r="F26" s="13">
        <v>62832</v>
      </c>
      <c r="G26" s="13" t="str">
        <f t="shared" si="0"/>
        <v>ENERO</v>
      </c>
      <c r="H26" s="13">
        <f t="shared" si="1"/>
        <v>2026</v>
      </c>
      <c r="I26" s="13"/>
    </row>
    <row r="27" spans="1:9" x14ac:dyDescent="0.3">
      <c r="A27" s="12">
        <v>46038</v>
      </c>
      <c r="B27" s="12" t="s">
        <v>352</v>
      </c>
      <c r="C27" s="13" t="s">
        <v>63</v>
      </c>
      <c r="D27" s="15">
        <v>27</v>
      </c>
      <c r="E27" s="13" t="s">
        <v>379</v>
      </c>
      <c r="F27" s="13">
        <v>62869</v>
      </c>
      <c r="G27" s="13" t="str">
        <f t="shared" si="0"/>
        <v>ENERO</v>
      </c>
      <c r="H27" s="13">
        <f t="shared" si="1"/>
        <v>2026</v>
      </c>
      <c r="I27" s="13"/>
    </row>
    <row r="28" spans="1:9" x14ac:dyDescent="0.3">
      <c r="A28" s="12">
        <v>46038</v>
      </c>
      <c r="B28" s="12" t="s">
        <v>352</v>
      </c>
      <c r="C28" s="13" t="s">
        <v>376</v>
      </c>
      <c r="D28" s="15">
        <v>128.80000000000001</v>
      </c>
      <c r="E28" s="13" t="s">
        <v>384</v>
      </c>
      <c r="F28" s="13">
        <v>931867</v>
      </c>
      <c r="G28" s="13" t="str">
        <f t="shared" si="0"/>
        <v>ENERO</v>
      </c>
      <c r="H28" s="13">
        <f t="shared" si="1"/>
        <v>2026</v>
      </c>
      <c r="I28" s="13"/>
    </row>
    <row r="29" spans="1:9" x14ac:dyDescent="0.3">
      <c r="A29" s="12">
        <v>46039</v>
      </c>
      <c r="B29" s="12" t="s">
        <v>352</v>
      </c>
      <c r="C29" s="13" t="s">
        <v>63</v>
      </c>
      <c r="D29" s="15">
        <v>31.6</v>
      </c>
      <c r="E29" s="13" t="s">
        <v>367</v>
      </c>
      <c r="F29" s="13">
        <v>62892</v>
      </c>
      <c r="G29" s="13" t="str">
        <f t="shared" si="0"/>
        <v>ENERO</v>
      </c>
      <c r="H29" s="13">
        <f t="shared" si="1"/>
        <v>2026</v>
      </c>
      <c r="I29" s="13"/>
    </row>
    <row r="30" spans="1:9" x14ac:dyDescent="0.3">
      <c r="A30" s="12">
        <v>46039</v>
      </c>
      <c r="B30" s="12" t="s">
        <v>352</v>
      </c>
      <c r="C30" s="13" t="s">
        <v>63</v>
      </c>
      <c r="D30" s="15">
        <v>1.75</v>
      </c>
      <c r="E30" s="13" t="s">
        <v>364</v>
      </c>
      <c r="F30" s="13">
        <v>62893</v>
      </c>
      <c r="G30" s="13" t="str">
        <f t="shared" si="0"/>
        <v>ENERO</v>
      </c>
      <c r="H30" s="13">
        <f t="shared" si="1"/>
        <v>2026</v>
      </c>
      <c r="I30" s="13"/>
    </row>
    <row r="31" spans="1:9" x14ac:dyDescent="0.3">
      <c r="A31" s="12">
        <v>46039</v>
      </c>
      <c r="B31" s="12" t="s">
        <v>352</v>
      </c>
      <c r="C31" s="13" t="s">
        <v>376</v>
      </c>
      <c r="D31" s="15">
        <v>1.04</v>
      </c>
      <c r="E31" s="13" t="s">
        <v>385</v>
      </c>
      <c r="F31" s="13">
        <v>931948</v>
      </c>
      <c r="G31" s="13" t="str">
        <f t="shared" si="0"/>
        <v>ENERO</v>
      </c>
      <c r="H31" s="13">
        <f t="shared" si="1"/>
        <v>2026</v>
      </c>
      <c r="I31" s="13"/>
    </row>
    <row r="32" spans="1:9" x14ac:dyDescent="0.3">
      <c r="A32" s="12">
        <v>46041</v>
      </c>
      <c r="B32" s="12" t="s">
        <v>352</v>
      </c>
      <c r="C32" s="13" t="s">
        <v>63</v>
      </c>
      <c r="D32" s="15">
        <v>52.3</v>
      </c>
      <c r="E32" s="13" t="s">
        <v>368</v>
      </c>
      <c r="F32" s="13">
        <v>62931</v>
      </c>
      <c r="G32" s="13" t="str">
        <f t="shared" si="0"/>
        <v>ENERO</v>
      </c>
      <c r="H32" s="13">
        <f t="shared" si="1"/>
        <v>2026</v>
      </c>
      <c r="I32" s="13"/>
    </row>
    <row r="33" spans="1:9" x14ac:dyDescent="0.3">
      <c r="A33" s="12">
        <v>46042</v>
      </c>
      <c r="B33" s="12" t="s">
        <v>352</v>
      </c>
      <c r="C33" s="13" t="s">
        <v>63</v>
      </c>
      <c r="D33" s="15">
        <v>2</v>
      </c>
      <c r="E33" s="13" t="s">
        <v>369</v>
      </c>
      <c r="F33" s="13">
        <v>62997</v>
      </c>
      <c r="G33" s="13" t="str">
        <f t="shared" si="0"/>
        <v>ENERO</v>
      </c>
      <c r="H33" s="13">
        <f t="shared" si="1"/>
        <v>2026</v>
      </c>
      <c r="I33" s="13"/>
    </row>
    <row r="34" spans="1:9" x14ac:dyDescent="0.3">
      <c r="A34" s="12">
        <v>46043</v>
      </c>
      <c r="B34" s="12" t="s">
        <v>352</v>
      </c>
      <c r="C34" s="13" t="s">
        <v>63</v>
      </c>
      <c r="D34" s="15">
        <v>10.9</v>
      </c>
      <c r="E34" s="13" t="s">
        <v>371</v>
      </c>
      <c r="F34" s="13">
        <v>63058</v>
      </c>
      <c r="G34" s="13" t="str">
        <f t="shared" si="0"/>
        <v>ENERO</v>
      </c>
      <c r="H34" s="13">
        <f t="shared" si="1"/>
        <v>2026</v>
      </c>
      <c r="I34" s="13"/>
    </row>
    <row r="35" spans="1:9" x14ac:dyDescent="0.3">
      <c r="A35" s="12">
        <v>46043</v>
      </c>
      <c r="B35" s="12" t="s">
        <v>352</v>
      </c>
      <c r="C35" s="13" t="s">
        <v>63</v>
      </c>
      <c r="D35" s="15">
        <v>15</v>
      </c>
      <c r="E35" s="13" t="s">
        <v>370</v>
      </c>
      <c r="F35" s="13">
        <v>63064</v>
      </c>
      <c r="G35" s="13" t="str">
        <f t="shared" si="0"/>
        <v>ENERO</v>
      </c>
      <c r="H35" s="13">
        <f t="shared" si="1"/>
        <v>2026</v>
      </c>
      <c r="I35" s="13"/>
    </row>
    <row r="36" spans="1:9" x14ac:dyDescent="0.3">
      <c r="A36" s="12">
        <v>46044</v>
      </c>
      <c r="B36" s="12" t="s">
        <v>352</v>
      </c>
      <c r="C36" s="13" t="s">
        <v>63</v>
      </c>
      <c r="D36" s="15">
        <v>4</v>
      </c>
      <c r="E36" s="13" t="s">
        <v>372</v>
      </c>
      <c r="F36" s="13">
        <v>63110</v>
      </c>
      <c r="G36" s="13" t="str">
        <f t="shared" ref="G36:G72" si="2">UPPER(TEXT(A36,"MMMM"))</f>
        <v>ENERO</v>
      </c>
      <c r="H36" s="13">
        <f t="shared" ref="H36:H72" si="3">+YEAR(A36)</f>
        <v>2026</v>
      </c>
      <c r="I36" s="13"/>
    </row>
    <row r="37" spans="1:9" x14ac:dyDescent="0.3">
      <c r="A37" s="12">
        <v>46044</v>
      </c>
      <c r="B37" s="12" t="s">
        <v>352</v>
      </c>
      <c r="C37" s="13" t="s">
        <v>376</v>
      </c>
      <c r="D37" s="15">
        <v>128.80000000000001</v>
      </c>
      <c r="E37" s="13" t="s">
        <v>386</v>
      </c>
      <c r="F37" s="13">
        <v>934091</v>
      </c>
      <c r="G37" s="13" t="str">
        <f t="shared" si="2"/>
        <v>ENERO</v>
      </c>
      <c r="H37" s="13">
        <f t="shared" si="3"/>
        <v>2026</v>
      </c>
      <c r="I37" s="13"/>
    </row>
    <row r="38" spans="1:9" x14ac:dyDescent="0.3">
      <c r="A38" s="12">
        <v>46045</v>
      </c>
      <c r="B38" s="12" t="s">
        <v>352</v>
      </c>
      <c r="C38" s="13" t="s">
        <v>376</v>
      </c>
      <c r="D38" s="15">
        <v>57.5</v>
      </c>
      <c r="E38" s="13" t="s">
        <v>387</v>
      </c>
      <c r="F38" s="13">
        <v>934523</v>
      </c>
      <c r="G38" s="13" t="str">
        <f t="shared" si="2"/>
        <v>ENERO</v>
      </c>
      <c r="H38" s="13">
        <f t="shared" si="3"/>
        <v>2026</v>
      </c>
      <c r="I38" s="13"/>
    </row>
    <row r="39" spans="1:9" x14ac:dyDescent="0.3">
      <c r="A39" s="12">
        <v>46051</v>
      </c>
      <c r="B39" s="12" t="s">
        <v>352</v>
      </c>
      <c r="C39" s="13" t="s">
        <v>63</v>
      </c>
      <c r="D39" s="15">
        <v>31.5</v>
      </c>
      <c r="E39" s="13" t="s">
        <v>373</v>
      </c>
      <c r="F39" s="13">
        <v>63413</v>
      </c>
      <c r="G39" s="13" t="str">
        <f t="shared" si="2"/>
        <v>ENERO</v>
      </c>
      <c r="H39" s="13">
        <f t="shared" si="3"/>
        <v>2026</v>
      </c>
      <c r="I39" s="13"/>
    </row>
    <row r="40" spans="1:9" x14ac:dyDescent="0.3">
      <c r="A40" s="12">
        <v>46051</v>
      </c>
      <c r="B40" s="12" t="s">
        <v>352</v>
      </c>
      <c r="C40" s="13" t="s">
        <v>63</v>
      </c>
      <c r="D40" s="15">
        <v>5.5</v>
      </c>
      <c r="E40" s="13" t="s">
        <v>374</v>
      </c>
      <c r="F40" s="13">
        <v>63418</v>
      </c>
      <c r="G40" s="13" t="str">
        <f t="shared" si="2"/>
        <v>ENERO</v>
      </c>
      <c r="H40" s="13">
        <f t="shared" si="3"/>
        <v>2026</v>
      </c>
      <c r="I40" s="13"/>
    </row>
    <row r="41" spans="1:9" x14ac:dyDescent="0.3">
      <c r="A41" s="12">
        <v>46051</v>
      </c>
      <c r="B41" s="12" t="s">
        <v>352</v>
      </c>
      <c r="C41" s="13" t="s">
        <v>63</v>
      </c>
      <c r="D41" s="15">
        <v>4.3</v>
      </c>
      <c r="E41" s="13" t="s">
        <v>375</v>
      </c>
      <c r="F41" s="13">
        <v>63431</v>
      </c>
      <c r="G41" s="13" t="str">
        <f t="shared" si="2"/>
        <v>ENERO</v>
      </c>
      <c r="H41" s="13">
        <f t="shared" si="3"/>
        <v>2026</v>
      </c>
      <c r="I41" s="13"/>
    </row>
    <row r="42" spans="1:9" x14ac:dyDescent="0.3">
      <c r="A42" s="12">
        <v>46057</v>
      </c>
      <c r="B42" s="12" t="s">
        <v>352</v>
      </c>
      <c r="C42" s="13" t="s">
        <v>63</v>
      </c>
      <c r="D42" s="15">
        <v>22.49</v>
      </c>
      <c r="E42" s="13" t="s">
        <v>516</v>
      </c>
      <c r="F42" s="13">
        <v>63682</v>
      </c>
      <c r="G42" s="13" t="str">
        <f t="shared" si="2"/>
        <v>FEBRERO</v>
      </c>
      <c r="H42" s="13">
        <f t="shared" si="3"/>
        <v>2026</v>
      </c>
      <c r="I42" s="13"/>
    </row>
    <row r="43" spans="1:9" x14ac:dyDescent="0.3">
      <c r="A43" s="12">
        <v>46058</v>
      </c>
      <c r="B43" s="12" t="s">
        <v>352</v>
      </c>
      <c r="C43" s="13" t="s">
        <v>63</v>
      </c>
      <c r="D43" s="15">
        <v>20.52</v>
      </c>
      <c r="E43" s="13" t="s">
        <v>517</v>
      </c>
      <c r="F43" s="13">
        <v>63735</v>
      </c>
      <c r="G43" s="13" t="str">
        <f t="shared" si="2"/>
        <v>FEBRERO</v>
      </c>
      <c r="H43" s="13">
        <f t="shared" si="3"/>
        <v>2026</v>
      </c>
      <c r="I43" s="13"/>
    </row>
    <row r="44" spans="1:9" x14ac:dyDescent="0.3">
      <c r="A44" s="12">
        <v>46058</v>
      </c>
      <c r="B44" s="12" t="s">
        <v>352</v>
      </c>
      <c r="C44" s="13" t="s">
        <v>63</v>
      </c>
      <c r="D44" s="15" t="s">
        <v>505</v>
      </c>
      <c r="E44" s="13" t="s">
        <v>518</v>
      </c>
      <c r="F44" s="13">
        <v>63735</v>
      </c>
      <c r="G44" s="13" t="str">
        <f t="shared" si="2"/>
        <v>FEBRERO</v>
      </c>
      <c r="H44" s="13">
        <f t="shared" si="3"/>
        <v>2026</v>
      </c>
      <c r="I44" s="13"/>
    </row>
    <row r="45" spans="1:9" x14ac:dyDescent="0.3">
      <c r="A45" s="12">
        <v>46059</v>
      </c>
      <c r="B45" s="12" t="s">
        <v>352</v>
      </c>
      <c r="C45" s="13" t="s">
        <v>63</v>
      </c>
      <c r="D45" s="15">
        <v>2.4</v>
      </c>
      <c r="E45" s="13" t="s">
        <v>514</v>
      </c>
      <c r="F45" s="13">
        <v>63809</v>
      </c>
      <c r="G45" s="13" t="str">
        <f t="shared" si="2"/>
        <v>FEBRERO</v>
      </c>
      <c r="H45" s="13">
        <f t="shared" si="3"/>
        <v>2026</v>
      </c>
      <c r="I45" s="13"/>
    </row>
    <row r="46" spans="1:9" x14ac:dyDescent="0.3">
      <c r="A46" s="12">
        <v>46059</v>
      </c>
      <c r="B46" s="12" t="s">
        <v>352</v>
      </c>
      <c r="C46" s="13" t="s">
        <v>63</v>
      </c>
      <c r="D46" s="15">
        <v>5.41</v>
      </c>
      <c r="E46" s="13" t="s">
        <v>515</v>
      </c>
      <c r="F46" s="13">
        <v>63785</v>
      </c>
      <c r="G46" s="13" t="str">
        <f t="shared" si="2"/>
        <v>FEBRERO</v>
      </c>
      <c r="H46" s="13">
        <f t="shared" si="3"/>
        <v>2026</v>
      </c>
      <c r="I46" s="13"/>
    </row>
    <row r="47" spans="1:9" x14ac:dyDescent="0.3">
      <c r="A47" s="12">
        <v>46059</v>
      </c>
      <c r="B47" s="12" t="s">
        <v>352</v>
      </c>
      <c r="C47" s="13" t="s">
        <v>376</v>
      </c>
      <c r="D47" s="15">
        <v>55.2</v>
      </c>
      <c r="E47" s="13" t="s">
        <v>555</v>
      </c>
      <c r="F47">
        <v>939548</v>
      </c>
      <c r="G47" s="13" t="str">
        <f t="shared" si="2"/>
        <v>FEBRERO</v>
      </c>
      <c r="H47" s="13">
        <f t="shared" si="3"/>
        <v>2026</v>
      </c>
      <c r="I47" s="13"/>
    </row>
    <row r="48" spans="1:9" x14ac:dyDescent="0.3">
      <c r="A48" s="12">
        <v>46060</v>
      </c>
      <c r="B48" s="12" t="s">
        <v>352</v>
      </c>
      <c r="C48" s="13" t="s">
        <v>63</v>
      </c>
      <c r="D48" s="15">
        <v>5.41</v>
      </c>
      <c r="E48" s="13" t="s">
        <v>513</v>
      </c>
      <c r="F48" s="13">
        <v>63871</v>
      </c>
      <c r="G48" s="13" t="str">
        <f t="shared" si="2"/>
        <v>FEBRERO</v>
      </c>
      <c r="H48" s="13">
        <f t="shared" si="3"/>
        <v>2026</v>
      </c>
      <c r="I48" s="13"/>
    </row>
    <row r="49" spans="1:9" x14ac:dyDescent="0.3">
      <c r="A49" s="12">
        <v>46063</v>
      </c>
      <c r="B49" s="12" t="s">
        <v>352</v>
      </c>
      <c r="C49" s="13" t="s">
        <v>63</v>
      </c>
      <c r="D49" s="15">
        <v>3.99</v>
      </c>
      <c r="E49" s="13" t="s">
        <v>509</v>
      </c>
      <c r="F49" s="13">
        <v>63974</v>
      </c>
      <c r="G49" s="13" t="str">
        <f t="shared" si="2"/>
        <v>FEBRERO</v>
      </c>
      <c r="H49" s="13">
        <f t="shared" si="3"/>
        <v>2026</v>
      </c>
      <c r="I49" s="13"/>
    </row>
    <row r="50" spans="1:9" x14ac:dyDescent="0.3">
      <c r="A50" s="12">
        <v>46065</v>
      </c>
      <c r="B50" s="12" t="s">
        <v>352</v>
      </c>
      <c r="C50" s="13" t="s">
        <v>63</v>
      </c>
      <c r="D50" s="15" t="s">
        <v>505</v>
      </c>
      <c r="E50" s="13" t="s">
        <v>506</v>
      </c>
      <c r="F50" s="13">
        <v>54053</v>
      </c>
      <c r="G50" s="13" t="str">
        <f t="shared" si="2"/>
        <v>FEBRERO</v>
      </c>
      <c r="H50" s="13">
        <f t="shared" si="3"/>
        <v>2026</v>
      </c>
      <c r="I50" s="13"/>
    </row>
    <row r="51" spans="1:9" x14ac:dyDescent="0.3">
      <c r="A51" s="12">
        <v>46065</v>
      </c>
      <c r="B51" s="12" t="s">
        <v>352</v>
      </c>
      <c r="C51" s="13" t="s">
        <v>63</v>
      </c>
      <c r="D51" s="15">
        <v>9.89</v>
      </c>
      <c r="E51" s="13" t="s">
        <v>508</v>
      </c>
      <c r="F51" s="13">
        <v>54058</v>
      </c>
      <c r="G51" s="13" t="str">
        <f t="shared" si="2"/>
        <v>FEBRERO</v>
      </c>
      <c r="H51" s="13">
        <f t="shared" si="3"/>
        <v>2026</v>
      </c>
      <c r="I51" s="13"/>
    </row>
    <row r="52" spans="1:9" x14ac:dyDescent="0.3">
      <c r="A52" s="12">
        <v>46067</v>
      </c>
      <c r="B52" s="12" t="s">
        <v>352</v>
      </c>
      <c r="C52" s="13" t="s">
        <v>63</v>
      </c>
      <c r="D52" s="15">
        <v>62.01</v>
      </c>
      <c r="E52" s="13" t="s">
        <v>507</v>
      </c>
      <c r="F52" s="13">
        <v>54142</v>
      </c>
      <c r="G52" s="13" t="str">
        <f t="shared" si="2"/>
        <v>FEBRERO</v>
      </c>
      <c r="H52" s="13">
        <f t="shared" si="3"/>
        <v>2026</v>
      </c>
      <c r="I52" s="13"/>
    </row>
    <row r="53" spans="1:9" x14ac:dyDescent="0.3">
      <c r="A53" s="12">
        <v>46067</v>
      </c>
      <c r="B53" s="12" t="s">
        <v>352</v>
      </c>
      <c r="C53" s="13" t="s">
        <v>63</v>
      </c>
      <c r="D53" s="15" t="s">
        <v>505</v>
      </c>
      <c r="E53" s="13" t="s">
        <v>111</v>
      </c>
      <c r="F53" s="13">
        <v>54142</v>
      </c>
      <c r="G53" s="13" t="str">
        <f t="shared" si="2"/>
        <v>FEBRERO</v>
      </c>
      <c r="H53" s="13">
        <f t="shared" si="3"/>
        <v>2026</v>
      </c>
      <c r="I53" s="13"/>
    </row>
    <row r="54" spans="1:9" x14ac:dyDescent="0.3">
      <c r="A54" s="12">
        <v>46071</v>
      </c>
      <c r="B54" s="12" t="s">
        <v>352</v>
      </c>
      <c r="C54" s="13" t="s">
        <v>376</v>
      </c>
      <c r="D54" s="15">
        <v>115</v>
      </c>
      <c r="E54" s="13" t="s">
        <v>556</v>
      </c>
      <c r="F54" s="13">
        <v>942678</v>
      </c>
      <c r="G54" s="13" t="str">
        <f t="shared" si="2"/>
        <v>FEBRERO</v>
      </c>
      <c r="H54" s="13">
        <f t="shared" si="3"/>
        <v>2026</v>
      </c>
      <c r="I54" s="13"/>
    </row>
    <row r="55" spans="1:9" x14ac:dyDescent="0.3">
      <c r="A55" s="12">
        <v>46072</v>
      </c>
      <c r="B55" s="12" t="s">
        <v>352</v>
      </c>
      <c r="C55" s="13" t="s">
        <v>63</v>
      </c>
      <c r="D55" s="15">
        <v>13.31</v>
      </c>
      <c r="E55" s="13" t="s">
        <v>512</v>
      </c>
      <c r="F55" s="13">
        <v>10013571</v>
      </c>
      <c r="G55" s="13" t="str">
        <f t="shared" si="2"/>
        <v>FEBRERO</v>
      </c>
      <c r="H55" s="13">
        <f t="shared" si="3"/>
        <v>2026</v>
      </c>
      <c r="I55" s="13"/>
    </row>
    <row r="56" spans="1:9" x14ac:dyDescent="0.3">
      <c r="A56" s="12">
        <v>46072</v>
      </c>
      <c r="B56" s="12" t="s">
        <v>353</v>
      </c>
      <c r="C56" s="13" t="s">
        <v>389</v>
      </c>
      <c r="D56" s="15">
        <v>46.21</v>
      </c>
      <c r="E56" s="13" t="s">
        <v>519</v>
      </c>
      <c r="F56" s="13">
        <v>81002</v>
      </c>
      <c r="G56" s="13" t="str">
        <f t="shared" si="2"/>
        <v>FEBRERO</v>
      </c>
      <c r="H56" s="13">
        <f t="shared" si="3"/>
        <v>2026</v>
      </c>
      <c r="I56" s="13"/>
    </row>
    <row r="57" spans="1:9" x14ac:dyDescent="0.3">
      <c r="A57" s="12">
        <v>46072</v>
      </c>
      <c r="B57" s="12" t="s">
        <v>353</v>
      </c>
      <c r="C57" s="13" t="s">
        <v>389</v>
      </c>
      <c r="D57" s="15">
        <v>51.21</v>
      </c>
      <c r="E57" s="13" t="s">
        <v>519</v>
      </c>
      <c r="F57" s="13">
        <v>81001</v>
      </c>
      <c r="G57" s="13" t="str">
        <f t="shared" si="2"/>
        <v>FEBRERO</v>
      </c>
      <c r="H57" s="13">
        <f t="shared" si="3"/>
        <v>2026</v>
      </c>
      <c r="I57" s="13"/>
    </row>
    <row r="58" spans="1:9" x14ac:dyDescent="0.3">
      <c r="A58" s="12">
        <v>46073</v>
      </c>
      <c r="B58" s="12" t="s">
        <v>352</v>
      </c>
      <c r="C58" s="13" t="s">
        <v>63</v>
      </c>
      <c r="D58" s="15">
        <v>22.1</v>
      </c>
      <c r="E58" s="13" t="s">
        <v>504</v>
      </c>
      <c r="F58" s="13">
        <v>10013590</v>
      </c>
      <c r="G58" s="13" t="str">
        <f t="shared" si="2"/>
        <v>FEBRERO</v>
      </c>
      <c r="H58" s="13">
        <f t="shared" si="3"/>
        <v>2026</v>
      </c>
      <c r="I58" s="13"/>
    </row>
    <row r="59" spans="1:9" x14ac:dyDescent="0.3">
      <c r="A59" s="12">
        <v>46073</v>
      </c>
      <c r="B59" s="12" t="s">
        <v>352</v>
      </c>
      <c r="C59" s="13" t="s">
        <v>63</v>
      </c>
      <c r="D59" s="15">
        <v>27</v>
      </c>
      <c r="E59" s="13" t="s">
        <v>510</v>
      </c>
      <c r="F59" s="13">
        <v>10013603</v>
      </c>
      <c r="G59" s="13" t="str">
        <f t="shared" si="2"/>
        <v>FEBRERO</v>
      </c>
      <c r="H59" s="13">
        <f t="shared" si="3"/>
        <v>2026</v>
      </c>
      <c r="I59" s="13"/>
    </row>
    <row r="60" spans="1:9" x14ac:dyDescent="0.3">
      <c r="A60" s="12">
        <v>46073</v>
      </c>
      <c r="B60" s="12" t="s">
        <v>352</v>
      </c>
      <c r="C60" s="13" t="s">
        <v>63</v>
      </c>
      <c r="D60" s="15">
        <v>11.01</v>
      </c>
      <c r="E60" s="13" t="s">
        <v>511</v>
      </c>
      <c r="F60" s="13">
        <v>10013604</v>
      </c>
      <c r="G60" s="13" t="str">
        <f t="shared" si="2"/>
        <v>FEBRERO</v>
      </c>
      <c r="H60" s="13">
        <f t="shared" si="3"/>
        <v>2026</v>
      </c>
      <c r="I60" s="13"/>
    </row>
    <row r="61" spans="1:9" x14ac:dyDescent="0.3">
      <c r="A61" s="73">
        <v>46074</v>
      </c>
      <c r="B61" s="12" t="s">
        <v>353</v>
      </c>
      <c r="C61" s="13" t="s">
        <v>390</v>
      </c>
      <c r="D61" s="15">
        <v>10</v>
      </c>
      <c r="E61" s="13" t="s">
        <v>521</v>
      </c>
      <c r="F61" s="13">
        <v>8565</v>
      </c>
      <c r="G61" s="13" t="str">
        <f t="shared" si="2"/>
        <v>FEBRERO</v>
      </c>
      <c r="H61" s="13">
        <f t="shared" si="3"/>
        <v>2026</v>
      </c>
      <c r="I61" s="13"/>
    </row>
    <row r="62" spans="1:9" x14ac:dyDescent="0.3">
      <c r="A62" s="12">
        <v>46077</v>
      </c>
      <c r="B62" s="12" t="s">
        <v>352</v>
      </c>
      <c r="C62" s="13" t="s">
        <v>376</v>
      </c>
      <c r="D62" s="15">
        <v>110.4</v>
      </c>
      <c r="E62" s="13" t="s">
        <v>557</v>
      </c>
      <c r="F62" s="13">
        <v>945145</v>
      </c>
      <c r="G62" s="13" t="str">
        <f t="shared" si="2"/>
        <v>FEBRERO</v>
      </c>
      <c r="H62" s="13">
        <f t="shared" si="3"/>
        <v>2026</v>
      </c>
      <c r="I62" s="13"/>
    </row>
    <row r="63" spans="1:9" x14ac:dyDescent="0.3">
      <c r="A63" s="12">
        <v>46079</v>
      </c>
      <c r="B63" s="12" t="s">
        <v>352</v>
      </c>
      <c r="C63" s="13" t="s">
        <v>63</v>
      </c>
      <c r="D63" s="15">
        <v>7.05</v>
      </c>
      <c r="E63" s="13" t="s">
        <v>520</v>
      </c>
      <c r="F63" s="13">
        <v>13684</v>
      </c>
      <c r="G63" s="13" t="str">
        <f t="shared" si="2"/>
        <v>FEBRERO</v>
      </c>
      <c r="H63" s="13">
        <f t="shared" si="3"/>
        <v>2026</v>
      </c>
      <c r="I63" s="13"/>
    </row>
    <row r="64" spans="1:9" x14ac:dyDescent="0.3">
      <c r="A64" s="12">
        <v>46079</v>
      </c>
      <c r="B64" s="12" t="s">
        <v>353</v>
      </c>
      <c r="C64" s="13" t="s">
        <v>389</v>
      </c>
      <c r="D64" s="15">
        <v>46.21</v>
      </c>
      <c r="E64" s="13" t="s">
        <v>558</v>
      </c>
      <c r="F64" s="13">
        <v>3798</v>
      </c>
      <c r="G64" s="13" t="str">
        <f t="shared" si="2"/>
        <v>FEBRERO</v>
      </c>
      <c r="H64" s="13">
        <f t="shared" si="3"/>
        <v>2026</v>
      </c>
      <c r="I64" s="13"/>
    </row>
    <row r="65" spans="1:9" x14ac:dyDescent="0.3">
      <c r="A65" s="12">
        <v>46079</v>
      </c>
      <c r="B65" s="12" t="s">
        <v>353</v>
      </c>
      <c r="C65" s="13" t="s">
        <v>389</v>
      </c>
      <c r="D65" s="15">
        <v>41.07</v>
      </c>
      <c r="E65" s="13" t="s">
        <v>559</v>
      </c>
      <c r="F65" s="13">
        <v>3800</v>
      </c>
      <c r="G65" s="13" t="str">
        <f t="shared" si="2"/>
        <v>FEBRERO</v>
      </c>
      <c r="H65" s="13">
        <f t="shared" si="3"/>
        <v>2026</v>
      </c>
      <c r="I65" s="13"/>
    </row>
    <row r="66" spans="1:9" x14ac:dyDescent="0.3">
      <c r="A66" s="12">
        <v>46079</v>
      </c>
      <c r="B66" s="12" t="s">
        <v>353</v>
      </c>
      <c r="C66" s="13" t="s">
        <v>389</v>
      </c>
      <c r="D66" s="15">
        <v>51.21</v>
      </c>
      <c r="E66" s="13" t="s">
        <v>560</v>
      </c>
      <c r="F66" s="13">
        <v>3797</v>
      </c>
      <c r="G66" s="13" t="str">
        <f t="shared" si="2"/>
        <v>FEBRERO</v>
      </c>
      <c r="H66" s="13">
        <f t="shared" si="3"/>
        <v>2026</v>
      </c>
      <c r="I66" s="13"/>
    </row>
    <row r="67" spans="1:9" x14ac:dyDescent="0.3">
      <c r="A67" s="12">
        <v>46079</v>
      </c>
      <c r="B67" s="12" t="s">
        <v>353</v>
      </c>
      <c r="C67" s="13" t="s">
        <v>389</v>
      </c>
      <c r="D67" s="15">
        <v>46.21</v>
      </c>
      <c r="E67" s="13" t="s">
        <v>561</v>
      </c>
      <c r="F67" s="13">
        <v>3799</v>
      </c>
      <c r="G67" s="13" t="str">
        <f t="shared" si="2"/>
        <v>FEBRERO</v>
      </c>
      <c r="H67" s="13">
        <f t="shared" si="3"/>
        <v>2026</v>
      </c>
      <c r="I67" s="13"/>
    </row>
    <row r="68" spans="1:9" x14ac:dyDescent="0.3">
      <c r="A68" s="12">
        <v>46083</v>
      </c>
      <c r="B68" s="12"/>
      <c r="C68" s="13"/>
      <c r="D68" s="15"/>
      <c r="E68" s="13"/>
      <c r="F68" s="13"/>
      <c r="G68" s="13" t="str">
        <f t="shared" si="2"/>
        <v>MARZO</v>
      </c>
      <c r="H68" s="13">
        <f t="shared" si="3"/>
        <v>2026</v>
      </c>
      <c r="I68" s="13"/>
    </row>
    <row r="69" spans="1:9" x14ac:dyDescent="0.3">
      <c r="A69" s="12">
        <v>46084</v>
      </c>
      <c r="B69" s="12" t="s">
        <v>352</v>
      </c>
      <c r="C69" s="13" t="s">
        <v>63</v>
      </c>
      <c r="D69" s="15">
        <v>23.9</v>
      </c>
      <c r="E69" s="13" t="s">
        <v>562</v>
      </c>
      <c r="F69" s="13">
        <v>64776</v>
      </c>
      <c r="G69" s="13" t="str">
        <f t="shared" si="2"/>
        <v>MARZO</v>
      </c>
      <c r="H69" s="13">
        <f t="shared" si="3"/>
        <v>2026</v>
      </c>
      <c r="I69" s="13"/>
    </row>
    <row r="70" spans="1:9" x14ac:dyDescent="0.3">
      <c r="A70" s="12">
        <v>46084</v>
      </c>
      <c r="B70" s="12"/>
      <c r="C70" s="13"/>
      <c r="D70" s="15"/>
      <c r="E70" s="13"/>
      <c r="F70" s="13"/>
      <c r="G70" s="13" t="str">
        <f t="shared" si="2"/>
        <v>MARZO</v>
      </c>
      <c r="H70" s="13">
        <f t="shared" si="3"/>
        <v>2026</v>
      </c>
      <c r="I70" s="13"/>
    </row>
    <row r="71" spans="1:9" x14ac:dyDescent="0.3">
      <c r="A71" s="12">
        <v>46085</v>
      </c>
      <c r="B71" s="12"/>
      <c r="C71" s="13"/>
      <c r="D71" s="15"/>
      <c r="E71" s="13"/>
      <c r="F71" s="13"/>
      <c r="G71" s="13" t="str">
        <f t="shared" si="2"/>
        <v>MARZO</v>
      </c>
      <c r="H71" s="13">
        <f t="shared" si="3"/>
        <v>2026</v>
      </c>
      <c r="I71" s="13"/>
    </row>
    <row r="72" spans="1:9" x14ac:dyDescent="0.3">
      <c r="A72" s="12">
        <v>46086</v>
      </c>
      <c r="B72" s="12"/>
      <c r="C72" s="13"/>
      <c r="D72" s="15"/>
      <c r="E72" s="13"/>
      <c r="F72" s="13"/>
      <c r="G72" s="13" t="str">
        <f t="shared" si="2"/>
        <v>MARZO</v>
      </c>
      <c r="H72" s="13">
        <f t="shared" si="3"/>
        <v>2026</v>
      </c>
      <c r="I72" s="13"/>
    </row>
    <row r="73" spans="1:9" x14ac:dyDescent="0.3">
      <c r="A73" s="73"/>
      <c r="H73">
        <v>2026</v>
      </c>
    </row>
    <row r="74" spans="1:9" x14ac:dyDescent="0.3">
      <c r="A74" s="73"/>
    </row>
    <row r="75" spans="1:9" x14ac:dyDescent="0.3">
      <c r="A75" s="73"/>
    </row>
    <row r="76" spans="1:9" x14ac:dyDescent="0.3">
      <c r="A76" s="73"/>
    </row>
    <row r="77" spans="1:9" x14ac:dyDescent="0.3">
      <c r="A77" s="73"/>
    </row>
    <row r="78" spans="1:9" x14ac:dyDescent="0.3">
      <c r="A78" s="73"/>
    </row>
    <row r="79" spans="1:9" x14ac:dyDescent="0.3">
      <c r="A79" s="73"/>
    </row>
    <row r="80" spans="1:9" x14ac:dyDescent="0.3">
      <c r="A80" s="73"/>
    </row>
  </sheetData>
  <mergeCells count="1">
    <mergeCell ref="E1:I1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7CB4943-ED86-4313-8CC1-8C7B20841883}">
          <x14:formula1>
            <xm:f>'CUENTAS CONTABLES'!$G$5:$G$11</xm:f>
          </x14:formula1>
          <xm:sqref>I4:I72</xm:sqref>
        </x14:dataValidation>
        <x14:dataValidation type="list" allowBlank="1" showInputMessage="1" showErrorMessage="1" xr:uid="{8620FF43-DE67-476D-B6AC-D554E7BA4EFD}">
          <x14:formula1>
            <xm:f>'CUENTAS CONTABLES'!$K$4:$K$7</xm:f>
          </x14:formula1>
          <xm:sqref>B4:B72</xm:sqref>
        </x14:dataValidation>
        <x14:dataValidation type="list" allowBlank="1" showInputMessage="1" showErrorMessage="1" xr:uid="{0CDDC51C-AF0D-41D6-BBAF-92F65C104A94}">
          <x14:formula1>
            <xm:f>'CUENTAS CONTABLES'!$I$5:$I$17</xm:f>
          </x14:formula1>
          <xm:sqref>C4:C72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92FD-9A7D-49BA-8BEC-150E627BCB0C}">
  <dimension ref="A1:N41"/>
  <sheetViews>
    <sheetView workbookViewId="0">
      <selection sqref="A1:F1"/>
    </sheetView>
  </sheetViews>
  <sheetFormatPr baseColWidth="10" defaultRowHeight="14.4" x14ac:dyDescent="0.3"/>
  <cols>
    <col min="2" max="2" width="13.88671875" customWidth="1"/>
  </cols>
  <sheetData>
    <row r="1" spans="1:14" ht="35.4" customHeight="1" x14ac:dyDescent="0.3">
      <c r="A1" s="76"/>
      <c r="B1" s="76"/>
      <c r="C1" s="76"/>
      <c r="D1" s="76"/>
      <c r="E1" s="76"/>
      <c r="F1" s="76"/>
    </row>
    <row r="3" spans="1:14" ht="14.4" customHeight="1" x14ac:dyDescent="0.3">
      <c r="A3" s="80" t="s">
        <v>8</v>
      </c>
      <c r="B3" s="82" t="s">
        <v>39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4" spans="1:14" ht="14.4" customHeight="1" x14ac:dyDescent="0.3">
      <c r="A4" s="81"/>
      <c r="B4" s="84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</row>
    <row r="5" spans="1:14" x14ac:dyDescent="0.3">
      <c r="A5" s="5">
        <v>2026</v>
      </c>
      <c r="B5" s="5" t="s">
        <v>56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  <c r="J5" s="6" t="s">
        <v>47</v>
      </c>
      <c r="K5" s="6" t="s">
        <v>48</v>
      </c>
      <c r="L5" s="6" t="s">
        <v>49</v>
      </c>
      <c r="M5" s="6" t="s">
        <v>50</v>
      </c>
      <c r="N5" s="6" t="s">
        <v>51</v>
      </c>
    </row>
    <row r="6" spans="1:14" x14ac:dyDescent="0.3">
      <c r="A6" s="7" t="s">
        <v>52</v>
      </c>
      <c r="B6" s="7" t="s">
        <v>18</v>
      </c>
      <c r="C6" s="7">
        <f>SUMIFS(Tabla5[INGRESO],Tabla5[MES],'RESUMEN 1'!C5,Tabla5[AÑO],'RESUMEN 1'!A5,Tabla5[TIPO DE PAGO],'RESUMEN 1'!B6)</f>
        <v>6101.86</v>
      </c>
      <c r="D6" s="7">
        <f>SUMIFS(Tabla5[INGRESO],Tabla5[MES],'RESUMEN 1'!D5,Tabla5[AÑO],'RESUMEN 1'!A5,Tabla5[TIPO DE PAGO],'RESUMEN 1'!B6)</f>
        <v>2220</v>
      </c>
      <c r="E6" s="7"/>
      <c r="F6" s="7"/>
      <c r="G6" s="7"/>
      <c r="H6" s="7"/>
      <c r="I6" s="7"/>
      <c r="J6" s="7"/>
      <c r="K6" s="7"/>
      <c r="L6" s="7">
        <f>SUMIFS(Tabla5[INGRESO],Tabla5[MES],'RESUMEN 1'!L5,Tabla5[AÑO],'RESUMEN 1'!A5,Tabla5[TIPO DE PAGO],'RESUMEN 1'!B6)</f>
        <v>0</v>
      </c>
      <c r="M6" s="7">
        <f>SUMIFS(Tabla5[INGRESO],Tabla5[MES],'RESUMEN 1'!M5,Tabla5[AÑO],'RESUMEN 1'!A5,Tabla5[TIPO DE PAGO],'RESUMEN 1'!B6)</f>
        <v>0</v>
      </c>
      <c r="N6" s="7"/>
    </row>
    <row r="7" spans="1:14" x14ac:dyDescent="0.3">
      <c r="A7" s="7" t="s">
        <v>52</v>
      </c>
      <c r="B7" s="7" t="s">
        <v>20</v>
      </c>
      <c r="C7" s="7">
        <f>SUMIFS(Tabla5[INGRESO],Tabla5[MES],'RESUMEN 1'!C5,Tabla5[AÑO],'RESUMEN 1'!A5,Tabla5[TIPO DE PAGO],'RESUMEN 1'!B7)</f>
        <v>0</v>
      </c>
      <c r="D7" s="7"/>
      <c r="E7" s="7"/>
      <c r="F7" s="7"/>
      <c r="G7" s="7"/>
      <c r="H7" s="7"/>
      <c r="I7" s="7"/>
      <c r="J7" s="7"/>
      <c r="K7" s="7"/>
      <c r="L7" s="7">
        <f>SUMIFS(Tabla5[INGRESO],Tabla5[MES],'RESUMEN 1'!L5,Tabla5[AÑO],'RESUMEN 1'!A5,Tabla5[TIPO DE PAGO],'RESUMEN 1'!B7)</f>
        <v>0</v>
      </c>
      <c r="M7" s="7">
        <f>SUMIFS(Tabla5[INGRESO],Tabla5[MES],'RESUMEN 1'!M5,Tabla5[AÑO],'RESUMEN 1'!A5,Tabla5[TIPO DE PAGO],'RESUMEN 1'!B7)</f>
        <v>0</v>
      </c>
      <c r="N7" s="7"/>
    </row>
    <row r="8" spans="1:14" x14ac:dyDescent="0.3">
      <c r="A8" s="7" t="s">
        <v>52</v>
      </c>
      <c r="B8" s="7" t="s">
        <v>83</v>
      </c>
      <c r="C8" s="7">
        <f>SUMIFS(Tabla5[INGRESO],Tabla5[MES],'RESUMEN 1'!C5,Tabla5[AÑO],'RESUMEN 1'!A5,Tabla5[TIPO DE PAGO],'RESUMEN 1'!B8)+SUMIFS(Tabla8[EGRESO],Tabla8[CUENTA],"DEPOSITO",Tabla8[DISTRIBUIDOR],'RESUMEN 1'!B8)</f>
        <v>50</v>
      </c>
      <c r="D8" s="7">
        <f>SUMIFS(Tabla5[INGRESO],Tabla5[MES],'RESUMEN 1'!D5,Tabla5[AÑO],'RESUMEN 1'!A5,Tabla5[TIPO DE PAGO],'RESUMEN 1'!B8)+SUMIFS(Tabla8[EGRESO],Tabla8[CUENTA],"DEPOSITO",Tabla8[DISTRIBUIDOR],'RESUMEN 1'!B8)</f>
        <v>396.76</v>
      </c>
      <c r="E8" s="7"/>
      <c r="F8" s="7"/>
      <c r="G8" s="7"/>
      <c r="H8" s="7"/>
      <c r="I8" s="7"/>
      <c r="J8" s="7"/>
      <c r="K8" s="7"/>
      <c r="L8" s="7">
        <f>SUMIFS(Tabla5[INGRESO],Tabla5[MES],'RESUMEN 1'!L5,Tabla5[AÑO],'RESUMEN 1'!A5,Tabla5[TIPO DE PAGO],'RESUMEN 1'!B8)</f>
        <v>0</v>
      </c>
      <c r="M8" s="7">
        <f>SUMIFS(Tabla5[INGRESO],Tabla5[MES],'RESUMEN 1'!M5,Tabla5[AÑO],'RESUMEN 1'!A5,Tabla5[TIPO DE PAGO],'RESUMEN 1'!B8)</f>
        <v>0</v>
      </c>
      <c r="N8" s="7"/>
    </row>
    <row r="9" spans="1:14" ht="14.4" customHeight="1" x14ac:dyDescent="0.3">
      <c r="A9" s="7" t="s">
        <v>52</v>
      </c>
      <c r="B9" s="7" t="s">
        <v>27</v>
      </c>
      <c r="C9" s="69">
        <f>SUMIFS(Tabla5[INGRESO],Tabla5[MES],'RESUMEN 1'!C5,Tabla5[AÑO],'RESUMEN 1'!A5,Tabla5[TIPO DE PAGO],'RESUMEN 1'!B9)+SUMIFS(Tabla8[EGRESO],Tabla8[CUENTA],"DEPOSITO",Tabla8[DISTRIBUIDOR],'RESUMEN 1'!B9)</f>
        <v>1891.59</v>
      </c>
      <c r="D9" s="7">
        <f>SUMIFS(Tabla5[INGRESO],Tabla5[MES],'RESUMEN 1'!D5,Tabla5[AÑO],'RESUMEN 1'!A5,Tabla5[TIPO DE PAGO],'RESUMEN 1'!B9)+SUMIFS(Tabla8[EGRESO],Tabla8[CUENTA],"DEPOSITO",Tabla8[DISTRIBUIDOR],'RESUMEN 1'!B9)</f>
        <v>1534.43</v>
      </c>
      <c r="E9" s="7"/>
      <c r="F9" s="7"/>
      <c r="G9" s="7"/>
      <c r="H9" s="7"/>
      <c r="I9" s="7"/>
      <c r="J9" s="7"/>
      <c r="K9" s="7"/>
      <c r="L9" s="7">
        <f>SUMIFS(Tabla5[INGRESO],Tabla5[MES],'RESUMEN 1'!L5,Tabla5[AÑO],'RESUMEN 1'!A5,Tabla5[TIPO DE PAGO],'RESUMEN 1'!B9)</f>
        <v>0</v>
      </c>
      <c r="M9" s="7">
        <f>SUMIFS(Tabla5[INGRESO],Tabla5[MES],'RESUMEN 1'!M5,Tabla5[AÑO],'RESUMEN 1'!A5,Tabla5[TIPO DE PAGO],'RESUMEN 1'!B9)</f>
        <v>0</v>
      </c>
      <c r="N9" s="7"/>
    </row>
    <row r="10" spans="1:14" ht="14.4" customHeight="1" x14ac:dyDescent="0.3">
      <c r="A10" s="7" t="s">
        <v>52</v>
      </c>
      <c r="B10" s="7" t="s">
        <v>30</v>
      </c>
      <c r="C10" s="69">
        <f>SUMIFS(Tabla5[INGRESO],Tabla5[MES],'RESUMEN 1'!C5,Tabla5[AÑO],'RESUMEN 1'!A5,Tabla5[TIPO DE PAGO],'RESUMEN 1'!B10)+SUMIFS(Tabla8[EGRESO],Tabla8[CUENTA],"DEPOSITO",Tabla8[DISTRIBUIDOR],'RESUMEN 1'!B10)</f>
        <v>0</v>
      </c>
      <c r="D10" s="7"/>
      <c r="E10" s="7"/>
      <c r="F10" s="7"/>
      <c r="G10" s="7"/>
      <c r="H10" s="7"/>
      <c r="I10" s="7"/>
      <c r="J10" s="7"/>
      <c r="K10" s="7"/>
      <c r="L10" s="7">
        <f>SUMIFS(Tabla5[INGRESO],Tabla5[MES],'RESUMEN 1'!L5,Tabla5[AÑO],'RESUMEN 1'!A5,Tabla5[TIPO DE PAGO],'RESUMEN 1'!B10)</f>
        <v>0</v>
      </c>
      <c r="M10" s="7">
        <f>SUMIFS(Tabla5[INGRESO],Tabla5[MES],'RESUMEN 1'!M5,Tabla5[AÑO],'RESUMEN 1'!A5,Tabla5[TIPO DE PAGO],'RESUMEN 1'!B10)</f>
        <v>0</v>
      </c>
      <c r="N10" s="7"/>
    </row>
    <row r="11" spans="1:14" ht="14.4" customHeight="1" x14ac:dyDescent="0.3">
      <c r="A11" s="7" t="s">
        <v>52</v>
      </c>
      <c r="B11" s="7" t="s">
        <v>32</v>
      </c>
      <c r="C11" s="69">
        <f>SUMIFS(Tabla5[INGRESO],Tabla5[MES],'RESUMEN 1'!C5,Tabla5[AÑO],'RESUMEN 1'!A5,Tabla5[TIPO DE PAGO],'RESUMEN 1'!B11)+SUMIFS(Tabla8[EGRESO],Tabla8[CUENTA],"DEPOSITO",Tabla8[DISTRIBUIDOR],'RESUMEN 1'!B11)</f>
        <v>0</v>
      </c>
      <c r="D11" s="7"/>
      <c r="E11" s="7"/>
      <c r="F11" s="7"/>
      <c r="G11" s="7"/>
      <c r="H11" s="7"/>
      <c r="I11" s="7"/>
      <c r="J11" s="7"/>
      <c r="K11" s="7"/>
      <c r="L11" s="7">
        <f>SUMIFS(Tabla5[DESCRIPCION],Tabla5[AÑO],'RESUMEN 1'!L5,Tabla5[FECHA],'RESUMEN 1'!A5,Tabla5[MES],'RESUMEN 1'!B11)</f>
        <v>0</v>
      </c>
      <c r="M11" s="7">
        <f>SUMIFS(Tabla5[DESCRIPCION],Tabla5[AÑO],'RESUMEN 1'!M5,Tabla5[FECHA],'RESUMEN 1'!A5,Tabla5[MES],'RESUMEN 1'!B11)</f>
        <v>0</v>
      </c>
      <c r="N11" s="7"/>
    </row>
    <row r="12" spans="1:14" ht="14.4" customHeight="1" x14ac:dyDescent="0.3">
      <c r="A12" s="7" t="s">
        <v>52</v>
      </c>
      <c r="B12" s="7" t="s">
        <v>84</v>
      </c>
      <c r="C12" s="69">
        <f>SUMIFS(Tabla5[INGRESO],Tabla5[MES],'RESUMEN 1'!C5,Tabla5[AÑO],'RESUMEN 1'!A5,Tabla5[TIPO DE PAGO],'RESUMEN 1'!B12)+SUMIFS(Tabla8[EGRESO],Tabla8[CUENTA],"DEPOSITO",Tabla8[DISTRIBUIDOR],'RESUMEN 1'!B12)</f>
        <v>0</v>
      </c>
      <c r="D12" s="7"/>
      <c r="E12" s="7"/>
      <c r="F12" s="7"/>
      <c r="G12" s="7"/>
      <c r="H12" s="7"/>
      <c r="I12" s="7"/>
      <c r="J12" s="7"/>
      <c r="K12" s="7"/>
      <c r="L12" s="7">
        <f>SUMIFS(Tabla5[INGRESO],Tabla5[MES],'RESUMEN 1'!L5,Tabla5[AÑO],'RESUMEN 1'!A5,Tabla5[TIPO DE PAGO],'RESUMEN 1'!B12)</f>
        <v>0</v>
      </c>
      <c r="M12" s="7">
        <f>SUMIFS(Tabla5[INGRESO],Tabla5[MES],'RESUMEN 1'!M5,Tabla5[AÑO],'RESUMEN 1'!A5,Tabla5[TIPO DE PAGO],'RESUMEN 1'!B12)</f>
        <v>0</v>
      </c>
      <c r="N12" s="7"/>
    </row>
    <row r="13" spans="1:14" ht="14.4" customHeight="1" x14ac:dyDescent="0.3"/>
    <row r="15" spans="1:14" x14ac:dyDescent="0.3">
      <c r="A15" s="8" t="s">
        <v>53</v>
      </c>
      <c r="B15" s="8" t="s">
        <v>18</v>
      </c>
      <c r="C15" s="8">
        <f>SUMIFS(Tabla8[EGRESO],Tabla8[MES],'RESUMEN 1'!C5,Tabla8[AÑO],'RESUMEN 1'!A5,Tabla8[TIPO DE PAGO],'RESUMEN 1'!B15)</f>
        <v>1758.1499999999994</v>
      </c>
      <c r="D15" s="8">
        <f>SUMIFS(Tabla8[EGRESO],Tabla8[MES],'RESUMEN 1'!D5,Tabla8[AÑO],'RESUMEN 1'!A5,Tabla8[TIPO DE PAGO],'RESUMEN 1'!B15)</f>
        <v>1543.1299999999997</v>
      </c>
      <c r="E15" s="8"/>
      <c r="F15" s="8"/>
      <c r="G15" s="8"/>
      <c r="H15" s="8"/>
      <c r="I15" s="8"/>
      <c r="J15" s="8"/>
      <c r="K15" s="8"/>
      <c r="L15" s="8">
        <f>SUMIFS(Tabla8[EGRESO],Tabla8[MES],'RESUMEN 1'!L5,Tabla8[AÑO],'RESUMEN 1'!A5,Tabla8[TIPO DE PAGO],'RESUMEN 1'!B15)</f>
        <v>0</v>
      </c>
      <c r="M15" s="8">
        <f>SUMIFS(Tabla8[EGRESO],Tabla8[MES],'RESUMEN 1'!M5,Tabla8[AÑO],'RESUMEN 1'!A5,Tabla8[TIPO DE PAGO],'RESUMEN 1'!B15)</f>
        <v>0</v>
      </c>
      <c r="N15" s="8"/>
    </row>
    <row r="16" spans="1:14" x14ac:dyDescent="0.3">
      <c r="A16" s="8" t="s">
        <v>53</v>
      </c>
      <c r="B16" s="8" t="s">
        <v>20</v>
      </c>
      <c r="C16" s="8"/>
      <c r="D16" s="8"/>
      <c r="E16" s="8"/>
      <c r="F16" s="8"/>
      <c r="G16" s="8"/>
      <c r="H16" s="8"/>
      <c r="I16" s="8"/>
      <c r="J16" s="8"/>
      <c r="K16" s="8"/>
      <c r="L16" s="8">
        <f>SUMIFS(Tabla8[EGRESO],Tabla8[MES],'RESUMEN 1'!L5,Tabla8[AÑO],'RESUMEN 1'!A5,Tabla8[TIPO DE PAGO],'RESUMEN 1'!B16)</f>
        <v>0</v>
      </c>
      <c r="M16" s="8">
        <f>SUMIFS(Tabla8[EGRESO],Tabla8[MES],'RESUMEN 1'!M5,Tabla8[AÑO],'RESUMEN 1'!A5,Tabla8[TIPO DE PAGO],'RESUMEN 1'!B16)</f>
        <v>0</v>
      </c>
      <c r="N16" s="8"/>
    </row>
    <row r="17" spans="1:14" x14ac:dyDescent="0.3">
      <c r="A17" s="8" t="s">
        <v>53</v>
      </c>
      <c r="B17" s="8" t="s">
        <v>83</v>
      </c>
      <c r="C17" s="8">
        <f>SUMIFS(Tabla8[EGRESO],Tabla8[MES],'RESUMEN 1'!C5,Tabla8[AÑO],'RESUMEN 1'!A5,Tabla8[TIPO DE PAGO],'RESUMEN 1'!B17)</f>
        <v>0</v>
      </c>
      <c r="D17" s="8"/>
      <c r="E17" s="8"/>
      <c r="F17" s="8"/>
      <c r="G17" s="8"/>
      <c r="H17" s="8"/>
      <c r="I17" s="8"/>
      <c r="J17" s="8"/>
      <c r="K17" s="8"/>
      <c r="L17" s="8">
        <f>SUMIFS(Tabla8[EGRESO],Tabla8[MES],'RESUMEN 1'!L5,Tabla8[AÑO],'RESUMEN 1'!A5,Tabla8[TIPO DE PAGO],'RESUMEN 1'!B17)</f>
        <v>0</v>
      </c>
      <c r="M17" s="8">
        <f>SUMIFS(Tabla8[EGRESO],Tabla8[MES],'RESUMEN 1'!M5,Tabla8[AÑO],'RESUMEN 1'!A5,Tabla8[TIPO DE PAGO],'RESUMEN 1'!B17)</f>
        <v>0</v>
      </c>
      <c r="N17" s="8"/>
    </row>
    <row r="18" spans="1:14" x14ac:dyDescent="0.3">
      <c r="A18" s="8" t="s">
        <v>53</v>
      </c>
      <c r="B18" s="8" t="s">
        <v>27</v>
      </c>
      <c r="C18" s="8">
        <f>SUMIFS(Tabla8[EGRESO],Tabla8[MES],'RESUMEN 1'!C5,Tabla8[AÑO],'RESUMEN 1'!A5,Tabla8[TIPO DE PAGO],'RESUMEN 1'!B18)</f>
        <v>2080.8300000000004</v>
      </c>
      <c r="D18" s="8"/>
      <c r="E18" s="8"/>
      <c r="F18" s="8"/>
      <c r="G18" s="8"/>
      <c r="H18" s="8"/>
      <c r="I18" s="8"/>
      <c r="J18" s="8"/>
      <c r="K18" s="8"/>
      <c r="L18" s="8">
        <f>SUMIFS(Tabla8[EGRESO],Tabla8[MES],'RESUMEN 1'!L5,Tabla8[AÑO],'RESUMEN 1'!A5,Tabla8[TIPO DE PAGO],'RESUMEN 1'!B18)</f>
        <v>0</v>
      </c>
      <c r="M18" s="8">
        <f>SUMIFS(Tabla8[EGRESO],Tabla8[MES],'RESUMEN 1'!M5,Tabla8[AÑO],'RESUMEN 1'!A5,Tabla8[TIPO DE PAGO],'RESUMEN 1'!B18)</f>
        <v>0</v>
      </c>
      <c r="N18" s="8"/>
    </row>
    <row r="19" spans="1:14" x14ac:dyDescent="0.3">
      <c r="A19" s="8" t="s">
        <v>53</v>
      </c>
      <c r="B19" s="8" t="s">
        <v>30</v>
      </c>
      <c r="C19" s="8"/>
      <c r="D19" s="8"/>
      <c r="E19" s="8"/>
      <c r="F19" s="8"/>
      <c r="G19" s="8"/>
      <c r="H19" s="8"/>
      <c r="I19" s="8"/>
      <c r="J19" s="8"/>
      <c r="K19" s="8"/>
      <c r="L19" s="8">
        <f>SUMIFS(Tabla8[EGRESO],Tabla8[MES],'RESUMEN 1'!L5,Tabla8[AÑO],'RESUMEN 1'!A5,Tabla8[TIPO DE PAGO],'RESUMEN 1'!B19)</f>
        <v>0</v>
      </c>
      <c r="M19" s="8">
        <f>SUMIFS(Tabla8[EGRESO],Tabla8[MES],'RESUMEN 1'!M5,Tabla8[AÑO],'RESUMEN 1'!A5,Tabla8[TIPO DE PAGO],'RESUMEN 1'!B19)</f>
        <v>0</v>
      </c>
      <c r="N19" s="8"/>
    </row>
    <row r="20" spans="1:14" x14ac:dyDescent="0.3">
      <c r="A20" s="8" t="s">
        <v>53</v>
      </c>
      <c r="B20" s="8" t="s">
        <v>32</v>
      </c>
      <c r="C20" s="8"/>
      <c r="D20" s="8"/>
      <c r="E20" s="8"/>
      <c r="F20" s="8"/>
      <c r="G20" s="8"/>
      <c r="H20" s="8"/>
      <c r="I20" s="8"/>
      <c r="J20" s="8"/>
      <c r="K20" s="8"/>
      <c r="L20" s="8">
        <f>SUMIFS(Tabla8[EGRESO],Tabla8[MES],'RESUMEN 1'!L5,Tabla8[AÑO],'RESUMEN 1'!A5,Tabla8[TIPO DE PAGO],'RESUMEN 1'!B20)</f>
        <v>0</v>
      </c>
      <c r="M20" s="8">
        <f>SUMIFS(Tabla8[EGRESO],Tabla8[MES],'RESUMEN 1'!M5,Tabla8[AÑO],'RESUMEN 1'!A5,Tabla8[TIPO DE PAGO],'RESUMEN 1'!B20)</f>
        <v>0</v>
      </c>
      <c r="N20" s="8"/>
    </row>
    <row r="21" spans="1:14" x14ac:dyDescent="0.3">
      <c r="A21" s="8" t="s">
        <v>53</v>
      </c>
      <c r="B21" s="8" t="s">
        <v>84</v>
      </c>
      <c r="C21" s="8"/>
      <c r="D21" s="8"/>
      <c r="E21" s="8"/>
      <c r="F21" s="8"/>
      <c r="G21" s="8"/>
      <c r="H21" s="8"/>
      <c r="I21" s="8"/>
      <c r="J21" s="8"/>
      <c r="K21" s="8"/>
      <c r="L21" s="8">
        <f>SUMIFS(Tabla8[EGRESO],Tabla8[MES],'RESUMEN 1'!L5,Tabla8[AÑO],'RESUMEN 1'!A5,Tabla8[TIPO DE PAGO],'RESUMEN 1'!B21)</f>
        <v>0</v>
      </c>
      <c r="M21" s="8">
        <f>SUMIFS(Tabla8[EGRESO],Tabla8[MES],'RESUMEN 1'!M5,Tabla8[AÑO],'RESUMEN 1'!A5,Tabla8[TIPO DE PAGO],'RESUMEN 1'!B21)</f>
        <v>0</v>
      </c>
      <c r="N21" s="8"/>
    </row>
    <row r="22" spans="1:14" x14ac:dyDescent="0.3">
      <c r="A22" s="8" t="s">
        <v>53</v>
      </c>
      <c r="B22" s="8" t="s">
        <v>68</v>
      </c>
      <c r="C22" s="8">
        <f>SUMIFS(Tabla8[EGRESO],Tabla8[MES],'RESUMEN 1'!C5,Tabla8[AÑO],'RESUMEN 1'!A5,Tabla8[CUENTA],'RESUMEN 1'!B22)</f>
        <v>55</v>
      </c>
      <c r="D22" s="8">
        <f>SUMIFS(Tabla8[EGRESO],Tabla8[MES],'RESUMEN 1'!D5,Tabla8[AÑO],'RESUMEN 1'!A5,Tabla8[CUENTA],'RESUMEN 1'!B22)</f>
        <v>50</v>
      </c>
      <c r="E22" s="8"/>
      <c r="F22" s="8"/>
      <c r="G22" s="8"/>
      <c r="H22" s="8"/>
      <c r="I22" s="8"/>
      <c r="J22" s="8"/>
      <c r="K22" s="8"/>
      <c r="L22" s="8">
        <f>SUMIFS(Tabla8[EGRESO],Tabla8[MES],'RESUMEN 1'!L6,Tabla8[AÑO],'RESUMEN 1'!A6,Tabla8[TIPO DE PAGO],'RESUMEN 1'!B22)</f>
        <v>0</v>
      </c>
      <c r="M22" s="8">
        <f>SUMIFS(Tabla8[EGRESO],Tabla8[MES],'RESUMEN 1'!M6,Tabla8[AÑO],'RESUMEN 1'!A6,Tabla8[TIPO DE PAGO],'RESUMEN 1'!B22)</f>
        <v>0</v>
      </c>
      <c r="N22" s="8"/>
    </row>
    <row r="23" spans="1:14" x14ac:dyDescent="0.3">
      <c r="A23" s="8" t="s">
        <v>53</v>
      </c>
      <c r="B23" s="8" t="s">
        <v>69</v>
      </c>
      <c r="C23" s="8">
        <f>SUMIFS(Tabla8[EGRESO],Tabla8[MES],'RESUMEN 1'!C5,Tabla8[AÑO],'RESUMEN 1'!A5,Tabla8[CUENTA],'RESUMEN 1'!B23)</f>
        <v>181.34</v>
      </c>
      <c r="D23" s="8">
        <f>SUMIFS(Tabla8[EGRESO],Tabla8[MES],'RESUMEN 1'!D5,Tabla8[AÑO],'RESUMEN 1'!A5,Tabla8[CUENTA],'RESUMEN 1'!B23)</f>
        <v>194.5</v>
      </c>
      <c r="E23" s="8"/>
      <c r="F23" s="8"/>
      <c r="G23" s="8"/>
      <c r="H23" s="8"/>
      <c r="I23" s="8"/>
      <c r="J23" s="8"/>
      <c r="K23" s="8"/>
      <c r="L23" s="8">
        <f>SUMIFS(Tabla8[EGRESO],Tabla8[MES],'RESUMEN 1'!L7,Tabla8[AÑO],'RESUMEN 1'!A7,Tabla8[TIPO DE PAGO],'RESUMEN 1'!B23)</f>
        <v>0</v>
      </c>
      <c r="M23" s="8">
        <f>SUMIFS(Tabla8[EGRESO],Tabla8[MES],'RESUMEN 1'!M7,Tabla8[AÑO],'RESUMEN 1'!A7,Tabla8[TIPO DE PAGO],'RESUMEN 1'!B23)</f>
        <v>0</v>
      </c>
      <c r="N23" s="8"/>
    </row>
    <row r="26" spans="1:14" x14ac:dyDescent="0.3">
      <c r="A26" s="74" t="s">
        <v>352</v>
      </c>
      <c r="B26" s="74" t="s">
        <v>63</v>
      </c>
      <c r="C26" s="74">
        <f>SUMIFS(Tabla6[TOTAL],Tabla6[MES],'RESUMEN 1'!C5,Tabla6[AÑO],'RESUMEN 1'!A5,Tabla6[DISTRIBUIDOR],'RESUMEN 1'!B26)</f>
        <v>433.51</v>
      </c>
      <c r="D26" s="74">
        <f>SUMIFS(Tabla6[TOTAL],Tabla6[MES],'RESUMEN 1'!D5,Tabla6[AÑO],'RESUMEN 1'!A5,Tabla6[DISTRIBUIDOR],'RESUMEN 1'!B26)</f>
        <v>212.58999999999997</v>
      </c>
      <c r="E26" s="74">
        <f>SUMIFS(Tabla6[TOTAL],Tabla6[MES],'RESUMEN 1'!E5,Tabla6[AÑO],'RESUMEN 1'!A5,Tabla6[DISTRIBUIDOR],'RESUMEN 1'!B26)</f>
        <v>23.9</v>
      </c>
      <c r="F26" s="74">
        <f>SUMIFS(Tabla6[TOTAL],Tabla6[MES],'RESUMEN 1'!F5,Tabla6[AÑO],'RESUMEN 1'!A5,Tabla6[DISTRIBUIDOR],'RESUMEN 1'!B26)</f>
        <v>0</v>
      </c>
      <c r="G26" s="74">
        <f>SUMIFS(Tabla6[TOTAL],Tabla6[MES],'RESUMEN 1'!G5,Tabla6[AÑO],'RESUMEN 1'!A5,Tabla6[DISTRIBUIDOR],'RESUMEN 1'!B26)</f>
        <v>0</v>
      </c>
      <c r="H26" s="74">
        <f>SUMIFS(Tabla6[TOTAL],Tabla6[MES],'RESUMEN 1'!H5,Tabla6[AÑO],'RESUMEN 1'!A5,Tabla6[DISTRIBUIDOR],'RESUMEN 1'!B26)</f>
        <v>0</v>
      </c>
      <c r="I26" s="74">
        <f>SUMIFS(Tabla6[TOTAL],Tabla6[MES],'RESUMEN 1'!I5,Tabla6[AÑO],'RESUMEN 1'!A5,Tabla6[DISTRIBUIDOR],'RESUMEN 1'!B26)</f>
        <v>0</v>
      </c>
      <c r="J26" s="74">
        <f>SUMIFS(Tabla6[TOTAL],Tabla6[MES],'RESUMEN 1'!J5,Tabla6[AÑO],'RESUMEN 1'!A5,Tabla6[DISTRIBUIDOR],'RESUMEN 1'!B26)</f>
        <v>0</v>
      </c>
      <c r="K26" s="74">
        <f>SUMIFS(Tabla6[TOTAL],Tabla6[MES],'RESUMEN 1'!K5,Tabla6[AÑO],'RESUMEN 1'!A5,Tabla6[DISTRIBUIDOR],'RESUMEN 1'!B26)</f>
        <v>0</v>
      </c>
      <c r="L26" s="74">
        <f>SUMIFS(Tabla6[TOTAL],Tabla6[MES],'RESUMEN 1'!L5,Tabla6[AÑO],'RESUMEN 1'!A5,Tabla6[DISTRIBUIDOR],'RESUMEN 1'!B26)</f>
        <v>0</v>
      </c>
      <c r="M26" s="74">
        <f>SUMIFS(Tabla6[TOTAL],Tabla6[MES],'RESUMEN 1'!M5,Tabla6[AÑO],'RESUMEN 1'!A5,Tabla6[DISTRIBUIDOR],'RESUMEN 1'!B26)</f>
        <v>0</v>
      </c>
      <c r="N26" s="74">
        <f>SUMIFS(Tabla6[TOTAL],Tabla6[MES],'RESUMEN 1'!N5,Tabla6[AÑO],'RESUMEN 1'!A5,Tabla6[DISTRIBUIDOR],'RESUMEN 1'!B26)</f>
        <v>0</v>
      </c>
    </row>
    <row r="27" spans="1:14" x14ac:dyDescent="0.3">
      <c r="A27" s="74" t="s">
        <v>352</v>
      </c>
      <c r="B27" s="74" t="s">
        <v>376</v>
      </c>
      <c r="C27" s="74">
        <f>SUMIFS(Tabla6[TOTAL],Tabla6[MES],'RESUMEN 1'!C5,Tabla6[AÑO],'RESUMEN 1'!A5,Tabla6[DISTRIBUIDOR],'RESUMEN 1'!B27)</f>
        <v>480.59000000000003</v>
      </c>
      <c r="D27" s="74">
        <f>SUMIFS(Tabla6[TOTAL],Tabla6[MES],'RESUMEN 1'!D5,Tabla6[AÑO],'RESUMEN 1'!A5,Tabla6[DISTRIBUIDOR],'RESUMEN 1'!B27)</f>
        <v>280.60000000000002</v>
      </c>
      <c r="E27" s="74">
        <f>SUMIFS(Tabla6[TOTAL],Tabla6[MES],'RESUMEN 1'!E5,Tabla6[AÑO],'RESUMEN 1'!A5,Tabla6[DISTRIBUIDOR],'RESUMEN 1'!B27)</f>
        <v>0</v>
      </c>
      <c r="F27" s="74">
        <f>SUMIFS(Tabla6[TOTAL],Tabla6[MES],'RESUMEN 1'!F5,Tabla6[AÑO],'RESUMEN 1'!A5,Tabla6[DISTRIBUIDOR],'RESUMEN 1'!B27)</f>
        <v>0</v>
      </c>
      <c r="G27" s="74">
        <f>SUMIFS(Tabla6[TOTAL],Tabla6[MES],'RESUMEN 1'!G5,Tabla6[AÑO],'RESUMEN 1'!A5,Tabla6[DISTRIBUIDOR],'RESUMEN 1'!B27)</f>
        <v>0</v>
      </c>
      <c r="H27" s="74">
        <f>SUMIFS(Tabla6[TOTAL],Tabla6[MES],'RESUMEN 1'!H5,Tabla6[AÑO],'RESUMEN 1'!A5,Tabla6[DISTRIBUIDOR],'RESUMEN 1'!B27)</f>
        <v>0</v>
      </c>
      <c r="I27" s="74">
        <f>SUMIFS(Tabla6[TOTAL],Tabla6[MES],'RESUMEN 1'!I5,Tabla6[AÑO],'RESUMEN 1'!A5,Tabla6[DISTRIBUIDOR],'RESUMEN 1'!B27)</f>
        <v>0</v>
      </c>
      <c r="J27" s="74">
        <f>SUMIFS(Tabla6[TOTAL],Tabla6[MES],'RESUMEN 1'!J5,Tabla6[AÑO],'RESUMEN 1'!A5,Tabla6[DISTRIBUIDOR],'RESUMEN 1'!B27)</f>
        <v>0</v>
      </c>
      <c r="K27" s="74">
        <f>SUMIFS(Tabla6[TOTAL],Tabla6[MES],'RESUMEN 1'!K5,Tabla6[AÑO],'RESUMEN 1'!A5,Tabla6[DISTRIBUIDOR],'RESUMEN 1'!B27)</f>
        <v>0</v>
      </c>
      <c r="L27" s="74">
        <f>SUMIFS(Tabla6[TOTAL],Tabla6[MES],'RESUMEN 1'!L5,Tabla6[AÑO],'RESUMEN 1'!A5,Tabla6[DISTRIBUIDOR],'RESUMEN 1'!B27)</f>
        <v>0</v>
      </c>
      <c r="M27" s="74">
        <f>SUMIFS(Tabla6[TOTAL],Tabla6[MES],'RESUMEN 1'!M5,Tabla6[AÑO],'RESUMEN 1'!A5,Tabla6[DISTRIBUIDOR],'RESUMEN 1'!B27)</f>
        <v>0</v>
      </c>
      <c r="N27" s="74">
        <f>SUMIFS(Tabla6[TOTAL],Tabla6[MES],'RESUMEN 1'!N5,Tabla6[AÑO],'RESUMEN 1'!A5,Tabla6[DISTRIBUIDOR],'RESUMEN 1'!B27)</f>
        <v>0</v>
      </c>
    </row>
    <row r="28" spans="1:14" x14ac:dyDescent="0.3">
      <c r="A28" s="74" t="s">
        <v>352</v>
      </c>
      <c r="B28" s="74" t="s">
        <v>389</v>
      </c>
      <c r="C28" s="74">
        <f>SUMIFS(Tabla6[TOTAL],Tabla6[MES],'RESUMEN 1'!C5,Tabla6[AÑO],'RESUMEN 1'!A5,Tabla6[DISTRIBUIDOR],'RESUMEN 1'!B28)</f>
        <v>302.44</v>
      </c>
      <c r="D28" s="74">
        <f>SUMIFS(Tabla6[TOTAL],Tabla6[MES],'RESUMEN 1'!D5,Tabla6[AÑO],'RESUMEN 1'!A5,Tabla6[DISTRIBUIDOR],'RESUMEN 1'!B28)</f>
        <v>282.12</v>
      </c>
      <c r="E28" s="74">
        <f>SUMIFS(Tabla6[TOTAL],Tabla6[MES],'RESUMEN 1'!E5,Tabla6[AÑO],'RESUMEN 1'!A5,Tabla6[DISTRIBUIDOR],'RESUMEN 1'!B28)</f>
        <v>0</v>
      </c>
      <c r="F28" s="74">
        <f>SUMIFS(Tabla6[TOTAL],Tabla6[MES],'RESUMEN 1'!F5,Tabla6[AÑO],'RESUMEN 1'!A5,Tabla6[DISTRIBUIDOR],'RESUMEN 1'!B28)</f>
        <v>0</v>
      </c>
      <c r="G28" s="74">
        <f>SUMIFS(Tabla6[TOTAL],Tabla6[MES],'RESUMEN 1'!G5,Tabla6[AÑO],'RESUMEN 1'!A5,Tabla6[DISTRIBUIDOR],'RESUMEN 1'!B28)</f>
        <v>0</v>
      </c>
      <c r="H28" s="74">
        <f>SUMIFS(Tabla6[TOTAL],Tabla6[MES],'RESUMEN 1'!H5,Tabla6[AÑO],'RESUMEN 1'!A5,Tabla6[DISTRIBUIDOR],'RESUMEN 1'!B28)</f>
        <v>0</v>
      </c>
      <c r="I28" s="74">
        <f>SUMIFS(Tabla6[TOTAL],Tabla6[MES],'RESUMEN 1'!I5,Tabla6[AÑO],'RESUMEN 1'!A5,Tabla6[DISTRIBUIDOR],'RESUMEN 1'!B28)</f>
        <v>0</v>
      </c>
      <c r="J28" s="74">
        <f>SUMIFS(Tabla6[TOTAL],Tabla6[MES],'RESUMEN 1'!J5,Tabla6[AÑO],'RESUMEN 1'!A5,Tabla6[DISTRIBUIDOR],'RESUMEN 1'!B28)</f>
        <v>0</v>
      </c>
      <c r="K28" s="74">
        <f>SUMIFS(Tabla6[TOTAL],Tabla6[MES],'RESUMEN 1'!K5,Tabla6[AÑO],'RESUMEN 1'!A5,Tabla6[DISTRIBUIDOR],'RESUMEN 1'!B28)</f>
        <v>0</v>
      </c>
      <c r="L28" s="74">
        <f>SUMIFS(Tabla6[TOTAL],Tabla6[MES],'RESUMEN 1'!L5,Tabla6[AÑO],'RESUMEN 1'!A5,Tabla6[DISTRIBUIDOR],'RESUMEN 1'!B28)</f>
        <v>0</v>
      </c>
      <c r="M28" s="74">
        <f>SUMIFS(Tabla6[TOTAL],Tabla6[MES],'RESUMEN 1'!M5,Tabla6[AÑO],'RESUMEN 1'!A5,Tabla6[DISTRIBUIDOR],'RESUMEN 1'!B28)</f>
        <v>0</v>
      </c>
      <c r="N28" s="74">
        <f>SUMIFS(Tabla6[TOTAL],Tabla6[MES],'RESUMEN 1'!N5,Tabla6[AÑO],'RESUMEN 1'!A5,Tabla6[DISTRIBUIDOR],'RESUMEN 1'!B28)</f>
        <v>0</v>
      </c>
    </row>
    <row r="29" spans="1:14" x14ac:dyDescent="0.3">
      <c r="A29" s="74" t="s">
        <v>352</v>
      </c>
      <c r="B29" s="74" t="s">
        <v>69</v>
      </c>
      <c r="C29" s="74">
        <f>SUMIFS(Tabla6[TOTAL],Tabla6[MES],'RESUMEN 1'!C5,Tabla6[AÑO],'RESUMEN 1'!A5,Tabla6[DISTRIBUIDOR],'RESUMEN 1'!B29)</f>
        <v>0</v>
      </c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</row>
    <row r="30" spans="1:14" x14ac:dyDescent="0.3">
      <c r="A30" s="74" t="s">
        <v>352</v>
      </c>
      <c r="B30" s="74" t="s">
        <v>68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</row>
    <row r="31" spans="1:14" x14ac:dyDescent="0.3">
      <c r="A31" s="74" t="s">
        <v>352</v>
      </c>
      <c r="B31" s="74" t="s">
        <v>69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</row>
    <row r="32" spans="1:14" x14ac:dyDescent="0.3">
      <c r="A32" s="74" t="s">
        <v>352</v>
      </c>
      <c r="B32" s="74" t="s">
        <v>69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</row>
    <row r="39" spans="2:14" x14ac:dyDescent="0.3">
      <c r="B39" s="9" t="s">
        <v>54</v>
      </c>
      <c r="C39" s="9">
        <f t="shared" ref="C39:N39" si="0">+C6-C15</f>
        <v>4343.71</v>
      </c>
      <c r="D39" s="9">
        <f t="shared" si="0"/>
        <v>676.87000000000035</v>
      </c>
      <c r="E39" s="9">
        <f t="shared" si="0"/>
        <v>0</v>
      </c>
      <c r="F39" s="9">
        <f t="shared" si="0"/>
        <v>0</v>
      </c>
      <c r="G39" s="9">
        <f t="shared" si="0"/>
        <v>0</v>
      </c>
      <c r="H39" s="9">
        <f t="shared" si="0"/>
        <v>0</v>
      </c>
      <c r="I39" s="9">
        <f t="shared" si="0"/>
        <v>0</v>
      </c>
      <c r="J39" s="9">
        <f t="shared" si="0"/>
        <v>0</v>
      </c>
      <c r="K39" s="9">
        <f t="shared" si="0"/>
        <v>0</v>
      </c>
      <c r="L39" s="9">
        <f t="shared" si="0"/>
        <v>0</v>
      </c>
      <c r="M39" s="9">
        <f t="shared" si="0"/>
        <v>0</v>
      </c>
      <c r="N39" s="9">
        <f t="shared" si="0"/>
        <v>0</v>
      </c>
    </row>
    <row r="41" spans="2:14" x14ac:dyDescent="0.3">
      <c r="B41" s="10" t="s">
        <v>55</v>
      </c>
      <c r="C41" s="10">
        <f>+C39</f>
        <v>4343.71</v>
      </c>
      <c r="D41" s="10">
        <f>C41+D39</f>
        <v>5020.58</v>
      </c>
      <c r="E41" s="10">
        <f>D41+E39</f>
        <v>5020.58</v>
      </c>
      <c r="F41" s="10">
        <f t="shared" ref="F41:N41" si="1">E41+F39</f>
        <v>5020.58</v>
      </c>
      <c r="G41" s="10">
        <f t="shared" si="1"/>
        <v>5020.58</v>
      </c>
      <c r="H41" s="10">
        <f t="shared" si="1"/>
        <v>5020.58</v>
      </c>
      <c r="I41" s="10">
        <f t="shared" si="1"/>
        <v>5020.58</v>
      </c>
      <c r="J41" s="10">
        <f t="shared" si="1"/>
        <v>5020.58</v>
      </c>
      <c r="K41" s="10">
        <f t="shared" si="1"/>
        <v>5020.58</v>
      </c>
      <c r="L41" s="10">
        <f t="shared" si="1"/>
        <v>5020.58</v>
      </c>
      <c r="M41" s="10">
        <f t="shared" si="1"/>
        <v>5020.58</v>
      </c>
      <c r="N41" s="10">
        <f t="shared" si="1"/>
        <v>5020.58</v>
      </c>
    </row>
  </sheetData>
  <mergeCells count="3">
    <mergeCell ref="A1:F1"/>
    <mergeCell ref="A3:A4"/>
    <mergeCell ref="B3:N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EF26EB6-92AC-46D4-B0FD-93E00AD95F33}">
          <x14:formula1>
            <xm:f>'CUENTAS CONTABLES'!$G$5:$G$11</xm:f>
          </x14:formula1>
          <xm:sqref>B6:B12 B15:B21</xm:sqref>
        </x14:dataValidation>
        <x14:dataValidation type="list" showInputMessage="1" showErrorMessage="1" xr:uid="{E1294717-D50B-4C43-BB7E-914C5BF2F04E}">
          <x14:formula1>
            <xm:f>'CUENTAS CONTABLES'!$I$5:$I$19</xm:f>
          </x14:formula1>
          <xm:sqref>B26:B32</xm:sqref>
        </x14:dataValidation>
        <x14:dataValidation type="list" allowBlank="1" showInputMessage="1" showErrorMessage="1" xr:uid="{4AF6519F-7885-4FDE-9B2E-1CA2FD272B06}">
          <x14:formula1>
            <xm:f>'CUENTAS CONTABLES'!$G$5:$G$31</xm:f>
          </x14:formula1>
          <xm:sqref>B22:B23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69E1-B2F0-46C9-B563-108301DECDA7}">
  <sheetPr>
    <pageSetUpPr fitToPage="1"/>
  </sheetPr>
  <dimension ref="A1:O195"/>
  <sheetViews>
    <sheetView topLeftCell="A144" zoomScale="70" zoomScaleNormal="70" workbookViewId="0">
      <selection activeCell="H171" sqref="H171"/>
    </sheetView>
  </sheetViews>
  <sheetFormatPr baseColWidth="10" defaultRowHeight="14.4" x14ac:dyDescent="0.3"/>
  <cols>
    <col min="6" max="6" width="16.88671875" bestFit="1" customWidth="1"/>
    <col min="10" max="10" width="16.6640625" customWidth="1"/>
    <col min="13" max="14" width="7" bestFit="1" customWidth="1"/>
  </cols>
  <sheetData>
    <row r="1" spans="1:14" ht="36.6" customHeight="1" x14ac:dyDescent="0.5">
      <c r="A1" s="86" t="s">
        <v>103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1:14" ht="15" thickBot="1" x14ac:dyDescent="0.35">
      <c r="A2" s="21" t="s">
        <v>1</v>
      </c>
      <c r="B2" s="22" t="s">
        <v>11</v>
      </c>
      <c r="C2" s="22" t="s">
        <v>12</v>
      </c>
      <c r="D2" s="22" t="s">
        <v>9</v>
      </c>
      <c r="E2" s="22" t="s">
        <v>3</v>
      </c>
      <c r="F2" s="22" t="s">
        <v>4</v>
      </c>
      <c r="G2" s="22" t="s">
        <v>5</v>
      </c>
      <c r="H2" s="22" t="s">
        <v>6</v>
      </c>
      <c r="I2" s="22" t="s">
        <v>36</v>
      </c>
      <c r="J2" s="22" t="s">
        <v>10</v>
      </c>
      <c r="K2" s="22" t="s">
        <v>7</v>
      </c>
      <c r="L2" s="22" t="s">
        <v>8</v>
      </c>
      <c r="M2" s="22" t="s">
        <v>75</v>
      </c>
      <c r="N2" s="23" t="s">
        <v>100</v>
      </c>
    </row>
    <row r="3" spans="1:14" ht="15" thickTop="1" x14ac:dyDescent="0.3">
      <c r="A3" s="24">
        <v>45946</v>
      </c>
      <c r="B3" s="25" t="s">
        <v>73</v>
      </c>
      <c r="C3" s="19" t="s">
        <v>74</v>
      </c>
      <c r="D3" s="19" t="s">
        <v>17</v>
      </c>
      <c r="E3" s="19">
        <v>1</v>
      </c>
      <c r="F3" s="19">
        <v>35</v>
      </c>
      <c r="G3" s="19">
        <f t="shared" ref="G3:G8" si="0">E3*F3</f>
        <v>35</v>
      </c>
      <c r="H3" s="19" t="s">
        <v>38</v>
      </c>
      <c r="I3" s="19"/>
      <c r="J3" s="19" t="s">
        <v>18</v>
      </c>
      <c r="K3" s="19" t="str">
        <f t="shared" ref="K3:K8" si="1">UPPER(TEXT(A3,"MMMM"))</f>
        <v>OCTUBRE</v>
      </c>
      <c r="L3" s="19">
        <f t="shared" ref="L3:L8" si="2">+YEAR(A3)</f>
        <v>2025</v>
      </c>
      <c r="M3" s="19">
        <v>595</v>
      </c>
      <c r="N3" s="20" t="s">
        <v>93</v>
      </c>
    </row>
    <row r="4" spans="1:14" x14ac:dyDescent="0.3">
      <c r="A4" s="26">
        <v>45946</v>
      </c>
      <c r="B4" s="27" t="s">
        <v>78</v>
      </c>
      <c r="C4" s="27" t="s">
        <v>71</v>
      </c>
      <c r="D4" s="17" t="s">
        <v>17</v>
      </c>
      <c r="E4" s="17">
        <v>1</v>
      </c>
      <c r="F4" s="17">
        <v>45</v>
      </c>
      <c r="G4" s="17">
        <f t="shared" si="0"/>
        <v>45</v>
      </c>
      <c r="H4" s="17" t="s">
        <v>38</v>
      </c>
      <c r="I4" s="17"/>
      <c r="J4" s="17" t="s">
        <v>18</v>
      </c>
      <c r="K4" s="17" t="str">
        <f t="shared" si="1"/>
        <v>OCTUBRE</v>
      </c>
      <c r="L4" s="17">
        <f t="shared" si="2"/>
        <v>2025</v>
      </c>
      <c r="M4" s="17">
        <v>596</v>
      </c>
      <c r="N4" s="18" t="s">
        <v>94</v>
      </c>
    </row>
    <row r="5" spans="1:14" x14ac:dyDescent="0.3">
      <c r="A5" s="24">
        <v>45946</v>
      </c>
      <c r="B5" s="25" t="s">
        <v>79</v>
      </c>
      <c r="C5" s="25" t="s">
        <v>80</v>
      </c>
      <c r="D5" s="19" t="s">
        <v>17</v>
      </c>
      <c r="E5" s="19">
        <v>1</v>
      </c>
      <c r="F5" s="19">
        <v>10</v>
      </c>
      <c r="G5" s="19">
        <f t="shared" si="0"/>
        <v>10</v>
      </c>
      <c r="H5" s="19" t="s">
        <v>37</v>
      </c>
      <c r="I5" s="19"/>
      <c r="J5" s="19" t="s">
        <v>18</v>
      </c>
      <c r="K5" s="19" t="str">
        <f t="shared" si="1"/>
        <v>OCTUBRE</v>
      </c>
      <c r="L5" s="19">
        <f t="shared" si="2"/>
        <v>2025</v>
      </c>
      <c r="M5" s="19">
        <v>597</v>
      </c>
      <c r="N5" s="20" t="s">
        <v>95</v>
      </c>
    </row>
    <row r="6" spans="1:14" x14ac:dyDescent="0.3">
      <c r="A6" s="26">
        <v>45946</v>
      </c>
      <c r="B6" s="27" t="s">
        <v>76</v>
      </c>
      <c r="C6" s="27" t="s">
        <v>77</v>
      </c>
      <c r="D6" s="17" t="s">
        <v>17</v>
      </c>
      <c r="E6" s="17">
        <v>1</v>
      </c>
      <c r="F6" s="17">
        <v>100</v>
      </c>
      <c r="G6" s="17">
        <f t="shared" si="0"/>
        <v>100</v>
      </c>
      <c r="H6" s="17" t="s">
        <v>37</v>
      </c>
      <c r="I6" s="17"/>
      <c r="J6" s="17" t="s">
        <v>18</v>
      </c>
      <c r="K6" s="17" t="str">
        <f t="shared" si="1"/>
        <v>OCTUBRE</v>
      </c>
      <c r="L6" s="17">
        <f t="shared" si="2"/>
        <v>2025</v>
      </c>
      <c r="M6" s="17">
        <v>598</v>
      </c>
      <c r="N6" s="18" t="s">
        <v>89</v>
      </c>
    </row>
    <row r="7" spans="1:14" x14ac:dyDescent="0.3">
      <c r="A7" s="24">
        <v>45946</v>
      </c>
      <c r="B7" s="25" t="s">
        <v>85</v>
      </c>
      <c r="C7" s="25" t="s">
        <v>86</v>
      </c>
      <c r="D7" s="19" t="s">
        <v>17</v>
      </c>
      <c r="E7" s="19">
        <v>1</v>
      </c>
      <c r="F7" s="19">
        <v>20</v>
      </c>
      <c r="G7" s="19">
        <f t="shared" si="0"/>
        <v>20</v>
      </c>
      <c r="H7" s="19" t="s">
        <v>37</v>
      </c>
      <c r="I7" s="19"/>
      <c r="J7" s="19" t="s">
        <v>18</v>
      </c>
      <c r="K7" s="19" t="str">
        <f t="shared" si="1"/>
        <v>OCTUBRE</v>
      </c>
      <c r="L7" s="19">
        <f t="shared" si="2"/>
        <v>2025</v>
      </c>
      <c r="M7" s="19">
        <v>599</v>
      </c>
      <c r="N7" s="20" t="s">
        <v>91</v>
      </c>
    </row>
    <row r="8" spans="1:14" x14ac:dyDescent="0.3">
      <c r="A8" s="26">
        <v>45946</v>
      </c>
      <c r="B8" s="27" t="s">
        <v>87</v>
      </c>
      <c r="C8" s="27" t="s">
        <v>88</v>
      </c>
      <c r="D8" s="17" t="s">
        <v>17</v>
      </c>
      <c r="E8" s="17">
        <v>1</v>
      </c>
      <c r="F8" s="17">
        <v>60</v>
      </c>
      <c r="G8" s="17">
        <f t="shared" si="0"/>
        <v>60</v>
      </c>
      <c r="H8" s="17" t="s">
        <v>38</v>
      </c>
      <c r="I8" s="17"/>
      <c r="J8" s="17" t="s">
        <v>18</v>
      </c>
      <c r="K8" s="17" t="str">
        <f t="shared" si="1"/>
        <v>OCTUBRE</v>
      </c>
      <c r="L8" s="17">
        <f t="shared" si="2"/>
        <v>2025</v>
      </c>
      <c r="M8" s="17">
        <v>600</v>
      </c>
      <c r="N8" s="18" t="s">
        <v>92</v>
      </c>
    </row>
    <row r="9" spans="1:14" x14ac:dyDescent="0.3">
      <c r="A9" s="63"/>
      <c r="B9" s="64">
        <v>45946</v>
      </c>
      <c r="C9" s="64" t="s">
        <v>67</v>
      </c>
      <c r="D9" s="65" t="s">
        <v>72</v>
      </c>
      <c r="E9" s="66">
        <v>2</v>
      </c>
      <c r="F9" s="67">
        <v>1.5</v>
      </c>
      <c r="G9" s="67">
        <f>F9*E9</f>
        <v>3</v>
      </c>
      <c r="H9" s="65" t="s">
        <v>81</v>
      </c>
      <c r="I9" s="65"/>
      <c r="J9" s="65" t="str">
        <f>UPPER(TEXT(B9,"MMMM"))</f>
        <v>OCTUBRE</v>
      </c>
      <c r="K9" s="65">
        <f>+YEAR(B9)</f>
        <v>2025</v>
      </c>
      <c r="L9" s="65" t="s">
        <v>18</v>
      </c>
      <c r="M9" s="65" t="s">
        <v>98</v>
      </c>
      <c r="N9" s="51"/>
    </row>
    <row r="10" spans="1:14" x14ac:dyDescent="0.3">
      <c r="A10" s="63"/>
      <c r="B10" s="64">
        <v>45946</v>
      </c>
      <c r="C10" s="64" t="s">
        <v>67</v>
      </c>
      <c r="D10" s="65" t="s">
        <v>72</v>
      </c>
      <c r="E10" s="66">
        <v>1</v>
      </c>
      <c r="F10" s="67">
        <v>1</v>
      </c>
      <c r="G10" s="67">
        <f>F10*E10</f>
        <v>1</v>
      </c>
      <c r="H10" s="65" t="s">
        <v>82</v>
      </c>
      <c r="I10" s="65"/>
      <c r="J10" s="65" t="str">
        <f>UPPER(TEXT(B10,"MMMM"))</f>
        <v>OCTUBRE</v>
      </c>
      <c r="K10" s="65">
        <f>+YEAR(B10)</f>
        <v>2025</v>
      </c>
      <c r="L10" s="65" t="s">
        <v>18</v>
      </c>
      <c r="M10" s="65" t="s">
        <v>98</v>
      </c>
      <c r="N10" s="51"/>
    </row>
    <row r="11" spans="1:14" x14ac:dyDescent="0.3">
      <c r="B11" s="11" t="s">
        <v>1</v>
      </c>
      <c r="C11" s="11" t="s">
        <v>2</v>
      </c>
      <c r="D11" s="11" t="s">
        <v>61</v>
      </c>
      <c r="E11" s="11" t="s">
        <v>3</v>
      </c>
      <c r="F11" s="11" t="s">
        <v>4</v>
      </c>
      <c r="G11" s="11" t="s">
        <v>57</v>
      </c>
      <c r="H11" s="11" t="s">
        <v>58</v>
      </c>
      <c r="I11" s="11" t="s">
        <v>59</v>
      </c>
      <c r="J11" s="11" t="s">
        <v>7</v>
      </c>
      <c r="K11" s="11" t="s">
        <v>8</v>
      </c>
      <c r="L11" s="11" t="s">
        <v>10</v>
      </c>
      <c r="M11" s="11" t="s">
        <v>100</v>
      </c>
    </row>
    <row r="12" spans="1:14" x14ac:dyDescent="0.3">
      <c r="A12" s="60">
        <v>45946</v>
      </c>
      <c r="B12" s="47" t="s">
        <v>96</v>
      </c>
      <c r="C12" s="47" t="s">
        <v>97</v>
      </c>
      <c r="D12" s="47" t="s">
        <v>21</v>
      </c>
      <c r="E12" s="47">
        <v>1</v>
      </c>
      <c r="F12" s="47">
        <v>5</v>
      </c>
      <c r="G12" s="47">
        <f>E12*F12</f>
        <v>5</v>
      </c>
      <c r="H12" s="47" t="s">
        <v>38</v>
      </c>
      <c r="I12" s="47"/>
      <c r="J12" s="47" t="s">
        <v>18</v>
      </c>
      <c r="K12" s="47" t="str">
        <f>UPPER(TEXT(A12,"MMMM"))</f>
        <v>OCTUBRE</v>
      </c>
      <c r="L12" s="47">
        <f>+YEAR(A12)</f>
        <v>2025</v>
      </c>
      <c r="M12" s="47"/>
      <c r="N12" s="47" t="s">
        <v>99</v>
      </c>
    </row>
    <row r="13" spans="1:14" x14ac:dyDescent="0.3">
      <c r="A13" s="45"/>
      <c r="B13" s="46"/>
      <c r="C13" s="46"/>
      <c r="D13" s="46"/>
      <c r="E13" s="46"/>
      <c r="F13" s="46"/>
      <c r="G13" s="46">
        <f>E13*F13</f>
        <v>0</v>
      </c>
      <c r="H13" s="46"/>
      <c r="I13" s="46"/>
      <c r="J13" s="46"/>
      <c r="K13" s="46" t="str">
        <f>UPPER(TEXT(A13,"MMMM"))</f>
        <v>ENERO</v>
      </c>
      <c r="L13" s="46">
        <f>+YEAR(A13)</f>
        <v>1900</v>
      </c>
      <c r="M13" s="46"/>
      <c r="N13" s="46"/>
    </row>
    <row r="16" spans="1:14" x14ac:dyDescent="0.3">
      <c r="E16" t="s">
        <v>52</v>
      </c>
      <c r="F16">
        <f>SUM(F3:F9)</f>
        <v>271.5</v>
      </c>
    </row>
    <row r="17" spans="1:14" x14ac:dyDescent="0.3">
      <c r="E17" t="s">
        <v>101</v>
      </c>
      <c r="F17" s="16">
        <f>SUM(G12:G13)</f>
        <v>5</v>
      </c>
      <c r="H17" t="s">
        <v>104</v>
      </c>
    </row>
    <row r="18" spans="1:14" x14ac:dyDescent="0.3">
      <c r="H18" t="s">
        <v>1</v>
      </c>
    </row>
    <row r="19" spans="1:14" x14ac:dyDescent="0.3">
      <c r="D19" t="s">
        <v>102</v>
      </c>
      <c r="F19" s="16">
        <f>F16-F17</f>
        <v>266.5</v>
      </c>
    </row>
    <row r="21" spans="1:14" ht="25.8" x14ac:dyDescent="0.5">
      <c r="A21" s="86" t="s">
        <v>103</v>
      </c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</row>
    <row r="22" spans="1:14" ht="15" thickBot="1" x14ac:dyDescent="0.35">
      <c r="A22" s="21" t="s">
        <v>1</v>
      </c>
      <c r="B22" s="22" t="s">
        <v>11</v>
      </c>
      <c r="C22" s="22" t="s">
        <v>12</v>
      </c>
      <c r="D22" s="22" t="s">
        <v>9</v>
      </c>
      <c r="E22" s="22" t="s">
        <v>3</v>
      </c>
      <c r="F22" s="22" t="s">
        <v>4</v>
      </c>
      <c r="G22" s="22" t="s">
        <v>5</v>
      </c>
      <c r="H22" s="22" t="s">
        <v>6</v>
      </c>
      <c r="I22" s="22" t="s">
        <v>36</v>
      </c>
      <c r="J22" s="22" t="s">
        <v>10</v>
      </c>
      <c r="K22" s="22" t="s">
        <v>7</v>
      </c>
      <c r="L22" s="22" t="s">
        <v>8</v>
      </c>
      <c r="M22" s="22" t="s">
        <v>75</v>
      </c>
      <c r="N22" s="23" t="s">
        <v>100</v>
      </c>
    </row>
    <row r="23" spans="1:14" ht="15" thickTop="1" x14ac:dyDescent="0.3">
      <c r="A23" s="26">
        <v>45947</v>
      </c>
      <c r="B23" s="27" t="s">
        <v>105</v>
      </c>
      <c r="C23" s="27" t="s">
        <v>106</v>
      </c>
      <c r="D23" s="17" t="s">
        <v>17</v>
      </c>
      <c r="E23" s="17">
        <v>1</v>
      </c>
      <c r="F23" s="17">
        <v>300</v>
      </c>
      <c r="G23" s="17">
        <f t="shared" ref="G23:G28" si="3">E23*F23</f>
        <v>300</v>
      </c>
      <c r="H23" s="17" t="s">
        <v>38</v>
      </c>
      <c r="I23" s="17"/>
      <c r="J23" s="17" t="s">
        <v>18</v>
      </c>
      <c r="K23" s="17" t="str">
        <f t="shared" ref="K23:K28" si="4">UPPER(TEXT(A23,"MMMM"))</f>
        <v>OCTUBRE</v>
      </c>
      <c r="L23" s="17">
        <f t="shared" ref="L23:L28" si="5">+YEAR(A23)</f>
        <v>2025</v>
      </c>
      <c r="M23" s="17">
        <v>553</v>
      </c>
      <c r="N23" s="17"/>
    </row>
    <row r="24" spans="1:14" x14ac:dyDescent="0.3">
      <c r="A24" s="26">
        <v>45947</v>
      </c>
      <c r="B24" s="27" t="s">
        <v>115</v>
      </c>
      <c r="C24" s="27" t="s">
        <v>116</v>
      </c>
      <c r="D24" s="17" t="s">
        <v>17</v>
      </c>
      <c r="E24" s="17">
        <v>1</v>
      </c>
      <c r="F24" s="17">
        <v>185</v>
      </c>
      <c r="G24" s="17">
        <f t="shared" si="3"/>
        <v>185</v>
      </c>
      <c r="H24" s="17" t="s">
        <v>38</v>
      </c>
      <c r="I24" s="17"/>
      <c r="J24" s="17" t="s">
        <v>18</v>
      </c>
      <c r="K24" s="17" t="str">
        <f t="shared" si="4"/>
        <v>OCTUBRE</v>
      </c>
      <c r="L24" s="17">
        <f t="shared" si="5"/>
        <v>2025</v>
      </c>
      <c r="M24" s="17">
        <v>594</v>
      </c>
      <c r="N24" s="17" t="s">
        <v>121</v>
      </c>
    </row>
    <row r="25" spans="1:14" x14ac:dyDescent="0.3">
      <c r="A25" s="24">
        <v>45947</v>
      </c>
      <c r="B25" s="25" t="s">
        <v>79</v>
      </c>
      <c r="C25" s="25" t="s">
        <v>80</v>
      </c>
      <c r="D25" s="19" t="s">
        <v>17</v>
      </c>
      <c r="E25" s="19">
        <v>1</v>
      </c>
      <c r="F25" s="19">
        <v>35</v>
      </c>
      <c r="G25" s="19">
        <f t="shared" si="3"/>
        <v>35</v>
      </c>
      <c r="H25" s="19" t="s">
        <v>38</v>
      </c>
      <c r="I25" s="19"/>
      <c r="J25" s="19" t="s">
        <v>18</v>
      </c>
      <c r="K25" s="19" t="str">
        <f t="shared" si="4"/>
        <v>OCTUBRE</v>
      </c>
      <c r="L25" s="19">
        <f t="shared" si="5"/>
        <v>2025</v>
      </c>
      <c r="M25" s="19">
        <v>597</v>
      </c>
      <c r="N25" s="19" t="s">
        <v>120</v>
      </c>
    </row>
    <row r="26" spans="1:14" x14ac:dyDescent="0.3">
      <c r="A26" s="24">
        <v>45947</v>
      </c>
      <c r="B26" s="25" t="s">
        <v>114</v>
      </c>
      <c r="C26" s="25" t="s">
        <v>77</v>
      </c>
      <c r="D26" s="19" t="s">
        <v>17</v>
      </c>
      <c r="E26" s="19">
        <v>1</v>
      </c>
      <c r="F26" s="19">
        <v>20</v>
      </c>
      <c r="G26" s="19">
        <f t="shared" si="3"/>
        <v>20</v>
      </c>
      <c r="H26" s="19" t="s">
        <v>38</v>
      </c>
      <c r="I26" s="19"/>
      <c r="J26" s="19" t="s">
        <v>18</v>
      </c>
      <c r="K26" s="19" t="str">
        <f t="shared" si="4"/>
        <v>OCTUBRE</v>
      </c>
      <c r="L26" s="19">
        <f t="shared" si="5"/>
        <v>2025</v>
      </c>
      <c r="M26" s="19">
        <v>598</v>
      </c>
      <c r="N26" s="19" t="s">
        <v>122</v>
      </c>
    </row>
    <row r="27" spans="1:14" x14ac:dyDescent="0.3">
      <c r="A27" s="26">
        <v>45947</v>
      </c>
      <c r="B27" s="27" t="s">
        <v>109</v>
      </c>
      <c r="C27" s="27" t="s">
        <v>110</v>
      </c>
      <c r="D27" s="17" t="s">
        <v>17</v>
      </c>
      <c r="E27" s="17">
        <v>1</v>
      </c>
      <c r="F27" s="17">
        <v>0</v>
      </c>
      <c r="G27" s="17">
        <f t="shared" si="3"/>
        <v>0</v>
      </c>
      <c r="H27" s="17" t="s">
        <v>37</v>
      </c>
      <c r="I27" s="17"/>
      <c r="J27" s="17" t="s">
        <v>18</v>
      </c>
      <c r="K27" s="17" t="str">
        <f t="shared" si="4"/>
        <v>OCTUBRE</v>
      </c>
      <c r="L27" s="17">
        <f t="shared" si="5"/>
        <v>2025</v>
      </c>
      <c r="M27" s="17">
        <v>601</v>
      </c>
      <c r="N27" s="17"/>
    </row>
    <row r="28" spans="1:14" x14ac:dyDescent="0.3">
      <c r="A28" s="24">
        <v>45947</v>
      </c>
      <c r="B28" s="25" t="s">
        <v>107</v>
      </c>
      <c r="C28" s="25" t="s">
        <v>108</v>
      </c>
      <c r="D28" s="19" t="s">
        <v>17</v>
      </c>
      <c r="E28" s="19">
        <v>1</v>
      </c>
      <c r="F28" s="19">
        <v>5</v>
      </c>
      <c r="G28" s="19">
        <f t="shared" si="3"/>
        <v>5</v>
      </c>
      <c r="H28" s="19" t="s">
        <v>37</v>
      </c>
      <c r="I28" s="19"/>
      <c r="J28" s="19" t="s">
        <v>18</v>
      </c>
      <c r="K28" s="19" t="str">
        <f t="shared" si="4"/>
        <v>OCTUBRE</v>
      </c>
      <c r="L28" s="19">
        <f t="shared" si="5"/>
        <v>2025</v>
      </c>
      <c r="M28" s="19">
        <v>602</v>
      </c>
      <c r="N28" s="19" t="s">
        <v>112</v>
      </c>
    </row>
    <row r="30" spans="1:14" x14ac:dyDescent="0.3">
      <c r="B30" s="11" t="s">
        <v>1</v>
      </c>
      <c r="C30" s="11" t="s">
        <v>2</v>
      </c>
      <c r="D30" s="11" t="s">
        <v>61</v>
      </c>
      <c r="E30" s="11" t="s">
        <v>3</v>
      </c>
      <c r="F30" s="11" t="s">
        <v>4</v>
      </c>
      <c r="G30" s="11" t="s">
        <v>57</v>
      </c>
      <c r="H30" s="11" t="s">
        <v>58</v>
      </c>
      <c r="I30" s="11" t="s">
        <v>59</v>
      </c>
      <c r="J30" s="11" t="s">
        <v>7</v>
      </c>
      <c r="K30" s="11" t="s">
        <v>8</v>
      </c>
      <c r="L30" s="11" t="s">
        <v>10</v>
      </c>
      <c r="M30" s="11" t="s">
        <v>100</v>
      </c>
    </row>
    <row r="31" spans="1:14" x14ac:dyDescent="0.3">
      <c r="B31" s="12">
        <v>45947</v>
      </c>
      <c r="C31" s="12" t="s">
        <v>67</v>
      </c>
      <c r="D31" s="13" t="s">
        <v>72</v>
      </c>
      <c r="E31" s="14">
        <v>1</v>
      </c>
      <c r="F31" s="15">
        <v>0.5</v>
      </c>
      <c r="G31" s="15">
        <f>Tabla8[[#This Row],[CANTIDAD]]*Tabla8[[#This Row],[PRECIO]]</f>
        <v>0.75</v>
      </c>
      <c r="H31" s="13" t="s">
        <v>113</v>
      </c>
      <c r="I31" s="13"/>
      <c r="J31" s="13" t="str">
        <f t="shared" ref="J31" si="6">UPPER(TEXT(B31,"MMMM"))</f>
        <v>OCTUBRE</v>
      </c>
      <c r="K31" s="13">
        <f t="shared" ref="K31:K32" si="7">+YEAR(B31)</f>
        <v>2025</v>
      </c>
      <c r="L31" s="13" t="s">
        <v>18</v>
      </c>
      <c r="M31" s="13" t="s">
        <v>119</v>
      </c>
    </row>
    <row r="32" spans="1:14" x14ac:dyDescent="0.3">
      <c r="B32" s="12">
        <v>45947</v>
      </c>
      <c r="C32" s="12" t="s">
        <v>67</v>
      </c>
      <c r="D32" s="13" t="s">
        <v>72</v>
      </c>
      <c r="E32" s="14">
        <v>1</v>
      </c>
      <c r="F32" s="15">
        <v>0.25</v>
      </c>
      <c r="G32" s="15">
        <f>Tabla8[[#This Row],[CANTIDAD]]*Tabla8[[#This Row],[PRECIO]]</f>
        <v>40</v>
      </c>
      <c r="H32" s="13" t="s">
        <v>117</v>
      </c>
      <c r="I32" s="13"/>
      <c r="J32" s="13" t="str">
        <f>UPPER(TEXT(B32,"MMMM"))</f>
        <v>OCTUBRE</v>
      </c>
      <c r="K32" s="13">
        <f t="shared" si="7"/>
        <v>2025</v>
      </c>
      <c r="L32" s="13" t="s">
        <v>18</v>
      </c>
      <c r="M32" s="13" t="s">
        <v>118</v>
      </c>
    </row>
    <row r="34" spans="1:14" x14ac:dyDescent="0.3">
      <c r="E34" t="s">
        <v>5</v>
      </c>
      <c r="F34">
        <f>SUM(F23:F28)</f>
        <v>545</v>
      </c>
    </row>
    <row r="35" spans="1:14" x14ac:dyDescent="0.3">
      <c r="E35" t="s">
        <v>57</v>
      </c>
      <c r="F35" s="16">
        <f>SUM(F31:F32)</f>
        <v>0.75</v>
      </c>
    </row>
    <row r="36" spans="1:14" x14ac:dyDescent="0.3">
      <c r="H36" t="s">
        <v>104</v>
      </c>
    </row>
    <row r="37" spans="1:14" x14ac:dyDescent="0.3">
      <c r="D37" t="s">
        <v>123</v>
      </c>
      <c r="F37" s="16">
        <f>F34-F35</f>
        <v>544.25</v>
      </c>
      <c r="H37" t="s">
        <v>1</v>
      </c>
    </row>
    <row r="40" spans="1:14" ht="25.8" x14ac:dyDescent="0.5">
      <c r="A40" s="86" t="s">
        <v>103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</row>
    <row r="41" spans="1:14" ht="15" thickBot="1" x14ac:dyDescent="0.35">
      <c r="A41" s="21" t="s">
        <v>1</v>
      </c>
      <c r="B41" s="22" t="s">
        <v>11</v>
      </c>
      <c r="C41" s="22" t="s">
        <v>12</v>
      </c>
      <c r="D41" s="22" t="s">
        <v>9</v>
      </c>
      <c r="E41" s="22" t="s">
        <v>3</v>
      </c>
      <c r="F41" s="22" t="s">
        <v>4</v>
      </c>
      <c r="G41" s="22" t="s">
        <v>5</v>
      </c>
      <c r="H41" s="22" t="s">
        <v>6</v>
      </c>
      <c r="I41" s="22" t="s">
        <v>36</v>
      </c>
      <c r="J41" s="22" t="s">
        <v>10</v>
      </c>
      <c r="K41" s="22" t="s">
        <v>7</v>
      </c>
      <c r="L41" s="22" t="s">
        <v>8</v>
      </c>
      <c r="M41" s="22" t="s">
        <v>75</v>
      </c>
      <c r="N41" s="22" t="s">
        <v>100</v>
      </c>
    </row>
    <row r="42" spans="1:14" ht="15" thickTop="1" x14ac:dyDescent="0.3">
      <c r="A42" s="26">
        <v>45951</v>
      </c>
      <c r="B42" s="27" t="s">
        <v>152</v>
      </c>
      <c r="C42" s="27" t="s">
        <v>153</v>
      </c>
      <c r="D42" s="17" t="s">
        <v>17</v>
      </c>
      <c r="E42" s="17">
        <v>1</v>
      </c>
      <c r="F42" s="17">
        <v>130</v>
      </c>
      <c r="G42" s="17">
        <f>E42*F42</f>
        <v>130</v>
      </c>
      <c r="H42" s="17" t="s">
        <v>38</v>
      </c>
      <c r="I42" s="17" t="s">
        <v>151</v>
      </c>
      <c r="J42" s="17" t="s">
        <v>18</v>
      </c>
      <c r="K42" s="17" t="str">
        <f>UPPER(TEXT(A42,"MMMM"))</f>
        <v>OCTUBRE</v>
      </c>
      <c r="L42" s="17">
        <f>+YEAR(A42)</f>
        <v>2025</v>
      </c>
      <c r="M42" s="17">
        <v>583</v>
      </c>
      <c r="N42" s="17"/>
    </row>
    <row r="43" spans="1:14" x14ac:dyDescent="0.3">
      <c r="A43" s="24">
        <v>45948</v>
      </c>
      <c r="B43" s="25" t="s">
        <v>124</v>
      </c>
      <c r="C43" s="25" t="s">
        <v>86</v>
      </c>
      <c r="D43" s="19" t="s">
        <v>17</v>
      </c>
      <c r="E43" s="19">
        <v>1</v>
      </c>
      <c r="F43" s="19">
        <v>20</v>
      </c>
      <c r="G43" s="19">
        <v>20</v>
      </c>
      <c r="H43" s="19" t="s">
        <v>38</v>
      </c>
      <c r="I43" s="19"/>
      <c r="J43" s="19" t="s">
        <v>18</v>
      </c>
      <c r="K43" s="19" t="s">
        <v>49</v>
      </c>
      <c r="L43" s="19">
        <v>2025</v>
      </c>
      <c r="M43" s="19">
        <v>599</v>
      </c>
      <c r="N43" s="19"/>
    </row>
    <row r="44" spans="1:14" x14ac:dyDescent="0.3">
      <c r="A44" s="26">
        <v>45950</v>
      </c>
      <c r="B44" s="27" t="s">
        <v>105</v>
      </c>
      <c r="C44" s="27" t="s">
        <v>125</v>
      </c>
      <c r="D44" s="17" t="s">
        <v>17</v>
      </c>
      <c r="E44" s="17">
        <v>1</v>
      </c>
      <c r="F44" s="17">
        <v>150</v>
      </c>
      <c r="G44" s="17">
        <v>150</v>
      </c>
      <c r="H44" s="17" t="s">
        <v>37</v>
      </c>
      <c r="I44" s="17"/>
      <c r="J44" s="17" t="s">
        <v>84</v>
      </c>
      <c r="K44" s="17" t="s">
        <v>49</v>
      </c>
      <c r="L44" s="17">
        <v>2025</v>
      </c>
      <c r="M44" s="17">
        <v>603</v>
      </c>
      <c r="N44" s="19" t="s">
        <v>190</v>
      </c>
    </row>
    <row r="45" spans="1:14" x14ac:dyDescent="0.3">
      <c r="A45" s="24">
        <v>45950</v>
      </c>
      <c r="B45" s="25" t="s">
        <v>126</v>
      </c>
      <c r="C45" s="25" t="s">
        <v>127</v>
      </c>
      <c r="D45" s="19" t="s">
        <v>17</v>
      </c>
      <c r="E45" s="19">
        <v>1</v>
      </c>
      <c r="F45" s="19">
        <v>30</v>
      </c>
      <c r="G45" s="19">
        <v>30</v>
      </c>
      <c r="H45" s="19" t="s">
        <v>37</v>
      </c>
      <c r="I45" s="19"/>
      <c r="J45" s="19" t="s">
        <v>18</v>
      </c>
      <c r="K45" s="19" t="s">
        <v>49</v>
      </c>
      <c r="L45" s="19">
        <v>2025</v>
      </c>
      <c r="M45" s="19">
        <v>604</v>
      </c>
      <c r="N45" s="19" t="s">
        <v>140</v>
      </c>
    </row>
    <row r="46" spans="1:14" x14ac:dyDescent="0.3">
      <c r="A46" s="26">
        <v>45950</v>
      </c>
      <c r="B46" s="27" t="s">
        <v>128</v>
      </c>
      <c r="C46" s="27" t="s">
        <v>129</v>
      </c>
      <c r="D46" s="17" t="s">
        <v>17</v>
      </c>
      <c r="E46" s="17">
        <v>1</v>
      </c>
      <c r="F46" s="17">
        <v>20</v>
      </c>
      <c r="G46" s="17">
        <v>20</v>
      </c>
      <c r="H46" s="17" t="s">
        <v>37</v>
      </c>
      <c r="I46" s="17"/>
      <c r="J46" s="17" t="s">
        <v>18</v>
      </c>
      <c r="K46" s="17" t="s">
        <v>49</v>
      </c>
      <c r="L46" s="17">
        <v>2025</v>
      </c>
      <c r="M46" s="17">
        <v>605</v>
      </c>
      <c r="N46" s="17" t="s">
        <v>139</v>
      </c>
    </row>
    <row r="47" spans="1:14" x14ac:dyDescent="0.3">
      <c r="A47" s="24">
        <v>45950</v>
      </c>
      <c r="B47" s="25" t="s">
        <v>130</v>
      </c>
      <c r="C47" s="25" t="s">
        <v>13</v>
      </c>
      <c r="D47" s="19" t="s">
        <v>17</v>
      </c>
      <c r="E47" s="19">
        <v>1</v>
      </c>
      <c r="F47" s="19">
        <v>50</v>
      </c>
      <c r="G47" s="19">
        <v>50</v>
      </c>
      <c r="H47" s="19" t="s">
        <v>37</v>
      </c>
      <c r="I47" s="19"/>
      <c r="J47" s="19" t="s">
        <v>18</v>
      </c>
      <c r="K47" s="19" t="s">
        <v>49</v>
      </c>
      <c r="L47" s="19">
        <v>2025</v>
      </c>
      <c r="M47" s="19">
        <v>606</v>
      </c>
      <c r="N47" s="19" t="s">
        <v>138</v>
      </c>
    </row>
    <row r="48" spans="1:14" x14ac:dyDescent="0.3">
      <c r="A48" s="26">
        <v>45950</v>
      </c>
      <c r="B48" s="27" t="s">
        <v>131</v>
      </c>
      <c r="C48" s="27" t="s">
        <v>132</v>
      </c>
      <c r="D48" s="17"/>
      <c r="E48" s="17"/>
      <c r="F48" s="17">
        <v>0</v>
      </c>
      <c r="G48" s="17">
        <v>0</v>
      </c>
      <c r="H48" s="17"/>
      <c r="I48" s="17"/>
      <c r="J48" s="17"/>
      <c r="K48" s="17" t="s">
        <v>49</v>
      </c>
      <c r="L48" s="17">
        <v>2025</v>
      </c>
      <c r="M48" s="17">
        <v>607</v>
      </c>
      <c r="N48" s="17"/>
    </row>
    <row r="49" spans="1:14" x14ac:dyDescent="0.3">
      <c r="A49" s="24">
        <v>45950</v>
      </c>
      <c r="B49" s="25" t="s">
        <v>133</v>
      </c>
      <c r="C49" s="25" t="s">
        <v>132</v>
      </c>
      <c r="D49" s="19" t="s">
        <v>70</v>
      </c>
      <c r="E49" s="19">
        <v>1</v>
      </c>
      <c r="F49" s="19">
        <v>5</v>
      </c>
      <c r="G49" s="19">
        <v>5</v>
      </c>
      <c r="H49" s="19" t="s">
        <v>38</v>
      </c>
      <c r="I49" s="19" t="s">
        <v>134</v>
      </c>
      <c r="J49" s="19" t="s">
        <v>18</v>
      </c>
      <c r="K49" s="19" t="s">
        <v>49</v>
      </c>
      <c r="L49" s="19">
        <v>2025</v>
      </c>
      <c r="M49" s="19">
        <v>608</v>
      </c>
      <c r="N49" s="19" t="s">
        <v>137</v>
      </c>
    </row>
    <row r="50" spans="1:14" x14ac:dyDescent="0.3">
      <c r="A50" s="24">
        <v>45951</v>
      </c>
      <c r="B50" s="25" t="s">
        <v>144</v>
      </c>
      <c r="C50" s="25" t="s">
        <v>145</v>
      </c>
      <c r="D50" s="19"/>
      <c r="E50" s="19"/>
      <c r="F50" s="19"/>
      <c r="G50" s="19">
        <f>E50*F50</f>
        <v>0</v>
      </c>
      <c r="H50" s="19"/>
      <c r="I50" s="19"/>
      <c r="J50" s="19"/>
      <c r="K50" s="19" t="str">
        <f>UPPER(TEXT(A50,"MMMM"))</f>
        <v>OCTUBRE</v>
      </c>
      <c r="L50" s="19">
        <f>+YEAR(A50)</f>
        <v>2025</v>
      </c>
      <c r="M50" s="19">
        <v>609</v>
      </c>
      <c r="N50" s="19"/>
    </row>
    <row r="51" spans="1:14" x14ac:dyDescent="0.3">
      <c r="A51" s="26">
        <v>45951</v>
      </c>
      <c r="B51" s="27" t="s">
        <v>146</v>
      </c>
      <c r="C51" s="27" t="s">
        <v>147</v>
      </c>
      <c r="D51" s="17" t="s">
        <v>17</v>
      </c>
      <c r="E51" s="17">
        <v>1</v>
      </c>
      <c r="F51" s="17">
        <v>60</v>
      </c>
      <c r="G51" s="17">
        <f>E51*F51</f>
        <v>60</v>
      </c>
      <c r="H51" s="17" t="s">
        <v>37</v>
      </c>
      <c r="I51" s="17" t="s">
        <v>150</v>
      </c>
      <c r="J51" s="17" t="s">
        <v>18</v>
      </c>
      <c r="K51" s="17" t="str">
        <f>UPPER(TEXT(A51,"MMMM"))</f>
        <v>OCTUBRE</v>
      </c>
      <c r="L51" s="17">
        <f>+YEAR(A51)</f>
        <v>2025</v>
      </c>
      <c r="M51" s="17">
        <v>610</v>
      </c>
      <c r="N51" s="17"/>
    </row>
    <row r="52" spans="1:14" x14ac:dyDescent="0.3">
      <c r="A52" s="24">
        <v>45951</v>
      </c>
      <c r="B52" s="25" t="s">
        <v>148</v>
      </c>
      <c r="C52" s="25" t="s">
        <v>149</v>
      </c>
      <c r="D52" s="19" t="s">
        <v>17</v>
      </c>
      <c r="E52" s="19">
        <v>1</v>
      </c>
      <c r="F52" s="19">
        <v>15</v>
      </c>
      <c r="G52" s="19">
        <f>E52*F52</f>
        <v>15</v>
      </c>
      <c r="H52" s="19" t="s">
        <v>37</v>
      </c>
      <c r="I52" s="19" t="s">
        <v>150</v>
      </c>
      <c r="J52" s="19" t="s">
        <v>18</v>
      </c>
      <c r="K52" s="19" t="str">
        <f>UPPER(TEXT(A52,"MMMM"))</f>
        <v>OCTUBRE</v>
      </c>
      <c r="L52" s="19">
        <f>+YEAR(A52)</f>
        <v>2025</v>
      </c>
      <c r="M52" s="19">
        <v>611</v>
      </c>
      <c r="N52" s="19" t="s">
        <v>187</v>
      </c>
    </row>
    <row r="53" spans="1:14" x14ac:dyDescent="0.3">
      <c r="A53" s="26">
        <v>45950</v>
      </c>
      <c r="B53" s="27" t="s">
        <v>135</v>
      </c>
      <c r="C53" s="27"/>
      <c r="D53" s="17" t="s">
        <v>70</v>
      </c>
      <c r="E53" s="17">
        <v>1</v>
      </c>
      <c r="F53" s="17">
        <v>4</v>
      </c>
      <c r="G53" s="17">
        <v>4</v>
      </c>
      <c r="H53" s="17" t="s">
        <v>38</v>
      </c>
      <c r="I53" s="17" t="s">
        <v>134</v>
      </c>
      <c r="J53" s="17" t="s">
        <v>18</v>
      </c>
      <c r="K53" s="17" t="s">
        <v>49</v>
      </c>
      <c r="L53" s="17">
        <v>2025</v>
      </c>
      <c r="M53" s="17" t="s">
        <v>136</v>
      </c>
      <c r="N53" s="17"/>
    </row>
    <row r="54" spans="1:14" x14ac:dyDescent="0.3">
      <c r="F54" s="29" t="s">
        <v>5</v>
      </c>
      <c r="G54" s="30">
        <f>SUM(G42:G53)</f>
        <v>484</v>
      </c>
    </row>
    <row r="59" spans="1:14" x14ac:dyDescent="0.3">
      <c r="A59" s="11" t="s">
        <v>1</v>
      </c>
      <c r="B59" s="11" t="s">
        <v>2</v>
      </c>
      <c r="C59" s="11" t="s">
        <v>61</v>
      </c>
      <c r="D59" s="11" t="s">
        <v>3</v>
      </c>
      <c r="E59" s="11" t="s">
        <v>4</v>
      </c>
      <c r="F59" s="11" t="s">
        <v>57</v>
      </c>
      <c r="G59" s="11" t="s">
        <v>58</v>
      </c>
      <c r="H59" s="11" t="s">
        <v>59</v>
      </c>
      <c r="I59" s="11" t="s">
        <v>7</v>
      </c>
      <c r="J59" s="11" t="s">
        <v>8</v>
      </c>
      <c r="K59" s="11" t="s">
        <v>10</v>
      </c>
      <c r="L59" s="11" t="s">
        <v>90</v>
      </c>
    </row>
    <row r="60" spans="1:14" x14ac:dyDescent="0.3">
      <c r="A60" s="12">
        <v>45948</v>
      </c>
      <c r="B60" s="12" t="s">
        <v>67</v>
      </c>
      <c r="C60" s="13" t="s">
        <v>72</v>
      </c>
      <c r="D60" s="14">
        <v>1</v>
      </c>
      <c r="E60" s="15">
        <v>15</v>
      </c>
      <c r="F60" s="15">
        <f>D60*E60</f>
        <v>15</v>
      </c>
      <c r="G60" s="13" t="s">
        <v>141</v>
      </c>
      <c r="H60" s="13"/>
      <c r="I60" s="13" t="str">
        <f t="shared" ref="I60" si="8">UPPER(TEXT(A60,"MMMM"))</f>
        <v>OCTUBRE</v>
      </c>
      <c r="J60" s="13">
        <f t="shared" ref="J60" si="9">+YEAR(A60)</f>
        <v>2025</v>
      </c>
      <c r="K60" s="13" t="s">
        <v>18</v>
      </c>
      <c r="L60" s="13" t="s">
        <v>143</v>
      </c>
    </row>
    <row r="61" spans="1:14" x14ac:dyDescent="0.3">
      <c r="A61" s="12">
        <v>45948</v>
      </c>
      <c r="B61" s="12" t="s">
        <v>67</v>
      </c>
      <c r="C61" s="13" t="s">
        <v>72</v>
      </c>
      <c r="D61" s="14">
        <v>2</v>
      </c>
      <c r="E61" s="15">
        <v>0.2</v>
      </c>
      <c r="F61" s="15">
        <f t="shared" ref="F61:F64" si="10">D61*E61</f>
        <v>0.4</v>
      </c>
      <c r="G61" s="13" t="s">
        <v>142</v>
      </c>
      <c r="H61" s="13"/>
      <c r="I61" s="13" t="str">
        <f>UPPER(TEXT(A61,"MMMM"))</f>
        <v>OCTUBRE</v>
      </c>
      <c r="J61" s="13">
        <f>+YEAR(A61)</f>
        <v>2025</v>
      </c>
      <c r="K61" s="13" t="s">
        <v>18</v>
      </c>
      <c r="L61" s="13" t="s">
        <v>143</v>
      </c>
    </row>
    <row r="62" spans="1:14" x14ac:dyDescent="0.3">
      <c r="A62" s="12">
        <v>45951</v>
      </c>
      <c r="B62" s="12" t="s">
        <v>67</v>
      </c>
      <c r="C62" s="13" t="s">
        <v>72</v>
      </c>
      <c r="D62" s="14">
        <v>1</v>
      </c>
      <c r="E62" s="15">
        <v>3</v>
      </c>
      <c r="F62" s="15">
        <f t="shared" si="10"/>
        <v>3</v>
      </c>
      <c r="G62" s="13" t="s">
        <v>154</v>
      </c>
      <c r="H62" s="13"/>
      <c r="I62" s="13" t="str">
        <f>UPPER(TEXT(A62,"MMMM"))</f>
        <v>OCTUBRE</v>
      </c>
      <c r="J62" s="13">
        <f>+YEAR(A62)</f>
        <v>2025</v>
      </c>
      <c r="K62" s="13" t="s">
        <v>18</v>
      </c>
      <c r="L62" s="13"/>
    </row>
    <row r="63" spans="1:14" x14ac:dyDescent="0.3">
      <c r="A63" s="12">
        <v>45951</v>
      </c>
      <c r="B63" s="12" t="s">
        <v>67</v>
      </c>
      <c r="C63" s="13" t="s">
        <v>72</v>
      </c>
      <c r="D63" s="14">
        <v>1</v>
      </c>
      <c r="E63" s="15">
        <v>3.35</v>
      </c>
      <c r="F63" s="15">
        <f t="shared" si="10"/>
        <v>3.35</v>
      </c>
      <c r="G63" s="13" t="s">
        <v>31</v>
      </c>
      <c r="H63" s="13"/>
      <c r="I63" s="13" t="str">
        <f t="shared" ref="I63:I64" si="11">UPPER(TEXT(A63,"MMMM"))</f>
        <v>OCTUBRE</v>
      </c>
      <c r="J63" s="13">
        <f t="shared" ref="J63:J64" si="12">+YEAR(A63)</f>
        <v>2025</v>
      </c>
      <c r="K63" s="13" t="s">
        <v>18</v>
      </c>
      <c r="L63" s="13"/>
    </row>
    <row r="64" spans="1:14" x14ac:dyDescent="0.3">
      <c r="A64" s="12">
        <v>45951</v>
      </c>
      <c r="B64" s="12" t="s">
        <v>67</v>
      </c>
      <c r="C64" s="13" t="s">
        <v>72</v>
      </c>
      <c r="D64" s="14">
        <v>1</v>
      </c>
      <c r="E64" s="15">
        <v>20</v>
      </c>
      <c r="F64" s="15">
        <f t="shared" si="10"/>
        <v>20</v>
      </c>
      <c r="G64" s="13" t="s">
        <v>155</v>
      </c>
      <c r="H64" s="13"/>
      <c r="I64" s="13" t="str">
        <f t="shared" si="11"/>
        <v>OCTUBRE</v>
      </c>
      <c r="J64" s="13">
        <f t="shared" si="12"/>
        <v>2025</v>
      </c>
      <c r="K64" s="13" t="s">
        <v>18</v>
      </c>
      <c r="L64" s="13"/>
    </row>
    <row r="65" spans="1:14" x14ac:dyDescent="0.3">
      <c r="E65" s="31" t="s">
        <v>57</v>
      </c>
      <c r="F65" s="32">
        <f>SUM(F60:F64)</f>
        <v>41.75</v>
      </c>
    </row>
    <row r="66" spans="1:14" x14ac:dyDescent="0.3">
      <c r="H66" t="s">
        <v>104</v>
      </c>
    </row>
    <row r="67" spans="1:14" x14ac:dyDescent="0.3">
      <c r="D67" t="s">
        <v>123</v>
      </c>
      <c r="F67" s="16">
        <f>G54-F65</f>
        <v>442.25</v>
      </c>
      <c r="H67" t="s">
        <v>1</v>
      </c>
    </row>
    <row r="68" spans="1:14" ht="15" thickBot="1" x14ac:dyDescent="0.35"/>
    <row r="69" spans="1:14" ht="15" thickBot="1" x14ac:dyDescent="0.35">
      <c r="F69" s="33"/>
      <c r="G69" s="34" t="s">
        <v>156</v>
      </c>
      <c r="H69" s="35"/>
    </row>
    <row r="70" spans="1:14" ht="20.399999999999999" customHeight="1" x14ac:dyDescent="0.5">
      <c r="A70" s="28"/>
      <c r="B70" s="28"/>
      <c r="C70" s="28"/>
      <c r="D70" s="28"/>
      <c r="E70" s="28"/>
      <c r="F70" s="36">
        <v>20</v>
      </c>
      <c r="G70" s="37">
        <v>8</v>
      </c>
      <c r="H70" s="38">
        <f>F70*G70</f>
        <v>160</v>
      </c>
      <c r="I70" s="28"/>
      <c r="J70" s="28"/>
      <c r="K70" s="28"/>
      <c r="L70" s="28"/>
      <c r="M70" s="28"/>
      <c r="N70" s="28"/>
    </row>
    <row r="71" spans="1:14" x14ac:dyDescent="0.3">
      <c r="F71" s="39">
        <v>10</v>
      </c>
      <c r="G71" s="40">
        <v>8</v>
      </c>
      <c r="H71" s="41">
        <f>F71*G71</f>
        <v>80</v>
      </c>
    </row>
    <row r="72" spans="1:14" x14ac:dyDescent="0.3">
      <c r="F72" s="39">
        <v>5</v>
      </c>
      <c r="G72" s="40">
        <v>10</v>
      </c>
      <c r="H72" s="41">
        <f>F72*G72</f>
        <v>50</v>
      </c>
    </row>
    <row r="73" spans="1:14" x14ac:dyDescent="0.3">
      <c r="F73" s="39">
        <v>1</v>
      </c>
      <c r="G73" s="40">
        <v>1</v>
      </c>
      <c r="H73" s="41">
        <f>F73*G73</f>
        <v>1</v>
      </c>
    </row>
    <row r="74" spans="1:14" x14ac:dyDescent="0.3">
      <c r="F74" s="39">
        <v>0.25</v>
      </c>
      <c r="G74" s="40">
        <v>5</v>
      </c>
      <c r="H74" s="41">
        <f>F74*G74</f>
        <v>1.25</v>
      </c>
    </row>
    <row r="75" spans="1:14" x14ac:dyDescent="0.3">
      <c r="F75" s="39"/>
      <c r="G75" s="40"/>
      <c r="H75" s="41"/>
    </row>
    <row r="76" spans="1:14" ht="15" thickBot="1" x14ac:dyDescent="0.35">
      <c r="F76" s="42"/>
      <c r="G76" s="43"/>
      <c r="H76" s="44">
        <f>SUM(H70:H75)</f>
        <v>292.25</v>
      </c>
    </row>
    <row r="79" spans="1:14" ht="25.8" x14ac:dyDescent="0.5">
      <c r="A79" s="86" t="s">
        <v>103</v>
      </c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</row>
    <row r="80" spans="1:14" ht="15" thickBot="1" x14ac:dyDescent="0.35">
      <c r="A80" s="21" t="s">
        <v>1</v>
      </c>
      <c r="B80" s="22" t="s">
        <v>11</v>
      </c>
      <c r="C80" s="22" t="s">
        <v>12</v>
      </c>
      <c r="D80" s="22" t="s">
        <v>9</v>
      </c>
      <c r="E80" s="22" t="s">
        <v>3</v>
      </c>
      <c r="F80" s="22" t="s">
        <v>4</v>
      </c>
      <c r="G80" s="22" t="s">
        <v>5</v>
      </c>
      <c r="H80" s="22" t="s">
        <v>6</v>
      </c>
      <c r="I80" s="22" t="s">
        <v>36</v>
      </c>
      <c r="J80" s="22" t="s">
        <v>10</v>
      </c>
      <c r="K80" s="22" t="s">
        <v>7</v>
      </c>
      <c r="L80" s="22" t="s">
        <v>8</v>
      </c>
      <c r="M80" s="22" t="s">
        <v>75</v>
      </c>
      <c r="N80" s="22" t="s">
        <v>100</v>
      </c>
    </row>
    <row r="81" spans="1:14" ht="15" thickTop="1" x14ac:dyDescent="0.3">
      <c r="A81" s="24">
        <v>45954</v>
      </c>
      <c r="B81" s="25" t="s">
        <v>180</v>
      </c>
      <c r="C81" s="25" t="s">
        <v>181</v>
      </c>
      <c r="D81" s="19" t="s">
        <v>17</v>
      </c>
      <c r="E81" s="19">
        <v>1</v>
      </c>
      <c r="F81" s="19">
        <v>60</v>
      </c>
      <c r="G81" s="19">
        <f t="shared" ref="G81:G97" si="13">E81*F81</f>
        <v>60</v>
      </c>
      <c r="H81" s="19" t="s">
        <v>38</v>
      </c>
      <c r="I81" s="19" t="s">
        <v>182</v>
      </c>
      <c r="J81" s="19" t="s">
        <v>18</v>
      </c>
      <c r="K81" s="19" t="str">
        <f t="shared" ref="K81:K97" si="14">UPPER(TEXT(A81,"MMMM"))</f>
        <v>OCTUBRE</v>
      </c>
      <c r="L81" s="19">
        <f t="shared" ref="L81:L97" si="15">+YEAR(A81)</f>
        <v>2025</v>
      </c>
      <c r="M81" s="19">
        <v>574</v>
      </c>
      <c r="N81" s="17" t="s">
        <v>197</v>
      </c>
    </row>
    <row r="82" spans="1:14" x14ac:dyDescent="0.3">
      <c r="A82" s="26">
        <v>45953</v>
      </c>
      <c r="B82" s="27" t="s">
        <v>109</v>
      </c>
      <c r="C82" s="27" t="s">
        <v>110</v>
      </c>
      <c r="D82" s="17" t="s">
        <v>17</v>
      </c>
      <c r="E82" s="17">
        <v>1</v>
      </c>
      <c r="F82" s="17">
        <v>5</v>
      </c>
      <c r="G82" s="17">
        <f t="shared" si="13"/>
        <v>5</v>
      </c>
      <c r="H82" s="17" t="s">
        <v>38</v>
      </c>
      <c r="I82" s="17" t="s">
        <v>111</v>
      </c>
      <c r="J82" s="17" t="s">
        <v>18</v>
      </c>
      <c r="K82" s="17" t="str">
        <f t="shared" si="14"/>
        <v>OCTUBRE</v>
      </c>
      <c r="L82" s="17">
        <f t="shared" si="15"/>
        <v>2025</v>
      </c>
      <c r="M82" s="17">
        <v>601</v>
      </c>
      <c r="N82" s="17" t="s">
        <v>192</v>
      </c>
    </row>
    <row r="83" spans="1:14" x14ac:dyDescent="0.3">
      <c r="A83" s="24">
        <v>45953</v>
      </c>
      <c r="B83" s="25" t="s">
        <v>105</v>
      </c>
      <c r="C83" s="25" t="s">
        <v>125</v>
      </c>
      <c r="D83" s="19" t="s">
        <v>17</v>
      </c>
      <c r="E83" s="19">
        <v>1</v>
      </c>
      <c r="F83" s="19">
        <v>150</v>
      </c>
      <c r="G83" s="19">
        <f t="shared" si="13"/>
        <v>150</v>
      </c>
      <c r="H83" s="19" t="s">
        <v>38</v>
      </c>
      <c r="I83" s="19"/>
      <c r="J83" s="19" t="s">
        <v>18</v>
      </c>
      <c r="K83" s="19" t="str">
        <f t="shared" si="14"/>
        <v>OCTUBRE</v>
      </c>
      <c r="L83" s="19">
        <f t="shared" si="15"/>
        <v>2025</v>
      </c>
      <c r="M83" s="19">
        <v>603</v>
      </c>
      <c r="N83" s="19" t="s">
        <v>191</v>
      </c>
    </row>
    <row r="84" spans="1:14" x14ac:dyDescent="0.3">
      <c r="A84" s="24">
        <v>45953</v>
      </c>
      <c r="B84" s="25" t="s">
        <v>128</v>
      </c>
      <c r="C84" s="25" t="s">
        <v>129</v>
      </c>
      <c r="D84" s="19" t="s">
        <v>17</v>
      </c>
      <c r="E84" s="19">
        <v>1</v>
      </c>
      <c r="F84" s="19">
        <v>40</v>
      </c>
      <c r="G84" s="19">
        <f t="shared" si="13"/>
        <v>40</v>
      </c>
      <c r="H84" s="19" t="s">
        <v>38</v>
      </c>
      <c r="I84" s="19"/>
      <c r="J84" s="19" t="s">
        <v>18</v>
      </c>
      <c r="K84" s="19" t="str">
        <f t="shared" si="14"/>
        <v>OCTUBRE</v>
      </c>
      <c r="L84" s="19">
        <f t="shared" si="15"/>
        <v>2025</v>
      </c>
      <c r="M84" s="19">
        <v>605</v>
      </c>
      <c r="N84" s="19" t="s">
        <v>195</v>
      </c>
    </row>
    <row r="85" spans="1:14" x14ac:dyDescent="0.3">
      <c r="A85" s="26">
        <v>45952</v>
      </c>
      <c r="B85" s="27" t="s">
        <v>144</v>
      </c>
      <c r="C85" s="27" t="s">
        <v>145</v>
      </c>
      <c r="D85" s="17" t="s">
        <v>70</v>
      </c>
      <c r="E85" s="17">
        <v>1</v>
      </c>
      <c r="F85" s="17">
        <v>12</v>
      </c>
      <c r="G85" s="17">
        <f t="shared" si="13"/>
        <v>12</v>
      </c>
      <c r="H85" s="17" t="s">
        <v>38</v>
      </c>
      <c r="I85" s="17" t="s">
        <v>158</v>
      </c>
      <c r="J85" s="17" t="s">
        <v>18</v>
      </c>
      <c r="K85" s="17" t="str">
        <f t="shared" si="14"/>
        <v>OCTUBRE</v>
      </c>
      <c r="L85" s="17">
        <f t="shared" si="15"/>
        <v>2025</v>
      </c>
      <c r="M85" s="17">
        <v>609</v>
      </c>
      <c r="N85" s="17" t="s">
        <v>185</v>
      </c>
    </row>
    <row r="86" spans="1:14" x14ac:dyDescent="0.3">
      <c r="A86" s="24">
        <v>45952</v>
      </c>
      <c r="B86" s="25" t="s">
        <v>165</v>
      </c>
      <c r="C86" s="25" t="s">
        <v>149</v>
      </c>
      <c r="D86" s="19" t="s">
        <v>17</v>
      </c>
      <c r="E86" s="19">
        <v>1</v>
      </c>
      <c r="F86" s="19">
        <v>40</v>
      </c>
      <c r="G86" s="19">
        <f t="shared" si="13"/>
        <v>40</v>
      </c>
      <c r="H86" s="19" t="s">
        <v>38</v>
      </c>
      <c r="I86" s="19"/>
      <c r="J86" s="19" t="s">
        <v>18</v>
      </c>
      <c r="K86" s="19" t="str">
        <f t="shared" si="14"/>
        <v>OCTUBRE</v>
      </c>
      <c r="L86" s="19">
        <f t="shared" si="15"/>
        <v>2025</v>
      </c>
      <c r="M86" s="19">
        <v>611</v>
      </c>
      <c r="N86" s="19" t="s">
        <v>188</v>
      </c>
    </row>
    <row r="87" spans="1:14" x14ac:dyDescent="0.3">
      <c r="A87" s="24">
        <v>45951</v>
      </c>
      <c r="B87" s="25" t="s">
        <v>157</v>
      </c>
      <c r="C87" s="25" t="s">
        <v>247</v>
      </c>
      <c r="D87" s="19" t="s">
        <v>17</v>
      </c>
      <c r="E87" s="19">
        <v>1</v>
      </c>
      <c r="F87" s="19">
        <v>115</v>
      </c>
      <c r="G87" s="19">
        <f t="shared" si="13"/>
        <v>115</v>
      </c>
      <c r="H87" s="19" t="s">
        <v>38</v>
      </c>
      <c r="I87" s="19" t="s">
        <v>248</v>
      </c>
      <c r="J87" s="19" t="s">
        <v>84</v>
      </c>
      <c r="K87" s="19" t="str">
        <f t="shared" si="14"/>
        <v>OCTUBRE</v>
      </c>
      <c r="L87" s="19">
        <f t="shared" si="15"/>
        <v>2025</v>
      </c>
      <c r="M87" s="19">
        <v>612</v>
      </c>
      <c r="N87" s="19"/>
    </row>
    <row r="88" spans="1:14" x14ac:dyDescent="0.3">
      <c r="A88" s="26">
        <v>45952</v>
      </c>
      <c r="B88" s="27" t="s">
        <v>163</v>
      </c>
      <c r="C88" s="27" t="s">
        <v>164</v>
      </c>
      <c r="D88" s="17" t="s">
        <v>17</v>
      </c>
      <c r="E88" s="17">
        <v>1</v>
      </c>
      <c r="F88" s="17">
        <v>20</v>
      </c>
      <c r="G88" s="17">
        <f t="shared" si="13"/>
        <v>20</v>
      </c>
      <c r="H88" s="17" t="s">
        <v>37</v>
      </c>
      <c r="I88" s="17"/>
      <c r="J88" s="17" t="s">
        <v>18</v>
      </c>
      <c r="K88" s="17" t="str">
        <f t="shared" si="14"/>
        <v>OCTUBRE</v>
      </c>
      <c r="L88" s="17">
        <f t="shared" si="15"/>
        <v>2025</v>
      </c>
      <c r="M88" s="17">
        <v>613</v>
      </c>
      <c r="N88" s="17"/>
    </row>
    <row r="89" spans="1:14" x14ac:dyDescent="0.3">
      <c r="A89" s="24">
        <v>45953</v>
      </c>
      <c r="B89" s="25" t="s">
        <v>170</v>
      </c>
      <c r="C89" s="25" t="s">
        <v>171</v>
      </c>
      <c r="D89" s="19" t="s">
        <v>17</v>
      </c>
      <c r="E89" s="19">
        <v>1</v>
      </c>
      <c r="F89" s="19">
        <v>39</v>
      </c>
      <c r="G89" s="19">
        <f t="shared" si="13"/>
        <v>39</v>
      </c>
      <c r="H89" s="19" t="s">
        <v>38</v>
      </c>
      <c r="I89" s="19" t="s">
        <v>172</v>
      </c>
      <c r="J89" s="19" t="s">
        <v>18</v>
      </c>
      <c r="K89" s="19" t="str">
        <f t="shared" si="14"/>
        <v>OCTUBRE</v>
      </c>
      <c r="L89" s="19">
        <f t="shared" si="15"/>
        <v>2025</v>
      </c>
      <c r="M89" s="19">
        <v>614</v>
      </c>
      <c r="N89" s="19" t="s">
        <v>193</v>
      </c>
    </row>
    <row r="90" spans="1:14" x14ac:dyDescent="0.3">
      <c r="A90" s="26">
        <v>45953</v>
      </c>
      <c r="B90" s="27" t="s">
        <v>168</v>
      </c>
      <c r="C90" s="27" t="s">
        <v>169</v>
      </c>
      <c r="D90" s="17" t="s">
        <v>17</v>
      </c>
      <c r="E90" s="17">
        <v>1</v>
      </c>
      <c r="F90" s="17">
        <v>30</v>
      </c>
      <c r="G90" s="17">
        <f t="shared" si="13"/>
        <v>30</v>
      </c>
      <c r="H90" s="17" t="s">
        <v>37</v>
      </c>
      <c r="I90" s="17"/>
      <c r="J90" s="17" t="s">
        <v>18</v>
      </c>
      <c r="K90" s="17" t="str">
        <f t="shared" si="14"/>
        <v>OCTUBRE</v>
      </c>
      <c r="L90" s="17">
        <f t="shared" si="15"/>
        <v>2025</v>
      </c>
      <c r="M90" s="17">
        <v>617</v>
      </c>
      <c r="N90" s="17" t="s">
        <v>189</v>
      </c>
    </row>
    <row r="91" spans="1:14" x14ac:dyDescent="0.3">
      <c r="A91" s="26">
        <v>45953</v>
      </c>
      <c r="B91" s="27" t="s">
        <v>131</v>
      </c>
      <c r="C91" s="27" t="s">
        <v>173</v>
      </c>
      <c r="D91" s="17" t="s">
        <v>17</v>
      </c>
      <c r="E91" s="17">
        <v>1</v>
      </c>
      <c r="F91" s="17">
        <v>15</v>
      </c>
      <c r="G91" s="17">
        <f t="shared" si="13"/>
        <v>15</v>
      </c>
      <c r="H91" s="17" t="s">
        <v>37</v>
      </c>
      <c r="I91" s="17"/>
      <c r="J91" s="17" t="s">
        <v>18</v>
      </c>
      <c r="K91" s="17" t="str">
        <f t="shared" si="14"/>
        <v>OCTUBRE</v>
      </c>
      <c r="L91" s="17">
        <f t="shared" si="15"/>
        <v>2025</v>
      </c>
      <c r="M91" s="17">
        <v>618</v>
      </c>
      <c r="N91" s="17" t="s">
        <v>194</v>
      </c>
    </row>
    <row r="92" spans="1:14" x14ac:dyDescent="0.3">
      <c r="A92" s="24">
        <v>45954</v>
      </c>
      <c r="B92" s="25" t="s">
        <v>131</v>
      </c>
      <c r="C92" s="19" t="s">
        <v>173</v>
      </c>
      <c r="D92" s="19" t="s">
        <v>17</v>
      </c>
      <c r="E92" s="19">
        <v>1</v>
      </c>
      <c r="F92" s="19">
        <v>70</v>
      </c>
      <c r="G92" s="19">
        <f t="shared" si="13"/>
        <v>70</v>
      </c>
      <c r="H92" s="19" t="s">
        <v>38</v>
      </c>
      <c r="I92" s="19" t="s">
        <v>17</v>
      </c>
      <c r="J92" s="19" t="s">
        <v>18</v>
      </c>
      <c r="K92" s="19" t="str">
        <f t="shared" si="14"/>
        <v>OCTUBRE</v>
      </c>
      <c r="L92" s="19">
        <f t="shared" si="15"/>
        <v>2025</v>
      </c>
      <c r="M92" s="19">
        <v>618</v>
      </c>
      <c r="N92" s="17" t="s">
        <v>198</v>
      </c>
    </row>
    <row r="93" spans="1:14" x14ac:dyDescent="0.3">
      <c r="A93" s="24">
        <v>45952</v>
      </c>
      <c r="B93" s="25" t="s">
        <v>159</v>
      </c>
      <c r="C93" s="19" t="s">
        <v>160</v>
      </c>
      <c r="D93" s="19" t="s">
        <v>17</v>
      </c>
      <c r="E93" s="19">
        <v>1</v>
      </c>
      <c r="F93" s="19">
        <v>100</v>
      </c>
      <c r="G93" s="19">
        <f t="shared" si="13"/>
        <v>100</v>
      </c>
      <c r="H93" s="19" t="s">
        <v>37</v>
      </c>
      <c r="I93" s="19" t="s">
        <v>161</v>
      </c>
      <c r="J93" s="19" t="s">
        <v>18</v>
      </c>
      <c r="K93" s="19" t="str">
        <f t="shared" si="14"/>
        <v>OCTUBRE</v>
      </c>
      <c r="L93" s="19">
        <f t="shared" si="15"/>
        <v>2025</v>
      </c>
      <c r="M93" s="19" t="s">
        <v>162</v>
      </c>
      <c r="N93" s="19" t="s">
        <v>186</v>
      </c>
    </row>
    <row r="94" spans="1:14" x14ac:dyDescent="0.3">
      <c r="A94" s="26">
        <v>45952</v>
      </c>
      <c r="B94" s="27" t="s">
        <v>166</v>
      </c>
      <c r="C94" s="17" t="s">
        <v>71</v>
      </c>
      <c r="D94" s="17" t="s">
        <v>17</v>
      </c>
      <c r="E94" s="17">
        <v>1</v>
      </c>
      <c r="F94" s="17">
        <v>20</v>
      </c>
      <c r="G94" s="17">
        <f t="shared" si="13"/>
        <v>20</v>
      </c>
      <c r="H94" s="17" t="s">
        <v>37</v>
      </c>
      <c r="I94" s="17" t="s">
        <v>167</v>
      </c>
      <c r="J94" s="17" t="s">
        <v>18</v>
      </c>
      <c r="K94" s="17" t="str">
        <f t="shared" si="14"/>
        <v>OCTUBRE</v>
      </c>
      <c r="L94" s="17">
        <f t="shared" si="15"/>
        <v>2025</v>
      </c>
      <c r="M94" s="17" t="s">
        <v>136</v>
      </c>
      <c r="N94" s="17"/>
    </row>
    <row r="95" spans="1:14" x14ac:dyDescent="0.3">
      <c r="A95" s="24">
        <v>45953</v>
      </c>
      <c r="B95" s="25" t="s">
        <v>166</v>
      </c>
      <c r="C95" s="19" t="s">
        <v>71</v>
      </c>
      <c r="D95" s="19" t="s">
        <v>17</v>
      </c>
      <c r="E95" s="19">
        <v>1</v>
      </c>
      <c r="F95" s="19">
        <v>5</v>
      </c>
      <c r="G95" s="19">
        <f t="shared" si="13"/>
        <v>5</v>
      </c>
      <c r="H95" s="19" t="s">
        <v>38</v>
      </c>
      <c r="I95" s="19" t="s">
        <v>167</v>
      </c>
      <c r="J95" s="19" t="s">
        <v>18</v>
      </c>
      <c r="K95" s="19" t="str">
        <f t="shared" si="14"/>
        <v>OCTUBRE</v>
      </c>
      <c r="L95" s="19">
        <f t="shared" si="15"/>
        <v>2025</v>
      </c>
      <c r="M95" s="19" t="s">
        <v>136</v>
      </c>
      <c r="N95" s="47"/>
    </row>
    <row r="96" spans="1:14" x14ac:dyDescent="0.3">
      <c r="A96" s="45">
        <v>45953</v>
      </c>
      <c r="B96" s="46" t="s">
        <v>174</v>
      </c>
      <c r="C96" s="46" t="s">
        <v>175</v>
      </c>
      <c r="D96" s="46" t="s">
        <v>21</v>
      </c>
      <c r="E96" s="46">
        <v>1</v>
      </c>
      <c r="F96" s="46">
        <v>5</v>
      </c>
      <c r="G96" s="46">
        <f t="shared" si="13"/>
        <v>5</v>
      </c>
      <c r="H96" s="46" t="s">
        <v>38</v>
      </c>
      <c r="I96" s="46"/>
      <c r="J96" s="46" t="s">
        <v>18</v>
      </c>
      <c r="K96" s="46" t="str">
        <f t="shared" si="14"/>
        <v>OCTUBRE</v>
      </c>
      <c r="L96" s="46">
        <f t="shared" si="15"/>
        <v>2025</v>
      </c>
      <c r="M96" s="46" t="s">
        <v>136</v>
      </c>
      <c r="N96" s="46" t="s">
        <v>196</v>
      </c>
    </row>
    <row r="97" spans="1:14" x14ac:dyDescent="0.3">
      <c r="A97" s="45">
        <v>45954</v>
      </c>
      <c r="B97" s="46" t="s">
        <v>107</v>
      </c>
      <c r="C97" s="46" t="s">
        <v>199</v>
      </c>
      <c r="D97" s="46" t="s">
        <v>17</v>
      </c>
      <c r="E97" s="46">
        <v>1</v>
      </c>
      <c r="F97" s="46">
        <v>10</v>
      </c>
      <c r="G97" s="46">
        <f t="shared" si="13"/>
        <v>10</v>
      </c>
      <c r="H97" s="46" t="s">
        <v>37</v>
      </c>
      <c r="I97" s="46" t="s">
        <v>17</v>
      </c>
      <c r="J97" s="46" t="s">
        <v>18</v>
      </c>
      <c r="K97" s="46" t="str">
        <f t="shared" si="14"/>
        <v>OCTUBRE</v>
      </c>
      <c r="L97" s="46">
        <f t="shared" si="15"/>
        <v>2025</v>
      </c>
      <c r="M97" s="46"/>
      <c r="N97" s="46" t="s">
        <v>186</v>
      </c>
    </row>
    <row r="98" spans="1:14" x14ac:dyDescent="0.3">
      <c r="F98" s="29" t="s">
        <v>5</v>
      </c>
      <c r="G98" s="29">
        <f>SUM(G81:G97)</f>
        <v>736</v>
      </c>
    </row>
    <row r="100" spans="1:14" x14ac:dyDescent="0.3">
      <c r="A100" s="11" t="s">
        <v>1</v>
      </c>
      <c r="B100" s="11" t="s">
        <v>2</v>
      </c>
      <c r="C100" s="11" t="s">
        <v>61</v>
      </c>
      <c r="D100" s="11" t="s">
        <v>3</v>
      </c>
      <c r="E100" s="11" t="s">
        <v>4</v>
      </c>
      <c r="F100" s="11" t="s">
        <v>57</v>
      </c>
      <c r="G100" s="11" t="s">
        <v>58</v>
      </c>
      <c r="H100" s="11" t="s">
        <v>59</v>
      </c>
      <c r="I100" s="11" t="s">
        <v>7</v>
      </c>
      <c r="J100" s="11" t="s">
        <v>8</v>
      </c>
      <c r="K100" s="11" t="s">
        <v>10</v>
      </c>
      <c r="L100" s="11" t="s">
        <v>100</v>
      </c>
    </row>
    <row r="101" spans="1:14" x14ac:dyDescent="0.3">
      <c r="A101" s="12">
        <v>45952</v>
      </c>
      <c r="B101" s="12" t="s">
        <v>67</v>
      </c>
      <c r="C101" s="13" t="s">
        <v>72</v>
      </c>
      <c r="D101" s="14">
        <v>1</v>
      </c>
      <c r="E101" s="15">
        <v>14</v>
      </c>
      <c r="F101" s="15">
        <f>D101*E101</f>
        <v>14</v>
      </c>
      <c r="G101" s="13" t="s">
        <v>176</v>
      </c>
      <c r="H101" s="13"/>
      <c r="I101" s="13" t="str">
        <f t="shared" ref="I101:I107" si="16">UPPER(TEXT(A101,"MMMM"))</f>
        <v>OCTUBRE</v>
      </c>
      <c r="J101" s="13">
        <f t="shared" ref="J101:J107" si="17">+YEAR(A101)</f>
        <v>2025</v>
      </c>
      <c r="K101" s="13" t="s">
        <v>18</v>
      </c>
      <c r="L101" t="s">
        <v>240</v>
      </c>
    </row>
    <row r="102" spans="1:14" x14ac:dyDescent="0.3">
      <c r="A102" s="12">
        <v>45953</v>
      </c>
      <c r="B102" s="12" t="s">
        <v>67</v>
      </c>
      <c r="C102" s="13" t="s">
        <v>72</v>
      </c>
      <c r="D102" s="14">
        <v>1</v>
      </c>
      <c r="E102" s="15">
        <v>0.75</v>
      </c>
      <c r="F102" s="15">
        <f t="shared" ref="F102:F107" si="18">D102*E102</f>
        <v>0.75</v>
      </c>
      <c r="G102" s="13" t="s">
        <v>177</v>
      </c>
      <c r="H102" s="13"/>
      <c r="I102" s="13" t="str">
        <f t="shared" si="16"/>
        <v>OCTUBRE</v>
      </c>
      <c r="J102" s="13">
        <f t="shared" si="17"/>
        <v>2025</v>
      </c>
      <c r="K102" s="13" t="s">
        <v>18</v>
      </c>
      <c r="L102" t="s">
        <v>241</v>
      </c>
    </row>
    <row r="103" spans="1:14" x14ac:dyDescent="0.3">
      <c r="A103" s="12">
        <v>45953</v>
      </c>
      <c r="B103" s="12" t="s">
        <v>19</v>
      </c>
      <c r="C103" s="13" t="s">
        <v>64</v>
      </c>
      <c r="D103" s="14">
        <v>1</v>
      </c>
      <c r="E103" s="15">
        <v>5</v>
      </c>
      <c r="F103" s="15">
        <f t="shared" si="18"/>
        <v>5</v>
      </c>
      <c r="G103" s="13"/>
      <c r="H103" s="13"/>
      <c r="I103" s="13" t="str">
        <f t="shared" si="16"/>
        <v>OCTUBRE</v>
      </c>
      <c r="J103" s="13">
        <f t="shared" si="17"/>
        <v>2025</v>
      </c>
      <c r="K103" s="13" t="s">
        <v>18</v>
      </c>
      <c r="L103" t="s">
        <v>241</v>
      </c>
    </row>
    <row r="104" spans="1:14" x14ac:dyDescent="0.3">
      <c r="A104" s="12">
        <v>45953</v>
      </c>
      <c r="B104" s="12"/>
      <c r="C104" s="13" t="s">
        <v>72</v>
      </c>
      <c r="D104" s="14">
        <v>1</v>
      </c>
      <c r="E104" s="15">
        <v>1.25</v>
      </c>
      <c r="F104" s="15">
        <f t="shared" si="18"/>
        <v>1.25</v>
      </c>
      <c r="G104" s="13" t="s">
        <v>178</v>
      </c>
      <c r="H104" s="13"/>
      <c r="I104" s="13" t="str">
        <f t="shared" si="16"/>
        <v>OCTUBRE</v>
      </c>
      <c r="J104" s="13">
        <f t="shared" si="17"/>
        <v>2025</v>
      </c>
      <c r="K104" s="13" t="s">
        <v>18</v>
      </c>
      <c r="L104" t="s">
        <v>241</v>
      </c>
    </row>
    <row r="105" spans="1:14" x14ac:dyDescent="0.3">
      <c r="A105" s="12">
        <v>45954</v>
      </c>
      <c r="B105" s="12" t="s">
        <v>22</v>
      </c>
      <c r="C105" s="13" t="s">
        <v>72</v>
      </c>
      <c r="D105" s="14">
        <v>1</v>
      </c>
      <c r="E105" s="15">
        <v>11</v>
      </c>
      <c r="F105" s="15">
        <f t="shared" si="18"/>
        <v>11</v>
      </c>
      <c r="G105" s="13" t="s">
        <v>178</v>
      </c>
      <c r="H105" s="13"/>
      <c r="I105" s="13" t="str">
        <f t="shared" si="16"/>
        <v>OCTUBRE</v>
      </c>
      <c r="J105" s="13">
        <f t="shared" si="17"/>
        <v>2025</v>
      </c>
      <c r="K105" s="13" t="s">
        <v>18</v>
      </c>
      <c r="L105" t="s">
        <v>242</v>
      </c>
    </row>
    <row r="106" spans="1:14" x14ac:dyDescent="0.3">
      <c r="A106" s="12">
        <v>45954</v>
      </c>
      <c r="B106" s="12" t="s">
        <v>22</v>
      </c>
      <c r="C106" s="13" t="s">
        <v>72</v>
      </c>
      <c r="D106" s="14">
        <v>1</v>
      </c>
      <c r="E106" s="15">
        <v>104</v>
      </c>
      <c r="F106" s="15">
        <f t="shared" si="18"/>
        <v>104</v>
      </c>
      <c r="G106" s="13" t="s">
        <v>179</v>
      </c>
      <c r="H106" s="13"/>
      <c r="I106" s="13" t="str">
        <f t="shared" si="16"/>
        <v>OCTUBRE</v>
      </c>
      <c r="J106" s="13">
        <f t="shared" si="17"/>
        <v>2025</v>
      </c>
      <c r="K106" s="13" t="s">
        <v>18</v>
      </c>
      <c r="L106" t="s">
        <v>242</v>
      </c>
    </row>
    <row r="107" spans="1:14" x14ac:dyDescent="0.3">
      <c r="A107" s="12">
        <v>45954</v>
      </c>
      <c r="B107" s="12" t="s">
        <v>68</v>
      </c>
      <c r="C107" s="13" t="s">
        <v>72</v>
      </c>
      <c r="D107" s="14">
        <v>1</v>
      </c>
      <c r="E107" s="15">
        <v>100</v>
      </c>
      <c r="F107" s="15">
        <f t="shared" si="18"/>
        <v>100</v>
      </c>
      <c r="G107" s="13" t="s">
        <v>184</v>
      </c>
      <c r="H107" s="13"/>
      <c r="I107" s="13" t="str">
        <f t="shared" si="16"/>
        <v>OCTUBRE</v>
      </c>
      <c r="J107" s="13">
        <f t="shared" si="17"/>
        <v>2025</v>
      </c>
      <c r="K107" s="13" t="s">
        <v>18</v>
      </c>
      <c r="L107" s="13"/>
    </row>
    <row r="108" spans="1:14" x14ac:dyDescent="0.3">
      <c r="E108" s="31" t="s">
        <v>57</v>
      </c>
      <c r="F108" s="32">
        <f>SUM(F100:F107)</f>
        <v>236</v>
      </c>
    </row>
    <row r="111" spans="1:14" x14ac:dyDescent="0.3">
      <c r="E111" t="s">
        <v>183</v>
      </c>
      <c r="F111" s="16">
        <f>G98-F108</f>
        <v>500</v>
      </c>
    </row>
    <row r="115" spans="1:15" ht="25.8" x14ac:dyDescent="0.5">
      <c r="A115" s="86" t="s">
        <v>103</v>
      </c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</row>
    <row r="116" spans="1:15" ht="15" thickBot="1" x14ac:dyDescent="0.35">
      <c r="A116" s="21" t="s">
        <v>1</v>
      </c>
      <c r="B116" s="22" t="s">
        <v>11</v>
      </c>
      <c r="C116" s="22" t="s">
        <v>12</v>
      </c>
      <c r="D116" s="22" t="s">
        <v>9</v>
      </c>
      <c r="E116" s="22" t="s">
        <v>3</v>
      </c>
      <c r="F116" s="22" t="s">
        <v>4</v>
      </c>
      <c r="G116" s="22" t="s">
        <v>5</v>
      </c>
      <c r="H116" s="22" t="s">
        <v>6</v>
      </c>
      <c r="I116" s="22" t="s">
        <v>36</v>
      </c>
      <c r="J116" s="22" t="s">
        <v>10</v>
      </c>
      <c r="K116" s="22" t="s">
        <v>7</v>
      </c>
      <c r="L116" s="22" t="s">
        <v>8</v>
      </c>
      <c r="M116" s="22" t="s">
        <v>75</v>
      </c>
      <c r="N116" s="22" t="s">
        <v>100</v>
      </c>
    </row>
    <row r="117" spans="1:15" ht="15" thickTop="1" x14ac:dyDescent="0.3">
      <c r="A117" s="26">
        <v>45957</v>
      </c>
      <c r="B117" s="27" t="s">
        <v>126</v>
      </c>
      <c r="C117" s="27" t="s">
        <v>127</v>
      </c>
      <c r="D117" s="17" t="s">
        <v>17</v>
      </c>
      <c r="E117" s="17">
        <v>1</v>
      </c>
      <c r="F117" s="17">
        <v>260</v>
      </c>
      <c r="G117" s="17">
        <f>E117*F117</f>
        <v>260</v>
      </c>
      <c r="H117" s="17" t="s">
        <v>38</v>
      </c>
      <c r="I117" s="17" t="s">
        <v>151</v>
      </c>
      <c r="J117" s="17" t="s">
        <v>18</v>
      </c>
      <c r="K117" s="17" t="str">
        <f>UPPER(TEXT(A117,"MMMM"))</f>
        <v>OCTUBRE</v>
      </c>
      <c r="L117" s="17">
        <f>+YEAR(A117)</f>
        <v>2025</v>
      </c>
      <c r="M117" s="17">
        <v>604</v>
      </c>
      <c r="N117" s="17"/>
      <c r="O117" s="46"/>
    </row>
    <row r="118" spans="1:15" x14ac:dyDescent="0.3">
      <c r="A118" s="24">
        <v>45957</v>
      </c>
      <c r="B118" s="25" t="s">
        <v>130</v>
      </c>
      <c r="C118" s="25" t="s">
        <v>13</v>
      </c>
      <c r="D118" s="19" t="s">
        <v>17</v>
      </c>
      <c r="E118" s="19">
        <v>1</v>
      </c>
      <c r="F118" s="19">
        <v>70</v>
      </c>
      <c r="G118" s="19">
        <f>E118*F118</f>
        <v>70</v>
      </c>
      <c r="H118" s="19" t="s">
        <v>38</v>
      </c>
      <c r="I118" s="19" t="s">
        <v>151</v>
      </c>
      <c r="J118" s="19" t="s">
        <v>18</v>
      </c>
      <c r="K118" s="19" t="str">
        <f>UPPER(TEXT(A118,"MMMM"))</f>
        <v>OCTUBRE</v>
      </c>
      <c r="L118" s="19">
        <f>+YEAR(A118)</f>
        <v>2025</v>
      </c>
      <c r="M118" s="19">
        <v>606</v>
      </c>
      <c r="N118" s="17"/>
    </row>
    <row r="119" spans="1:15" x14ac:dyDescent="0.3">
      <c r="A119" s="24">
        <v>45957</v>
      </c>
      <c r="B119" s="25" t="s">
        <v>244</v>
      </c>
      <c r="C119" s="25" t="s">
        <v>245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>
        <v>615</v>
      </c>
      <c r="N119" s="17" t="s">
        <v>246</v>
      </c>
    </row>
    <row r="120" spans="1:15" x14ac:dyDescent="0.3">
      <c r="A120" s="26">
        <v>45955</v>
      </c>
      <c r="B120" s="27" t="s">
        <v>200</v>
      </c>
      <c r="C120" s="27" t="s">
        <v>201</v>
      </c>
      <c r="D120" s="17" t="s">
        <v>17</v>
      </c>
      <c r="E120" s="17">
        <v>1</v>
      </c>
      <c r="F120" s="17">
        <v>35</v>
      </c>
      <c r="G120" s="17"/>
      <c r="H120" s="17" t="s">
        <v>38</v>
      </c>
      <c r="I120" s="17" t="s">
        <v>202</v>
      </c>
      <c r="J120" s="17" t="s">
        <v>27</v>
      </c>
      <c r="K120" s="17" t="str">
        <f t="shared" ref="K120:K132" si="19">UPPER(TEXT(A120,"MMMM"))</f>
        <v>OCTUBRE</v>
      </c>
      <c r="L120" s="17">
        <f t="shared" ref="L120:L132" si="20">+YEAR(A120)</f>
        <v>2025</v>
      </c>
      <c r="M120" s="17">
        <v>616</v>
      </c>
      <c r="N120" s="17" t="s">
        <v>203</v>
      </c>
    </row>
    <row r="121" spans="1:15" x14ac:dyDescent="0.3">
      <c r="A121" s="24">
        <v>45955</v>
      </c>
      <c r="B121" s="25" t="s">
        <v>168</v>
      </c>
      <c r="C121" s="19" t="s">
        <v>169</v>
      </c>
      <c r="D121" s="19" t="s">
        <v>17</v>
      </c>
      <c r="E121" s="19">
        <v>1</v>
      </c>
      <c r="F121" s="19">
        <v>65</v>
      </c>
      <c r="G121" s="19">
        <v>35</v>
      </c>
      <c r="H121" s="19" t="s">
        <v>38</v>
      </c>
      <c r="I121" s="19" t="s">
        <v>17</v>
      </c>
      <c r="J121" s="19" t="s">
        <v>18</v>
      </c>
      <c r="K121" s="19" t="str">
        <f t="shared" si="19"/>
        <v>OCTUBRE</v>
      </c>
      <c r="L121" s="19">
        <f t="shared" si="20"/>
        <v>2025</v>
      </c>
      <c r="M121" s="19">
        <v>617</v>
      </c>
      <c r="N121" s="19" t="s">
        <v>204</v>
      </c>
    </row>
    <row r="122" spans="1:15" x14ac:dyDescent="0.3">
      <c r="A122" s="26">
        <v>45955</v>
      </c>
      <c r="B122" s="27" t="s">
        <v>168</v>
      </c>
      <c r="C122" s="17" t="s">
        <v>169</v>
      </c>
      <c r="D122" s="17" t="s">
        <v>21</v>
      </c>
      <c r="E122" s="17">
        <v>1</v>
      </c>
      <c r="F122" s="17">
        <v>5</v>
      </c>
      <c r="G122" s="17">
        <f>E122*F122</f>
        <v>5</v>
      </c>
      <c r="H122" s="17" t="s">
        <v>38</v>
      </c>
      <c r="I122" s="17"/>
      <c r="J122" s="17" t="s">
        <v>18</v>
      </c>
      <c r="K122" s="17" t="str">
        <f t="shared" si="19"/>
        <v>OCTUBRE</v>
      </c>
      <c r="L122" s="17">
        <f t="shared" si="20"/>
        <v>2025</v>
      </c>
      <c r="M122" s="17">
        <v>617</v>
      </c>
      <c r="N122" s="17" t="s">
        <v>205</v>
      </c>
    </row>
    <row r="123" spans="1:15" x14ac:dyDescent="0.3">
      <c r="A123" s="24">
        <v>45957</v>
      </c>
      <c r="B123" s="25" t="s">
        <v>206</v>
      </c>
      <c r="C123" s="19" t="s">
        <v>207</v>
      </c>
      <c r="D123" s="19" t="s">
        <v>17</v>
      </c>
      <c r="E123" s="19">
        <v>1</v>
      </c>
      <c r="F123" s="19">
        <v>40</v>
      </c>
      <c r="G123" s="19">
        <f>E123*F123</f>
        <v>40</v>
      </c>
      <c r="H123" s="19" t="s">
        <v>37</v>
      </c>
      <c r="I123" s="19" t="s">
        <v>208</v>
      </c>
      <c r="J123" s="19"/>
      <c r="K123" s="19" t="str">
        <f t="shared" si="19"/>
        <v>OCTUBRE</v>
      </c>
      <c r="L123" s="19">
        <f t="shared" si="20"/>
        <v>2025</v>
      </c>
      <c r="M123" s="19">
        <v>619</v>
      </c>
      <c r="N123" s="19"/>
    </row>
    <row r="124" spans="1:15" x14ac:dyDescent="0.3">
      <c r="A124" s="26">
        <v>45957</v>
      </c>
      <c r="B124" s="27" t="s">
        <v>220</v>
      </c>
      <c r="C124" s="17" t="s">
        <v>221</v>
      </c>
      <c r="D124" s="17" t="s">
        <v>17</v>
      </c>
      <c r="E124" s="17">
        <v>1</v>
      </c>
      <c r="F124" s="17">
        <v>30</v>
      </c>
      <c r="G124" s="17"/>
      <c r="H124" s="17" t="s">
        <v>37</v>
      </c>
      <c r="I124" s="17" t="s">
        <v>219</v>
      </c>
      <c r="J124" s="17" t="s">
        <v>30</v>
      </c>
      <c r="K124" s="17" t="str">
        <f t="shared" si="19"/>
        <v>OCTUBRE</v>
      </c>
      <c r="L124" s="17">
        <f t="shared" si="20"/>
        <v>2025</v>
      </c>
      <c r="M124" s="17">
        <v>620</v>
      </c>
      <c r="N124" s="17"/>
      <c r="O124" s="51"/>
    </row>
    <row r="125" spans="1:15" x14ac:dyDescent="0.3">
      <c r="A125" s="60">
        <v>45957</v>
      </c>
      <c r="B125" s="61" t="s">
        <v>217</v>
      </c>
      <c r="C125" s="62" t="s">
        <v>218</v>
      </c>
      <c r="D125" s="47" t="s">
        <v>17</v>
      </c>
      <c r="E125" s="47">
        <v>1</v>
      </c>
      <c r="F125" s="47">
        <v>30</v>
      </c>
      <c r="G125" s="47">
        <f>E125*F125</f>
        <v>30</v>
      </c>
      <c r="H125" s="47" t="s">
        <v>37</v>
      </c>
      <c r="I125" s="47" t="s">
        <v>219</v>
      </c>
      <c r="J125" s="47" t="s">
        <v>18</v>
      </c>
      <c r="K125" s="47" t="str">
        <f t="shared" si="19"/>
        <v>OCTUBRE</v>
      </c>
      <c r="L125" s="47">
        <f t="shared" si="20"/>
        <v>2025</v>
      </c>
      <c r="M125" s="47">
        <v>621</v>
      </c>
      <c r="N125" s="47"/>
    </row>
    <row r="126" spans="1:15" x14ac:dyDescent="0.3">
      <c r="A126" s="26">
        <v>45957</v>
      </c>
      <c r="B126" s="27" t="s">
        <v>222</v>
      </c>
      <c r="C126" s="17" t="s">
        <v>223</v>
      </c>
      <c r="D126" s="17" t="s">
        <v>17</v>
      </c>
      <c r="E126" s="17">
        <v>1</v>
      </c>
      <c r="F126" s="17">
        <v>100</v>
      </c>
      <c r="G126" s="17"/>
      <c r="H126" s="17" t="s">
        <v>37</v>
      </c>
      <c r="I126" s="17" t="s">
        <v>224</v>
      </c>
      <c r="J126" s="17" t="s">
        <v>32</v>
      </c>
      <c r="K126" s="17" t="str">
        <f t="shared" si="19"/>
        <v>OCTUBRE</v>
      </c>
      <c r="L126" s="17">
        <f t="shared" si="20"/>
        <v>2025</v>
      </c>
      <c r="M126" s="17">
        <v>622</v>
      </c>
      <c r="N126" s="17"/>
    </row>
    <row r="127" spans="1:15" x14ac:dyDescent="0.3">
      <c r="A127" s="26">
        <v>45959</v>
      </c>
      <c r="B127" s="27" t="s">
        <v>217</v>
      </c>
      <c r="C127" s="17" t="s">
        <v>218</v>
      </c>
      <c r="D127" s="17" t="s">
        <v>17</v>
      </c>
      <c r="E127" s="17">
        <v>1</v>
      </c>
      <c r="F127" s="17">
        <v>0</v>
      </c>
      <c r="G127" s="17">
        <v>0</v>
      </c>
      <c r="H127" s="17"/>
      <c r="I127" s="17" t="s">
        <v>249</v>
      </c>
      <c r="J127" s="17"/>
      <c r="K127" s="17" t="str">
        <f t="shared" si="19"/>
        <v>OCTUBRE</v>
      </c>
      <c r="L127" s="17">
        <f t="shared" si="20"/>
        <v>2025</v>
      </c>
      <c r="M127" s="17">
        <v>623</v>
      </c>
      <c r="N127" s="17"/>
    </row>
    <row r="128" spans="1:15" x14ac:dyDescent="0.3">
      <c r="A128" s="54">
        <v>45959</v>
      </c>
      <c r="B128" s="27" t="s">
        <v>229</v>
      </c>
      <c r="C128" s="17" t="s">
        <v>230</v>
      </c>
      <c r="D128" s="17" t="s">
        <v>17</v>
      </c>
      <c r="E128" s="17">
        <v>1</v>
      </c>
      <c r="F128" s="17">
        <v>50</v>
      </c>
      <c r="G128" s="17">
        <f>E128*F128</f>
        <v>50</v>
      </c>
      <c r="H128" s="17" t="s">
        <v>37</v>
      </c>
      <c r="I128" s="17" t="s">
        <v>231</v>
      </c>
      <c r="J128" s="17" t="s">
        <v>18</v>
      </c>
      <c r="K128" s="17" t="str">
        <f t="shared" si="19"/>
        <v>OCTUBRE</v>
      </c>
      <c r="L128" s="17">
        <f t="shared" si="20"/>
        <v>2025</v>
      </c>
      <c r="M128" s="17">
        <v>624</v>
      </c>
      <c r="N128" s="19"/>
    </row>
    <row r="129" spans="1:14" x14ac:dyDescent="0.3">
      <c r="A129" s="55">
        <v>45959</v>
      </c>
      <c r="B129" s="25" t="s">
        <v>232</v>
      </c>
      <c r="C129" s="19" t="s">
        <v>233</v>
      </c>
      <c r="D129" s="19" t="s">
        <v>17</v>
      </c>
      <c r="E129" s="19">
        <v>1</v>
      </c>
      <c r="F129" s="19">
        <v>100</v>
      </c>
      <c r="G129" s="19"/>
      <c r="H129" s="19" t="s">
        <v>38</v>
      </c>
      <c r="I129" s="19" t="s">
        <v>151</v>
      </c>
      <c r="J129" s="19" t="s">
        <v>84</v>
      </c>
      <c r="K129" s="19" t="str">
        <f t="shared" si="19"/>
        <v>OCTUBRE</v>
      </c>
      <c r="L129" s="19">
        <f t="shared" si="20"/>
        <v>2025</v>
      </c>
      <c r="M129" s="19" t="s">
        <v>162</v>
      </c>
      <c r="N129" s="19"/>
    </row>
    <row r="130" spans="1:14" x14ac:dyDescent="0.3">
      <c r="A130" s="48">
        <v>45955</v>
      </c>
      <c r="B130" s="49" t="s">
        <v>225</v>
      </c>
      <c r="C130" s="19" t="s">
        <v>69</v>
      </c>
      <c r="D130" s="50" t="s">
        <v>70</v>
      </c>
      <c r="E130" s="50">
        <v>1</v>
      </c>
      <c r="F130" s="50">
        <v>2.5</v>
      </c>
      <c r="G130" s="50">
        <f>E130*F130</f>
        <v>2.5</v>
      </c>
      <c r="H130" s="50" t="s">
        <v>38</v>
      </c>
      <c r="I130" s="50" t="s">
        <v>214</v>
      </c>
      <c r="J130" s="50" t="s">
        <v>18</v>
      </c>
      <c r="K130" s="50" t="str">
        <f t="shared" si="19"/>
        <v>OCTUBRE</v>
      </c>
      <c r="L130" s="50">
        <f t="shared" si="20"/>
        <v>2025</v>
      </c>
      <c r="M130" s="19" t="s">
        <v>136</v>
      </c>
      <c r="N130" s="19"/>
    </row>
    <row r="131" spans="1:14" x14ac:dyDescent="0.3">
      <c r="A131" s="26">
        <v>45957</v>
      </c>
      <c r="B131" s="27" t="s">
        <v>209</v>
      </c>
      <c r="C131" s="17" t="s">
        <v>210</v>
      </c>
      <c r="D131" s="17" t="s">
        <v>21</v>
      </c>
      <c r="E131" s="17">
        <v>1</v>
      </c>
      <c r="F131" s="17">
        <v>5</v>
      </c>
      <c r="G131" s="17">
        <f>E131*F131</f>
        <v>5</v>
      </c>
      <c r="H131" s="17" t="s">
        <v>38</v>
      </c>
      <c r="I131" s="17" t="s">
        <v>211</v>
      </c>
      <c r="J131" s="17" t="s">
        <v>18</v>
      </c>
      <c r="K131" s="17" t="str">
        <f t="shared" si="19"/>
        <v>OCTUBRE</v>
      </c>
      <c r="L131" s="17">
        <f t="shared" si="20"/>
        <v>2025</v>
      </c>
      <c r="M131" s="17" t="s">
        <v>136</v>
      </c>
      <c r="N131" s="46"/>
    </row>
    <row r="132" spans="1:14" x14ac:dyDescent="0.3">
      <c r="A132" s="24">
        <v>45957</v>
      </c>
      <c r="B132" s="25" t="s">
        <v>212</v>
      </c>
      <c r="C132" s="19" t="s">
        <v>213</v>
      </c>
      <c r="D132" s="19" t="s">
        <v>21</v>
      </c>
      <c r="E132" s="19">
        <v>1</v>
      </c>
      <c r="F132" s="19">
        <v>5</v>
      </c>
      <c r="G132" s="19">
        <f>E132*F132</f>
        <v>5</v>
      </c>
      <c r="H132" s="19" t="s">
        <v>38</v>
      </c>
      <c r="I132" s="19" t="s">
        <v>211</v>
      </c>
      <c r="J132" s="19" t="s">
        <v>18</v>
      </c>
      <c r="K132" s="19" t="str">
        <f t="shared" si="19"/>
        <v>OCTUBRE</v>
      </c>
      <c r="L132" s="19">
        <f t="shared" si="20"/>
        <v>2025</v>
      </c>
      <c r="M132" s="19" t="s">
        <v>136</v>
      </c>
      <c r="N132" s="47"/>
    </row>
    <row r="133" spans="1:14" x14ac:dyDescent="0.3">
      <c r="F133" s="29" t="s">
        <v>5</v>
      </c>
      <c r="G133" s="29">
        <f>SUM(G117:G132)</f>
        <v>502.5</v>
      </c>
    </row>
    <row r="136" spans="1:14" x14ac:dyDescent="0.3">
      <c r="A136" s="11" t="s">
        <v>1</v>
      </c>
      <c r="B136" s="11" t="s">
        <v>2</v>
      </c>
      <c r="C136" s="11" t="s">
        <v>61</v>
      </c>
      <c r="D136" s="11" t="s">
        <v>3</v>
      </c>
      <c r="E136" s="11" t="s">
        <v>4</v>
      </c>
      <c r="F136" s="11" t="s">
        <v>57</v>
      </c>
      <c r="G136" s="11" t="s">
        <v>58</v>
      </c>
      <c r="H136" s="11" t="s">
        <v>59</v>
      </c>
      <c r="I136" s="11" t="s">
        <v>7</v>
      </c>
      <c r="J136" s="11" t="s">
        <v>8</v>
      </c>
      <c r="K136" s="11" t="s">
        <v>10</v>
      </c>
      <c r="L136" s="11" t="s">
        <v>90</v>
      </c>
    </row>
    <row r="137" spans="1:14" x14ac:dyDescent="0.3">
      <c r="A137" s="12">
        <v>45955</v>
      </c>
      <c r="B137" s="12" t="s">
        <v>67</v>
      </c>
      <c r="C137" s="13"/>
      <c r="D137" s="14">
        <v>1</v>
      </c>
      <c r="E137" s="15">
        <v>1</v>
      </c>
      <c r="F137" s="15">
        <f t="shared" ref="F137:F143" si="21">E137*D137</f>
        <v>1</v>
      </c>
      <c r="G137" s="13" t="s">
        <v>215</v>
      </c>
      <c r="H137" s="13"/>
      <c r="I137" s="13" t="s">
        <v>227</v>
      </c>
      <c r="J137" s="13"/>
      <c r="K137" s="13"/>
      <c r="L137" t="s">
        <v>243</v>
      </c>
    </row>
    <row r="138" spans="1:14" x14ac:dyDescent="0.3">
      <c r="A138" s="12">
        <v>45957</v>
      </c>
      <c r="B138" s="12" t="s">
        <v>67</v>
      </c>
      <c r="C138" s="13" t="s">
        <v>72</v>
      </c>
      <c r="D138" s="14">
        <v>1</v>
      </c>
      <c r="E138" s="15">
        <v>1.05</v>
      </c>
      <c r="F138" s="15">
        <f t="shared" si="21"/>
        <v>1.05</v>
      </c>
      <c r="G138" s="13" t="s">
        <v>216</v>
      </c>
      <c r="H138" s="13"/>
      <c r="I138" s="13" t="str">
        <f>UPPER(TEXT(A138,"MMMM"))</f>
        <v>OCTUBRE</v>
      </c>
      <c r="J138" s="13">
        <f>+YEAR(A138)</f>
        <v>2025</v>
      </c>
      <c r="K138" s="13" t="s">
        <v>18</v>
      </c>
      <c r="L138" t="s">
        <v>243</v>
      </c>
    </row>
    <row r="139" spans="1:14" x14ac:dyDescent="0.3">
      <c r="A139" s="12">
        <v>45959</v>
      </c>
      <c r="B139" s="12" t="s">
        <v>67</v>
      </c>
      <c r="C139" s="13"/>
      <c r="D139" s="14">
        <v>1</v>
      </c>
      <c r="E139" s="15">
        <v>1</v>
      </c>
      <c r="F139" s="15">
        <f t="shared" si="21"/>
        <v>1</v>
      </c>
      <c r="G139" s="13" t="s">
        <v>226</v>
      </c>
      <c r="H139" s="13"/>
      <c r="I139" s="13"/>
      <c r="J139" s="13"/>
      <c r="K139" s="13"/>
      <c r="L139" t="s">
        <v>243</v>
      </c>
    </row>
    <row r="140" spans="1:14" x14ac:dyDescent="0.3">
      <c r="A140" s="12">
        <v>45959</v>
      </c>
      <c r="B140" s="12" t="s">
        <v>67</v>
      </c>
      <c r="C140" s="13" t="s">
        <v>72</v>
      </c>
      <c r="D140" s="14">
        <v>1</v>
      </c>
      <c r="E140" s="15">
        <v>2</v>
      </c>
      <c r="F140" s="15">
        <f t="shared" si="21"/>
        <v>2</v>
      </c>
      <c r="G140" s="13" t="s">
        <v>239</v>
      </c>
      <c r="H140" s="13"/>
      <c r="I140" s="13" t="str">
        <f>UPPER(TEXT(A140,"MMMM"))</f>
        <v>OCTUBRE</v>
      </c>
      <c r="J140" s="13">
        <f>+YEAR(A140)</f>
        <v>2025</v>
      </c>
      <c r="K140" s="13" t="s">
        <v>18</v>
      </c>
      <c r="L140" t="s">
        <v>243</v>
      </c>
    </row>
    <row r="141" spans="1:14" x14ac:dyDescent="0.3">
      <c r="A141" s="12">
        <v>45959</v>
      </c>
      <c r="B141" s="12" t="s">
        <v>19</v>
      </c>
      <c r="C141" s="13" t="s">
        <v>72</v>
      </c>
      <c r="D141" s="14">
        <v>1</v>
      </c>
      <c r="E141" s="15">
        <v>3</v>
      </c>
      <c r="F141" s="15">
        <f t="shared" si="21"/>
        <v>3</v>
      </c>
      <c r="G141" s="13" t="s">
        <v>228</v>
      </c>
      <c r="H141" s="13"/>
      <c r="I141" s="13" t="str">
        <f>UPPER(TEXT(A141,"MMMM"))</f>
        <v>OCTUBRE</v>
      </c>
      <c r="J141" s="13">
        <f>+YEAR(A141)</f>
        <v>2025</v>
      </c>
      <c r="K141" s="13" t="s">
        <v>18</v>
      </c>
      <c r="L141" t="s">
        <v>243</v>
      </c>
    </row>
    <row r="142" spans="1:14" x14ac:dyDescent="0.3">
      <c r="A142" s="12">
        <v>45959</v>
      </c>
      <c r="B142" s="12" t="s">
        <v>25</v>
      </c>
      <c r="C142" s="13" t="s">
        <v>72</v>
      </c>
      <c r="D142" s="14">
        <v>1</v>
      </c>
      <c r="E142" s="15">
        <v>63</v>
      </c>
      <c r="F142" s="15">
        <f t="shared" si="21"/>
        <v>63</v>
      </c>
      <c r="G142" s="13" t="s">
        <v>235</v>
      </c>
      <c r="H142" s="13"/>
      <c r="I142" s="13" t="str">
        <f>UPPER(TEXT(A142,"MMMM"))</f>
        <v>OCTUBRE</v>
      </c>
      <c r="J142" s="13">
        <f>+YEAR(A142)</f>
        <v>2025</v>
      </c>
      <c r="K142" s="13" t="s">
        <v>18</v>
      </c>
      <c r="L142" t="s">
        <v>243</v>
      </c>
    </row>
    <row r="143" spans="1:14" x14ac:dyDescent="0.3">
      <c r="A143" s="12">
        <v>45960</v>
      </c>
      <c r="B143" s="12" t="s">
        <v>69</v>
      </c>
      <c r="C143" s="13" t="s">
        <v>72</v>
      </c>
      <c r="D143" s="14">
        <v>1</v>
      </c>
      <c r="E143" s="15">
        <v>50</v>
      </c>
      <c r="F143" s="15">
        <f t="shared" si="21"/>
        <v>50</v>
      </c>
      <c r="G143" s="13" t="s">
        <v>236</v>
      </c>
      <c r="H143" s="13"/>
      <c r="I143" s="13" t="str">
        <f>UPPER(TEXT(A143,"MMMM"))</f>
        <v>OCTUBRE</v>
      </c>
      <c r="J143" s="13">
        <f>+YEAR(A143)</f>
        <v>2025</v>
      </c>
      <c r="K143" s="13" t="s">
        <v>18</v>
      </c>
      <c r="L143" t="s">
        <v>243</v>
      </c>
    </row>
    <row r="144" spans="1:14" ht="15" thickBot="1" x14ac:dyDescent="0.35">
      <c r="E144" s="56" t="s">
        <v>57</v>
      </c>
      <c r="F144" s="57">
        <f>SUM(F137:F143)</f>
        <v>121.05</v>
      </c>
    </row>
    <row r="145" spans="1:14" ht="15" thickBot="1" x14ac:dyDescent="0.35">
      <c r="H145" s="33"/>
      <c r="I145" s="34" t="s">
        <v>156</v>
      </c>
      <c r="J145" s="35"/>
    </row>
    <row r="146" spans="1:14" x14ac:dyDescent="0.3">
      <c r="H146" s="36">
        <v>20</v>
      </c>
      <c r="I146" s="37">
        <v>16</v>
      </c>
      <c r="J146" s="38">
        <f t="shared" ref="J146:J152" si="22">H146*I146</f>
        <v>320</v>
      </c>
    </row>
    <row r="147" spans="1:14" x14ac:dyDescent="0.3">
      <c r="E147" t="s">
        <v>237</v>
      </c>
      <c r="F147" s="16">
        <f>G133-F144</f>
        <v>381.45</v>
      </c>
      <c r="H147" s="39">
        <v>10</v>
      </c>
      <c r="I147" s="40">
        <v>4</v>
      </c>
      <c r="J147" s="41">
        <f t="shared" si="22"/>
        <v>40</v>
      </c>
    </row>
    <row r="148" spans="1:14" x14ac:dyDescent="0.3">
      <c r="H148" s="39">
        <v>5</v>
      </c>
      <c r="I148" s="40">
        <v>4</v>
      </c>
      <c r="J148" s="41">
        <f t="shared" si="22"/>
        <v>20</v>
      </c>
    </row>
    <row r="149" spans="1:14" x14ac:dyDescent="0.3">
      <c r="H149" s="39">
        <v>1</v>
      </c>
      <c r="I149" s="40">
        <v>1</v>
      </c>
      <c r="J149" s="41">
        <f t="shared" si="22"/>
        <v>1</v>
      </c>
    </row>
    <row r="150" spans="1:14" x14ac:dyDescent="0.3">
      <c r="H150" s="39">
        <v>0.25</v>
      </c>
      <c r="I150" s="40"/>
      <c r="J150" s="41">
        <f t="shared" si="22"/>
        <v>0</v>
      </c>
    </row>
    <row r="151" spans="1:14" x14ac:dyDescent="0.3">
      <c r="H151" s="39">
        <v>0.1</v>
      </c>
      <c r="I151" s="40">
        <v>4</v>
      </c>
      <c r="J151" s="41">
        <f t="shared" si="22"/>
        <v>0.4</v>
      </c>
    </row>
    <row r="152" spans="1:14" x14ac:dyDescent="0.3">
      <c r="H152" s="39">
        <v>0.05</v>
      </c>
      <c r="I152" s="40">
        <v>1</v>
      </c>
      <c r="J152" s="41">
        <f t="shared" si="22"/>
        <v>0.05</v>
      </c>
    </row>
    <row r="153" spans="1:14" ht="15" thickBot="1" x14ac:dyDescent="0.35">
      <c r="H153" s="42"/>
      <c r="I153" s="43"/>
      <c r="J153" s="58">
        <f>SUM(J146:J152)</f>
        <v>381.45</v>
      </c>
    </row>
    <row r="155" spans="1:14" x14ac:dyDescent="0.3">
      <c r="E155" t="s">
        <v>238</v>
      </c>
      <c r="F155" s="59">
        <f ca="1">NOW()</f>
        <v>46141.369539814812</v>
      </c>
    </row>
    <row r="157" spans="1:14" ht="25.8" x14ac:dyDescent="0.5">
      <c r="A157" s="86" t="s">
        <v>103</v>
      </c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</row>
    <row r="158" spans="1:14" ht="15" thickBot="1" x14ac:dyDescent="0.35">
      <c r="A158" s="21" t="s">
        <v>1</v>
      </c>
      <c r="B158" s="22" t="s">
        <v>11</v>
      </c>
      <c r="C158" s="22" t="s">
        <v>12</v>
      </c>
      <c r="D158" s="22" t="s">
        <v>9</v>
      </c>
      <c r="E158" s="22" t="s">
        <v>3</v>
      </c>
      <c r="F158" s="22" t="s">
        <v>4</v>
      </c>
      <c r="G158" s="22" t="s">
        <v>5</v>
      </c>
      <c r="H158" s="22" t="s">
        <v>6</v>
      </c>
      <c r="I158" s="22" t="s">
        <v>36</v>
      </c>
      <c r="J158" s="22" t="s">
        <v>10</v>
      </c>
      <c r="K158" s="22" t="s">
        <v>7</v>
      </c>
      <c r="L158" s="22" t="s">
        <v>8</v>
      </c>
      <c r="M158" s="22" t="s">
        <v>75</v>
      </c>
      <c r="N158" s="22" t="s">
        <v>100</v>
      </c>
    </row>
    <row r="159" spans="1:14" ht="15" thickTop="1" x14ac:dyDescent="0.3">
      <c r="A159" s="26">
        <v>45961</v>
      </c>
      <c r="B159" s="27"/>
      <c r="C159" s="27"/>
      <c r="D159" s="17"/>
      <c r="E159" s="17"/>
      <c r="F159" s="17"/>
      <c r="G159" s="17">
        <f>F159-E159</f>
        <v>0</v>
      </c>
      <c r="H159" s="17" t="s">
        <v>38</v>
      </c>
      <c r="I159" s="17"/>
      <c r="J159" s="17" t="s">
        <v>27</v>
      </c>
      <c r="K159" s="17" t="str">
        <f t="shared" ref="K159:K172" si="23">UPPER(TEXT(A159,"MMMM"))</f>
        <v>OCTUBRE</v>
      </c>
      <c r="L159" s="17">
        <f t="shared" ref="L159:L172" si="24">+YEAR(A159)</f>
        <v>2025</v>
      </c>
      <c r="M159" s="17">
        <v>625</v>
      </c>
      <c r="N159" s="17"/>
    </row>
    <row r="160" spans="1:14" x14ac:dyDescent="0.3">
      <c r="A160" s="24"/>
      <c r="B160" s="25"/>
      <c r="C160" s="25"/>
      <c r="D160" s="19"/>
      <c r="E160" s="19"/>
      <c r="F160" s="19"/>
      <c r="G160" s="17">
        <f t="shared" ref="G160:G172" si="25">F160-E160</f>
        <v>0</v>
      </c>
      <c r="H160" s="19" t="s">
        <v>38</v>
      </c>
      <c r="I160" s="19"/>
      <c r="J160" s="19" t="s">
        <v>18</v>
      </c>
      <c r="K160" s="19" t="str">
        <f t="shared" si="23"/>
        <v>ENERO</v>
      </c>
      <c r="L160" s="19">
        <f t="shared" si="24"/>
        <v>1900</v>
      </c>
      <c r="M160" s="19">
        <v>626</v>
      </c>
      <c r="N160" s="19"/>
    </row>
    <row r="161" spans="1:14" x14ac:dyDescent="0.3">
      <c r="A161" s="26"/>
      <c r="B161" s="27"/>
      <c r="C161" s="27"/>
      <c r="D161" s="17"/>
      <c r="E161" s="17"/>
      <c r="F161" s="17"/>
      <c r="G161" s="17">
        <f t="shared" si="25"/>
        <v>0</v>
      </c>
      <c r="H161" s="17" t="s">
        <v>38</v>
      </c>
      <c r="I161" s="17"/>
      <c r="J161" s="17" t="s">
        <v>18</v>
      </c>
      <c r="K161" s="17" t="str">
        <f t="shared" si="23"/>
        <v>ENERO</v>
      </c>
      <c r="L161" s="17">
        <f t="shared" si="24"/>
        <v>1900</v>
      </c>
      <c r="M161" s="17">
        <v>627</v>
      </c>
      <c r="N161" s="17"/>
    </row>
    <row r="162" spans="1:14" x14ac:dyDescent="0.3">
      <c r="A162" s="48">
        <v>45961</v>
      </c>
      <c r="B162" s="49"/>
      <c r="C162" s="19"/>
      <c r="D162" s="50"/>
      <c r="E162" s="50"/>
      <c r="F162" s="50"/>
      <c r="G162" s="17">
        <f t="shared" si="25"/>
        <v>0</v>
      </c>
      <c r="H162" s="50" t="s">
        <v>38</v>
      </c>
      <c r="I162" s="50"/>
      <c r="J162" s="50" t="s">
        <v>18</v>
      </c>
      <c r="K162" s="50" t="str">
        <f t="shared" si="23"/>
        <v>OCTUBRE</v>
      </c>
      <c r="L162" s="50">
        <f t="shared" si="24"/>
        <v>2025</v>
      </c>
      <c r="M162" s="19">
        <v>628</v>
      </c>
      <c r="N162" s="19"/>
    </row>
    <row r="163" spans="1:14" x14ac:dyDescent="0.3">
      <c r="A163" s="26"/>
      <c r="B163" s="27"/>
      <c r="C163" s="17"/>
      <c r="D163" s="17"/>
      <c r="E163" s="17"/>
      <c r="F163" s="17"/>
      <c r="G163" s="17">
        <f t="shared" si="25"/>
        <v>0</v>
      </c>
      <c r="H163" s="17" t="s">
        <v>38</v>
      </c>
      <c r="I163" s="17"/>
      <c r="J163" s="17" t="s">
        <v>18</v>
      </c>
      <c r="K163" s="17" t="str">
        <f t="shared" si="23"/>
        <v>ENERO</v>
      </c>
      <c r="L163" s="17">
        <f t="shared" si="24"/>
        <v>1900</v>
      </c>
      <c r="M163" s="17">
        <v>629</v>
      </c>
      <c r="N163" s="17"/>
    </row>
    <row r="164" spans="1:14" x14ac:dyDescent="0.3">
      <c r="A164" s="24"/>
      <c r="B164" s="25"/>
      <c r="C164" s="19"/>
      <c r="D164" s="19"/>
      <c r="E164" s="19"/>
      <c r="F164" s="19"/>
      <c r="G164" s="17">
        <f t="shared" si="25"/>
        <v>0</v>
      </c>
      <c r="H164" s="19" t="s">
        <v>38</v>
      </c>
      <c r="I164" s="19"/>
      <c r="J164" s="19" t="s">
        <v>18</v>
      </c>
      <c r="K164" s="19" t="str">
        <f t="shared" si="23"/>
        <v>ENERO</v>
      </c>
      <c r="L164" s="19">
        <f t="shared" si="24"/>
        <v>1900</v>
      </c>
      <c r="M164" s="19">
        <v>630</v>
      </c>
      <c r="N164" s="17"/>
    </row>
    <row r="165" spans="1:14" x14ac:dyDescent="0.3">
      <c r="A165" s="24"/>
      <c r="B165" s="25"/>
      <c r="C165" s="19"/>
      <c r="D165" s="19"/>
      <c r="E165" s="19"/>
      <c r="F165" s="19"/>
      <c r="G165" s="17">
        <f t="shared" si="25"/>
        <v>0</v>
      </c>
      <c r="H165" s="19" t="s">
        <v>37</v>
      </c>
      <c r="I165" s="19"/>
      <c r="J165" s="19" t="s">
        <v>18</v>
      </c>
      <c r="K165" s="19" t="str">
        <f t="shared" si="23"/>
        <v>ENERO</v>
      </c>
      <c r="L165" s="19">
        <f t="shared" si="24"/>
        <v>1900</v>
      </c>
      <c r="M165" s="19">
        <v>631</v>
      </c>
      <c r="N165" s="19"/>
    </row>
    <row r="166" spans="1:14" x14ac:dyDescent="0.3">
      <c r="A166" s="45"/>
      <c r="B166" s="52"/>
      <c r="C166" s="53"/>
      <c r="D166" s="46"/>
      <c r="E166" s="46"/>
      <c r="F166" s="46"/>
      <c r="G166" s="17">
        <f t="shared" si="25"/>
        <v>0</v>
      </c>
      <c r="H166" s="46" t="s">
        <v>37</v>
      </c>
      <c r="I166" s="46"/>
      <c r="J166" s="46" t="s">
        <v>30</v>
      </c>
      <c r="K166" s="46" t="str">
        <f t="shared" si="23"/>
        <v>ENERO</v>
      </c>
      <c r="L166" s="46">
        <f t="shared" si="24"/>
        <v>1900</v>
      </c>
      <c r="M166" s="46"/>
      <c r="N166" s="46"/>
    </row>
    <row r="167" spans="1:14" x14ac:dyDescent="0.3">
      <c r="A167" s="24"/>
      <c r="B167" s="25"/>
      <c r="C167" s="19"/>
      <c r="D167" s="19"/>
      <c r="E167" s="19"/>
      <c r="F167" s="19"/>
      <c r="G167" s="17">
        <f t="shared" si="25"/>
        <v>0</v>
      </c>
      <c r="H167" s="19" t="s">
        <v>37</v>
      </c>
      <c r="I167" s="19"/>
      <c r="J167" s="19" t="s">
        <v>18</v>
      </c>
      <c r="K167" s="19" t="str">
        <f t="shared" si="23"/>
        <v>ENERO</v>
      </c>
      <c r="L167" s="19">
        <f t="shared" si="24"/>
        <v>1900</v>
      </c>
      <c r="M167" s="19"/>
      <c r="N167" s="19"/>
    </row>
    <row r="168" spans="1:14" x14ac:dyDescent="0.3">
      <c r="A168" s="26"/>
      <c r="B168" s="27"/>
      <c r="C168" s="17"/>
      <c r="D168" s="17"/>
      <c r="E168" s="17"/>
      <c r="F168" s="17"/>
      <c r="G168" s="17">
        <f t="shared" si="25"/>
        <v>0</v>
      </c>
      <c r="H168" s="17" t="s">
        <v>37</v>
      </c>
      <c r="I168" s="17"/>
      <c r="J168" s="17" t="s">
        <v>32</v>
      </c>
      <c r="K168" s="17" t="str">
        <f t="shared" si="23"/>
        <v>ENERO</v>
      </c>
      <c r="L168" s="17">
        <f t="shared" si="24"/>
        <v>1900</v>
      </c>
      <c r="M168" s="17"/>
      <c r="N168" s="17"/>
    </row>
    <row r="169" spans="1:14" x14ac:dyDescent="0.3">
      <c r="A169" s="26"/>
      <c r="B169" s="27"/>
      <c r="C169" s="17"/>
      <c r="D169" s="17"/>
      <c r="E169" s="17"/>
      <c r="F169" s="17"/>
      <c r="G169" s="17">
        <f t="shared" si="25"/>
        <v>0</v>
      </c>
      <c r="H169" s="17" t="s">
        <v>38</v>
      </c>
      <c r="I169" s="17"/>
      <c r="J169" s="17" t="s">
        <v>18</v>
      </c>
      <c r="K169" s="17" t="str">
        <f t="shared" si="23"/>
        <v>ENERO</v>
      </c>
      <c r="L169" s="17">
        <f t="shared" si="24"/>
        <v>1900</v>
      </c>
      <c r="M169" s="17"/>
      <c r="N169" s="17"/>
    </row>
    <row r="170" spans="1:14" x14ac:dyDescent="0.3">
      <c r="A170" s="24"/>
      <c r="B170" s="25"/>
      <c r="C170" s="19"/>
      <c r="D170" s="19"/>
      <c r="E170" s="19"/>
      <c r="F170" s="19"/>
      <c r="G170" s="17">
        <f t="shared" si="25"/>
        <v>0</v>
      </c>
      <c r="H170" s="19" t="s">
        <v>38</v>
      </c>
      <c r="I170" s="19"/>
      <c r="J170" s="19" t="s">
        <v>18</v>
      </c>
      <c r="K170" s="19" t="str">
        <f t="shared" si="23"/>
        <v>ENERO</v>
      </c>
      <c r="L170" s="19">
        <f t="shared" si="24"/>
        <v>1900</v>
      </c>
      <c r="M170" s="19"/>
      <c r="N170" s="19"/>
    </row>
    <row r="171" spans="1:14" x14ac:dyDescent="0.3">
      <c r="A171" s="54"/>
      <c r="B171" s="27"/>
      <c r="C171" s="17"/>
      <c r="D171" s="17"/>
      <c r="E171" s="17"/>
      <c r="F171" s="17"/>
      <c r="G171" s="17">
        <f t="shared" si="25"/>
        <v>0</v>
      </c>
      <c r="H171" s="17" t="s">
        <v>37</v>
      </c>
      <c r="I171" s="17"/>
      <c r="J171" s="17" t="s">
        <v>18</v>
      </c>
      <c r="K171" s="17" t="str">
        <f t="shared" si="23"/>
        <v>ENERO</v>
      </c>
      <c r="L171" s="17">
        <f t="shared" si="24"/>
        <v>1900</v>
      </c>
      <c r="M171" s="17"/>
      <c r="N171" s="47"/>
    </row>
    <row r="172" spans="1:14" x14ac:dyDescent="0.3">
      <c r="A172" s="55"/>
      <c r="B172" s="25"/>
      <c r="C172" s="19"/>
      <c r="D172" s="19"/>
      <c r="E172" s="19"/>
      <c r="F172" s="19"/>
      <c r="G172" s="17">
        <f t="shared" si="25"/>
        <v>0</v>
      </c>
      <c r="H172" s="19" t="s">
        <v>38</v>
      </c>
      <c r="I172" s="19"/>
      <c r="J172" s="19" t="s">
        <v>84</v>
      </c>
      <c r="K172" s="19" t="str">
        <f t="shared" si="23"/>
        <v>ENERO</v>
      </c>
      <c r="L172" s="19">
        <f t="shared" si="24"/>
        <v>1900</v>
      </c>
      <c r="M172" s="19"/>
      <c r="N172" s="47"/>
    </row>
    <row r="173" spans="1:14" x14ac:dyDescent="0.3">
      <c r="F173" s="29" t="s">
        <v>5</v>
      </c>
      <c r="G173" s="29">
        <f>SUM(G159:G172)</f>
        <v>0</v>
      </c>
    </row>
    <row r="176" spans="1:14" x14ac:dyDescent="0.3">
      <c r="A176" s="11" t="s">
        <v>1</v>
      </c>
      <c r="B176" s="11" t="s">
        <v>2</v>
      </c>
      <c r="C176" s="11" t="s">
        <v>61</v>
      </c>
      <c r="D176" s="11" t="s">
        <v>3</v>
      </c>
      <c r="E176" s="11" t="s">
        <v>4</v>
      </c>
      <c r="F176" s="11" t="s">
        <v>57</v>
      </c>
      <c r="G176" s="11" t="s">
        <v>58</v>
      </c>
      <c r="H176" s="11" t="s">
        <v>59</v>
      </c>
      <c r="I176" s="11" t="s">
        <v>7</v>
      </c>
      <c r="J176" s="11" t="s">
        <v>8</v>
      </c>
      <c r="K176" s="11" t="s">
        <v>10</v>
      </c>
      <c r="L176" s="11" t="s">
        <v>90</v>
      </c>
    </row>
    <row r="177" spans="1:12" x14ac:dyDescent="0.3">
      <c r="A177" s="12">
        <v>45955</v>
      </c>
      <c r="B177" s="12" t="s">
        <v>67</v>
      </c>
      <c r="C177" s="13"/>
      <c r="D177" s="14">
        <v>1</v>
      </c>
      <c r="E177" s="15">
        <v>1</v>
      </c>
      <c r="F177" s="15">
        <f t="shared" ref="F177:F183" si="26">E177*D177</f>
        <v>1</v>
      </c>
      <c r="G177" s="13" t="s">
        <v>215</v>
      </c>
      <c r="H177" s="13"/>
      <c r="I177" s="13" t="s">
        <v>227</v>
      </c>
      <c r="J177" s="13"/>
      <c r="K177" s="13"/>
      <c r="L177" t="s">
        <v>243</v>
      </c>
    </row>
    <row r="178" spans="1:12" x14ac:dyDescent="0.3">
      <c r="A178" s="12">
        <v>45957</v>
      </c>
      <c r="B178" s="12" t="s">
        <v>67</v>
      </c>
      <c r="C178" s="13" t="s">
        <v>72</v>
      </c>
      <c r="D178" s="14">
        <v>1</v>
      </c>
      <c r="E178" s="15">
        <v>1.05</v>
      </c>
      <c r="F178" s="15">
        <f t="shared" si="26"/>
        <v>1.05</v>
      </c>
      <c r="G178" s="13" t="s">
        <v>216</v>
      </c>
      <c r="H178" s="13"/>
      <c r="I178" s="13" t="str">
        <f>UPPER(TEXT(A178,"MMMM"))</f>
        <v>OCTUBRE</v>
      </c>
      <c r="J178" s="13">
        <f>+YEAR(A178)</f>
        <v>2025</v>
      </c>
      <c r="K178" s="13" t="s">
        <v>18</v>
      </c>
      <c r="L178" t="s">
        <v>243</v>
      </c>
    </row>
    <row r="179" spans="1:12" x14ac:dyDescent="0.3">
      <c r="A179" s="12">
        <v>45959</v>
      </c>
      <c r="B179" s="12" t="s">
        <v>67</v>
      </c>
      <c r="C179" s="13"/>
      <c r="D179" s="14">
        <v>1</v>
      </c>
      <c r="E179" s="15">
        <v>1</v>
      </c>
      <c r="F179" s="15">
        <f t="shared" si="26"/>
        <v>1</v>
      </c>
      <c r="G179" s="13" t="s">
        <v>226</v>
      </c>
      <c r="H179" s="13"/>
      <c r="I179" s="13"/>
      <c r="J179" s="13"/>
      <c r="K179" s="13"/>
      <c r="L179" t="s">
        <v>243</v>
      </c>
    </row>
    <row r="180" spans="1:12" x14ac:dyDescent="0.3">
      <c r="A180" s="12">
        <v>45959</v>
      </c>
      <c r="B180" s="12" t="s">
        <v>67</v>
      </c>
      <c r="C180" s="13" t="s">
        <v>72</v>
      </c>
      <c r="D180" s="14">
        <v>1</v>
      </c>
      <c r="E180" s="15">
        <v>2</v>
      </c>
      <c r="F180" s="15">
        <f t="shared" si="26"/>
        <v>2</v>
      </c>
      <c r="G180" s="13" t="s">
        <v>239</v>
      </c>
      <c r="H180" s="13"/>
      <c r="I180" s="13" t="str">
        <f>UPPER(TEXT(A180,"MMMM"))</f>
        <v>OCTUBRE</v>
      </c>
      <c r="J180" s="13">
        <f>+YEAR(A180)</f>
        <v>2025</v>
      </c>
      <c r="K180" s="13" t="s">
        <v>18</v>
      </c>
      <c r="L180" t="s">
        <v>243</v>
      </c>
    </row>
    <row r="181" spans="1:12" x14ac:dyDescent="0.3">
      <c r="A181" s="12">
        <v>45959</v>
      </c>
      <c r="B181" s="12" t="s">
        <v>19</v>
      </c>
      <c r="C181" s="13" t="s">
        <v>72</v>
      </c>
      <c r="D181" s="14">
        <v>1</v>
      </c>
      <c r="E181" s="15">
        <v>3</v>
      </c>
      <c r="F181" s="15">
        <f t="shared" si="26"/>
        <v>3</v>
      </c>
      <c r="G181" s="13" t="s">
        <v>228</v>
      </c>
      <c r="H181" s="13"/>
      <c r="I181" s="13" t="str">
        <f>UPPER(TEXT(A181,"MMMM"))</f>
        <v>OCTUBRE</v>
      </c>
      <c r="J181" s="13">
        <f>+YEAR(A181)</f>
        <v>2025</v>
      </c>
      <c r="K181" s="13" t="s">
        <v>18</v>
      </c>
      <c r="L181" t="s">
        <v>243</v>
      </c>
    </row>
    <row r="182" spans="1:12" x14ac:dyDescent="0.3">
      <c r="A182" s="12">
        <v>45959</v>
      </c>
      <c r="B182" s="12" t="s">
        <v>25</v>
      </c>
      <c r="C182" s="13" t="s">
        <v>72</v>
      </c>
      <c r="D182" s="14">
        <v>1</v>
      </c>
      <c r="E182" s="15">
        <v>63</v>
      </c>
      <c r="F182" s="15">
        <f t="shared" si="26"/>
        <v>63</v>
      </c>
      <c r="G182" s="13" t="s">
        <v>235</v>
      </c>
      <c r="H182" s="13"/>
      <c r="I182" s="13" t="str">
        <f>UPPER(TEXT(A182,"MMMM"))</f>
        <v>OCTUBRE</v>
      </c>
      <c r="J182" s="13">
        <f>+YEAR(A182)</f>
        <v>2025</v>
      </c>
      <c r="K182" s="13" t="s">
        <v>18</v>
      </c>
      <c r="L182" t="s">
        <v>243</v>
      </c>
    </row>
    <row r="183" spans="1:12" x14ac:dyDescent="0.3">
      <c r="A183" s="12">
        <v>45960</v>
      </c>
      <c r="B183" s="12" t="s">
        <v>69</v>
      </c>
      <c r="C183" s="13" t="s">
        <v>72</v>
      </c>
      <c r="D183" s="14">
        <v>1</v>
      </c>
      <c r="E183" s="15">
        <v>50</v>
      </c>
      <c r="F183" s="15">
        <f t="shared" si="26"/>
        <v>50</v>
      </c>
      <c r="G183" s="13" t="s">
        <v>236</v>
      </c>
      <c r="H183" s="13"/>
      <c r="I183" s="13" t="str">
        <f>UPPER(TEXT(A183,"MMMM"))</f>
        <v>OCTUBRE</v>
      </c>
      <c r="J183" s="13">
        <f>+YEAR(A183)</f>
        <v>2025</v>
      </c>
      <c r="K183" s="13" t="s">
        <v>18</v>
      </c>
      <c r="L183" t="s">
        <v>243</v>
      </c>
    </row>
    <row r="184" spans="1:12" ht="15" thickBot="1" x14ac:dyDescent="0.35">
      <c r="E184" s="56" t="s">
        <v>57</v>
      </c>
      <c r="F184" s="57">
        <f>SUM(F177:F183)</f>
        <v>121.05</v>
      </c>
    </row>
    <row r="185" spans="1:12" ht="15" thickBot="1" x14ac:dyDescent="0.35">
      <c r="H185" s="33"/>
      <c r="I185" s="34" t="s">
        <v>156</v>
      </c>
      <c r="J185" s="35"/>
    </row>
    <row r="186" spans="1:12" x14ac:dyDescent="0.3">
      <c r="H186" s="36">
        <v>20</v>
      </c>
      <c r="I186" s="37">
        <v>16</v>
      </c>
      <c r="J186" s="38">
        <f t="shared" ref="J186:J192" si="27">H186*I186</f>
        <v>320</v>
      </c>
    </row>
    <row r="187" spans="1:12" x14ac:dyDescent="0.3">
      <c r="E187" t="s">
        <v>237</v>
      </c>
      <c r="F187" s="16">
        <f>G173-F184</f>
        <v>-121.05</v>
      </c>
      <c r="H187" s="39">
        <v>10</v>
      </c>
      <c r="I187" s="40">
        <v>4</v>
      </c>
      <c r="J187" s="41">
        <f t="shared" si="27"/>
        <v>40</v>
      </c>
    </row>
    <row r="188" spans="1:12" x14ac:dyDescent="0.3">
      <c r="H188" s="39">
        <v>5</v>
      </c>
      <c r="I188" s="40">
        <v>4</v>
      </c>
      <c r="J188" s="41">
        <f t="shared" si="27"/>
        <v>20</v>
      </c>
    </row>
    <row r="189" spans="1:12" x14ac:dyDescent="0.3">
      <c r="H189" s="39">
        <v>1</v>
      </c>
      <c r="I189" s="40">
        <v>1</v>
      </c>
      <c r="J189" s="41">
        <f t="shared" si="27"/>
        <v>1</v>
      </c>
    </row>
    <row r="190" spans="1:12" x14ac:dyDescent="0.3">
      <c r="H190" s="39">
        <v>0.25</v>
      </c>
      <c r="I190" s="40"/>
      <c r="J190" s="41">
        <f t="shared" si="27"/>
        <v>0</v>
      </c>
    </row>
    <row r="191" spans="1:12" x14ac:dyDescent="0.3">
      <c r="H191" s="39">
        <v>0.1</v>
      </c>
      <c r="I191" s="40">
        <v>4</v>
      </c>
      <c r="J191" s="41">
        <f t="shared" si="27"/>
        <v>0.4</v>
      </c>
    </row>
    <row r="192" spans="1:12" x14ac:dyDescent="0.3">
      <c r="H192" s="39">
        <v>0.05</v>
      </c>
      <c r="I192" s="40">
        <v>1</v>
      </c>
      <c r="J192" s="41">
        <f t="shared" si="27"/>
        <v>0.05</v>
      </c>
    </row>
    <row r="193" spans="5:10" ht="15" thickBot="1" x14ac:dyDescent="0.35">
      <c r="H193" s="42"/>
      <c r="I193" s="43"/>
      <c r="J193" s="58">
        <f>SUM(J186:J192)</f>
        <v>381.45</v>
      </c>
    </row>
    <row r="195" spans="5:10" x14ac:dyDescent="0.3">
      <c r="E195" t="s">
        <v>238</v>
      </c>
      <c r="F195" s="59">
        <f ca="1">NOW()</f>
        <v>46141.369539814812</v>
      </c>
    </row>
  </sheetData>
  <autoFilter ref="A80:P80" xr:uid="{547169E1-B2F0-46C9-B563-108301DECDA7}">
    <sortState xmlns:xlrd2="http://schemas.microsoft.com/office/spreadsheetml/2017/richdata2" ref="A81:P98">
      <sortCondition ref="M80"/>
    </sortState>
  </autoFilter>
  <mergeCells count="6">
    <mergeCell ref="A157:N157"/>
    <mergeCell ref="A115:N115"/>
    <mergeCell ref="A1:N1"/>
    <mergeCell ref="A21:N21"/>
    <mergeCell ref="A40:N40"/>
    <mergeCell ref="A79:N79"/>
  </mergeCells>
  <pageMargins left="0.7" right="0.7" top="0.75" bottom="0.75" header="0.3" footer="0.3"/>
  <pageSetup paperSize="9" scale="16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6A31F5F9-E961-48AC-9E84-6BE6898F669E}">
          <x14:formula1>
            <xm:f>'CUENTAS CONTABLES'!$G$5:$G$11</xm:f>
          </x14:formula1>
          <xm:sqref>J3:J10 K177:K183 J159:J172 K137:K143 J117:J132 K101:K107 J81:J97 K60:K64 J42:J53 L31:L32 J23:J28 L12:L13</xm:sqref>
        </x14:dataValidation>
        <x14:dataValidation type="list" allowBlank="1" showInputMessage="1" showErrorMessage="1" xr:uid="{AD213A92-F59B-49B0-865D-8103DA838A55}">
          <x14:formula1>
            <xm:f>'CUENTAS CONTABLES'!$E$5:$E$10</xm:f>
          </x14:formula1>
          <xm:sqref>D3:D10 D159:D172 D117:D132 D81:D97 D42:D53 D23:D28</xm:sqref>
        </x14:dataValidation>
        <x14:dataValidation type="list" allowBlank="1" showInputMessage="1" showErrorMessage="1" xr:uid="{4F9E5FF3-04B3-4F2E-AE1E-FF04ADE1645E}">
          <x14:formula1>
            <xm:f>'CUENTAS CONTABLES'!$A$5:$A$7</xm:f>
          </x14:formula1>
          <xm:sqref>H4:H10 H159:H161 H117:H120 H81:H91 H42:H53 H23:H28</xm:sqref>
        </x14:dataValidation>
        <x14:dataValidation type="list" allowBlank="1" showInputMessage="1" showErrorMessage="1" xr:uid="{D5E0E747-E0B4-41C8-AF25-35E7B69D9A7D}">
          <x14:formula1>
            <xm:f>'CUENTAS CONTABLES'!$C$5:$C$15</xm:f>
          </x14:formula1>
          <xm:sqref>C12:C13 B177:B183 B137:B143 B101:B107 B60:B64 C31:C32</xm:sqref>
        </x14:dataValidation>
        <x14:dataValidation type="list" allowBlank="1" showInputMessage="1" showErrorMessage="1" xr:uid="{091EA181-3EED-44A7-A3C6-0B349A340A46}">
          <x14:formula1>
            <xm:f>'CUENTAS CONTABLES'!$I$5:$I$14</xm:f>
          </x14:formula1>
          <xm:sqref>D12:D13 C177:C183 C137:C143 C101:C107 C60:C64 D31:D32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1C7B-AB7B-4DD2-BFA1-A1EC4BF9D9DF}">
  <dimension ref="A1:F1"/>
  <sheetViews>
    <sheetView workbookViewId="0">
      <selection sqref="A1:F1"/>
    </sheetView>
  </sheetViews>
  <sheetFormatPr baseColWidth="10" defaultRowHeight="14.4" x14ac:dyDescent="0.3"/>
  <sheetData>
    <row r="1" spans="1:6" ht="35.4" customHeight="1" x14ac:dyDescent="0.3">
      <c r="A1" s="76"/>
      <c r="B1" s="76"/>
      <c r="C1" s="76"/>
      <c r="D1" s="76"/>
      <c r="E1" s="76"/>
      <c r="F1" s="76"/>
    </row>
  </sheetData>
  <mergeCells count="1">
    <mergeCell ref="A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4E0B-9AC0-40C6-91FE-FA230B283EB2}">
  <dimension ref="A1:F13"/>
  <sheetViews>
    <sheetView workbookViewId="0">
      <selection sqref="A1:F1"/>
    </sheetView>
  </sheetViews>
  <sheetFormatPr baseColWidth="10" defaultRowHeight="14.4" x14ac:dyDescent="0.3"/>
  <cols>
    <col min="1" max="1" width="16.5546875" bestFit="1" customWidth="1"/>
  </cols>
  <sheetData>
    <row r="1" spans="1:6" ht="35.4" customHeight="1" x14ac:dyDescent="0.3">
      <c r="A1" s="76"/>
      <c r="B1" s="76"/>
      <c r="C1" s="76"/>
      <c r="D1" s="76"/>
      <c r="E1" s="76"/>
      <c r="F1" s="76"/>
    </row>
    <row r="10" spans="1:6" x14ac:dyDescent="0.3">
      <c r="A10" s="1" t="s">
        <v>34</v>
      </c>
    </row>
    <row r="11" spans="1:6" x14ac:dyDescent="0.3">
      <c r="A11" s="2" t="s">
        <v>17</v>
      </c>
    </row>
    <row r="12" spans="1:6" x14ac:dyDescent="0.3">
      <c r="A12" s="2" t="s">
        <v>21</v>
      </c>
    </row>
    <row r="13" spans="1:6" x14ac:dyDescent="0.3">
      <c r="A13" s="2" t="s">
        <v>35</v>
      </c>
    </row>
  </sheetData>
  <mergeCells count="1">
    <mergeCell ref="A1:F1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CC4F-0DB5-4376-8C0F-408DE905136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615C-28D7-4512-9E06-ABA07E71869C}">
  <dimension ref="A1:K25"/>
  <sheetViews>
    <sheetView workbookViewId="0">
      <selection activeCell="L16" sqref="L16"/>
    </sheetView>
  </sheetViews>
  <sheetFormatPr baseColWidth="10" defaultRowHeight="14.4" x14ac:dyDescent="0.3"/>
  <cols>
    <col min="1" max="1" width="22.88671875" customWidth="1"/>
    <col min="2" max="2" width="11" customWidth="1"/>
    <col min="3" max="3" width="15.77734375" customWidth="1"/>
    <col min="4" max="4" width="12.44140625" customWidth="1"/>
    <col min="5" max="5" width="17.109375" customWidth="1"/>
    <col min="6" max="6" width="14.21875" customWidth="1"/>
    <col min="7" max="7" width="15" customWidth="1"/>
    <col min="9" max="9" width="16.6640625" customWidth="1"/>
    <col min="10" max="10" width="11.5546875" customWidth="1"/>
    <col min="12" max="12" width="16.109375" customWidth="1"/>
  </cols>
  <sheetData>
    <row r="1" spans="1:11" ht="35.4" customHeight="1" x14ac:dyDescent="0.3">
      <c r="A1" s="76"/>
      <c r="B1" s="76"/>
      <c r="C1" s="76"/>
      <c r="D1" s="76"/>
      <c r="E1" s="76"/>
      <c r="F1" s="76"/>
    </row>
    <row r="4" spans="1:11" x14ac:dyDescent="0.3">
      <c r="A4" t="s">
        <v>14</v>
      </c>
      <c r="C4" t="s">
        <v>15</v>
      </c>
      <c r="E4" t="s">
        <v>9</v>
      </c>
      <c r="G4" t="s">
        <v>10</v>
      </c>
      <c r="I4" t="s">
        <v>61</v>
      </c>
      <c r="K4" t="s">
        <v>351</v>
      </c>
    </row>
    <row r="5" spans="1:11" x14ac:dyDescent="0.3">
      <c r="A5" t="s">
        <v>37</v>
      </c>
      <c r="C5" t="s">
        <v>16</v>
      </c>
      <c r="E5" t="s">
        <v>17</v>
      </c>
      <c r="G5" t="s">
        <v>18</v>
      </c>
      <c r="I5" t="s">
        <v>62</v>
      </c>
      <c r="K5" t="s">
        <v>352</v>
      </c>
    </row>
    <row r="6" spans="1:11" x14ac:dyDescent="0.3">
      <c r="A6" t="s">
        <v>38</v>
      </c>
      <c r="C6" t="s">
        <v>19</v>
      </c>
      <c r="E6" t="s">
        <v>21</v>
      </c>
      <c r="G6" t="s">
        <v>20</v>
      </c>
      <c r="I6" t="s">
        <v>63</v>
      </c>
      <c r="K6" t="s">
        <v>353</v>
      </c>
    </row>
    <row r="7" spans="1:11" x14ac:dyDescent="0.3">
      <c r="C7" t="s">
        <v>22</v>
      </c>
      <c r="E7" t="s">
        <v>23</v>
      </c>
      <c r="G7" t="s">
        <v>83</v>
      </c>
      <c r="I7" t="s">
        <v>64</v>
      </c>
    </row>
    <row r="8" spans="1:11" x14ac:dyDescent="0.3">
      <c r="C8" t="s">
        <v>25</v>
      </c>
      <c r="E8" t="s">
        <v>26</v>
      </c>
      <c r="G8" t="s">
        <v>27</v>
      </c>
      <c r="I8" t="s">
        <v>65</v>
      </c>
    </row>
    <row r="9" spans="1:11" x14ac:dyDescent="0.3">
      <c r="C9" t="s">
        <v>28</v>
      </c>
      <c r="E9" t="s">
        <v>29</v>
      </c>
      <c r="G9" t="s">
        <v>30</v>
      </c>
      <c r="I9" t="s">
        <v>66</v>
      </c>
    </row>
    <row r="10" spans="1:11" x14ac:dyDescent="0.3">
      <c r="C10" t="s">
        <v>31</v>
      </c>
      <c r="E10" t="s">
        <v>70</v>
      </c>
      <c r="G10" t="s">
        <v>32</v>
      </c>
      <c r="I10" t="s">
        <v>24</v>
      </c>
    </row>
    <row r="11" spans="1:11" x14ac:dyDescent="0.3">
      <c r="C11" t="s">
        <v>67</v>
      </c>
      <c r="G11" t="s">
        <v>84</v>
      </c>
      <c r="I11" t="s">
        <v>27</v>
      </c>
    </row>
    <row r="12" spans="1:11" x14ac:dyDescent="0.3">
      <c r="C12" t="s">
        <v>33</v>
      </c>
      <c r="G12" t="s">
        <v>68</v>
      </c>
      <c r="I12" t="s">
        <v>30</v>
      </c>
    </row>
    <row r="13" spans="1:11" x14ac:dyDescent="0.3">
      <c r="C13" t="s">
        <v>25</v>
      </c>
      <c r="G13" t="s">
        <v>456</v>
      </c>
      <c r="I13" t="s">
        <v>32</v>
      </c>
    </row>
    <row r="14" spans="1:11" x14ac:dyDescent="0.3">
      <c r="C14" t="s">
        <v>68</v>
      </c>
      <c r="G14" t="s">
        <v>69</v>
      </c>
      <c r="I14" t="s">
        <v>72</v>
      </c>
    </row>
    <row r="15" spans="1:11" x14ac:dyDescent="0.3">
      <c r="C15" t="s">
        <v>69</v>
      </c>
      <c r="I15" t="s">
        <v>376</v>
      </c>
    </row>
    <row r="16" spans="1:11" x14ac:dyDescent="0.3">
      <c r="C16" t="s">
        <v>72</v>
      </c>
      <c r="I16" t="s">
        <v>389</v>
      </c>
    </row>
    <row r="17" spans="9:9" x14ac:dyDescent="0.3">
      <c r="I17" t="s">
        <v>390</v>
      </c>
    </row>
    <row r="18" spans="9:9" x14ac:dyDescent="0.3">
      <c r="I18" t="s">
        <v>68</v>
      </c>
    </row>
    <row r="19" spans="9:9" x14ac:dyDescent="0.3">
      <c r="I19" t="s">
        <v>69</v>
      </c>
    </row>
    <row r="20" spans="9:9" x14ac:dyDescent="0.3">
      <c r="I20" t="s">
        <v>420</v>
      </c>
    </row>
    <row r="21" spans="9:9" x14ac:dyDescent="0.3">
      <c r="I21" t="s">
        <v>421</v>
      </c>
    </row>
    <row r="22" spans="9:9" x14ac:dyDescent="0.3">
      <c r="I22" t="s">
        <v>423</v>
      </c>
    </row>
    <row r="23" spans="9:9" x14ac:dyDescent="0.3">
      <c r="I23" t="s">
        <v>425</v>
      </c>
    </row>
    <row r="24" spans="9:9" x14ac:dyDescent="0.3">
      <c r="I24" t="s">
        <v>428</v>
      </c>
    </row>
    <row r="25" spans="9:9" x14ac:dyDescent="0.3">
      <c r="I25" t="s">
        <v>430</v>
      </c>
    </row>
  </sheetData>
  <mergeCells count="1">
    <mergeCell ref="A1:F1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C62B0E-4674-4F13-9A5F-132C3B4506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INGRESOS</vt:lpstr>
      <vt:lpstr>EGRESOS</vt:lpstr>
      <vt:lpstr>FACTURAS</vt:lpstr>
      <vt:lpstr>RESUMEN 1</vt:lpstr>
      <vt:lpstr>REPORTE CAJA</vt:lpstr>
      <vt:lpstr>RESUMEN 2</vt:lpstr>
      <vt:lpstr>TABLA</vt:lpstr>
      <vt:lpstr>Hoja1</vt:lpstr>
      <vt:lpstr>CUENTAS CONTABLES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Bryam</dc:creator>
  <cp:lastModifiedBy>Bryam</cp:lastModifiedBy>
  <cp:lastPrinted>2025-10-30T16:27:31Z</cp:lastPrinted>
  <dcterms:created xsi:type="dcterms:W3CDTF">2024-09-13T20:03:48Z</dcterms:created>
  <dcterms:modified xsi:type="dcterms:W3CDTF">2026-04-29T14:01:08Z</dcterms:modified>
</cp:coreProperties>
</file>