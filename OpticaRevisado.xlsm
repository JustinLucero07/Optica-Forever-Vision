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yam\Desktop\"/>
    </mc:Choice>
  </mc:AlternateContent>
  <xr:revisionPtr revIDLastSave="0" documentId="13_ncr:1_{AFA961F7-8F74-4CF9-B040-18E2E3CD4B79}" xr6:coauthVersionLast="47" xr6:coauthVersionMax="47" xr10:uidLastSave="{00000000-0000-0000-0000-000000000000}"/>
  <bookViews>
    <workbookView xWindow="-108" yWindow="-108" windowWidth="23256" windowHeight="12576" firstSheet="1" activeTab="1" xr2:uid="{5992C1F4-051D-47C2-B384-F99B0692F974}"/>
  </bookViews>
  <sheets>
    <sheet name="bdPacientes" sheetId="1" state="veryHidden" r:id="rId1"/>
    <sheet name="Inicio" sheetId="6" r:id="rId2"/>
    <sheet name="bdConsulta" sheetId="5" state="veryHidden" r:id="rId3"/>
    <sheet name="cabezaVentas" sheetId="15" state="veryHidden" r:id="rId4"/>
    <sheet name="CuerpoVenta" sheetId="16" state="veryHidden" r:id="rId5"/>
    <sheet name="Cxc" sheetId="17" state="veryHidden" r:id="rId6"/>
    <sheet name="bdIngresos" sheetId="18" state="veryHidden" r:id="rId7"/>
    <sheet name="Orden Contactología" sheetId="7" r:id="rId8"/>
    <sheet name="Orden Lente Convencional " sheetId="9" r:id="rId9"/>
    <sheet name="Inventario" sheetId="14" state="hidden" r:id="rId10"/>
    <sheet name="bdEntradas" sheetId="19" state="veryHidden" r:id="rId11"/>
    <sheet name="Registro Laboratorios" sheetId="20" state="veryHidden" r:id="rId12"/>
    <sheet name="Configuraciones" sheetId="3" state="hidden" r:id="rId13"/>
    <sheet name="VentaTk" sheetId="21" r:id="rId14"/>
  </sheets>
  <functionGroups builtInGroupCount="19"/>
  <definedNames>
    <definedName name="_xlnm.Print_Area" localSheetId="7">'Orden Contactología'!$A$1:$AH$15</definedName>
    <definedName name="_xlnm.Print_Area" localSheetId="8">'Orden Lente Convencional '!$A$1:$AN$20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9" i="14" l="1"/>
  <c r="H118" i="14"/>
  <c r="H117" i="14"/>
  <c r="H116" i="14"/>
  <c r="H115" i="14"/>
  <c r="H114" i="14"/>
  <c r="H113" i="14"/>
  <c r="H112" i="14"/>
  <c r="H111" i="14"/>
  <c r="H110" i="14"/>
  <c r="H109" i="14"/>
  <c r="H108" i="14"/>
  <c r="H107" i="14"/>
  <c r="H106" i="14" l="1"/>
  <c r="H105" i="14"/>
  <c r="H104" i="14" l="1"/>
  <c r="H103" i="14" l="1"/>
  <c r="H102" i="14"/>
  <c r="H101" i="14"/>
  <c r="H100" i="14"/>
  <c r="H99" i="14"/>
  <c r="H98" i="14"/>
  <c r="H97" i="14"/>
  <c r="H96" i="14"/>
  <c r="H95" i="14"/>
  <c r="H94" i="14"/>
  <c r="H93" i="14"/>
  <c r="H92" i="14"/>
  <c r="H91" i="14" l="1"/>
  <c r="H90" i="14"/>
  <c r="H89" i="14"/>
  <c r="H88" i="14"/>
  <c r="H87" i="14"/>
  <c r="H86" i="14"/>
  <c r="H85" i="14"/>
  <c r="H84" i="14"/>
  <c r="H83" i="14"/>
  <c r="H82" i="14"/>
  <c r="H81" i="14"/>
  <c r="H80" i="14"/>
  <c r="H79" i="14"/>
  <c r="H78" i="14"/>
  <c r="H77" i="14"/>
  <c r="H76" i="14"/>
  <c r="H75" i="14"/>
  <c r="H74" i="14"/>
  <c r="H73" i="14"/>
  <c r="H72" i="14"/>
  <c r="H71" i="14"/>
  <c r="H70" i="14"/>
  <c r="H69" i="14"/>
  <c r="H68" i="14"/>
  <c r="H67" i="14"/>
  <c r="H66" i="14"/>
  <c r="H65" i="14"/>
  <c r="H64" i="14" l="1"/>
  <c r="H63" i="14"/>
  <c r="H62" i="14"/>
  <c r="H61" i="14"/>
  <c r="H60" i="14"/>
  <c r="H59" i="14"/>
  <c r="H58" i="14"/>
  <c r="H57" i="14"/>
  <c r="H56" i="14" l="1"/>
  <c r="H55" i="14"/>
  <c r="H54" i="14"/>
  <c r="H53" i="14"/>
  <c r="H52" i="14"/>
  <c r="H51" i="14"/>
  <c r="H50" i="14"/>
  <c r="H49" i="14"/>
  <c r="H48" i="14"/>
  <c r="H47" i="14"/>
  <c r="H46" i="14"/>
  <c r="H45" i="14"/>
  <c r="H44" i="14"/>
  <c r="H43" i="14"/>
  <c r="H42" i="14"/>
  <c r="H41" i="14"/>
  <c r="H40" i="14"/>
  <c r="H39" i="14"/>
  <c r="H38" i="14"/>
  <c r="H37" i="14"/>
  <c r="H36" i="14"/>
  <c r="H35" i="14"/>
  <c r="H34" i="14"/>
  <c r="H33" i="14"/>
  <c r="H32" i="14"/>
  <c r="H31" i="14"/>
  <c r="H30" i="14"/>
  <c r="H29" i="14"/>
  <c r="H28" i="14"/>
  <c r="H27" i="14"/>
  <c r="H26" i="14"/>
  <c r="H25" i="14"/>
  <c r="H24" i="14"/>
  <c r="H23" i="14"/>
  <c r="H22" i="14"/>
  <c r="H21" i="14"/>
  <c r="H20" i="14"/>
  <c r="H19" i="14"/>
  <c r="H18" i="14"/>
  <c r="H17" i="14"/>
  <c r="H16" i="14"/>
  <c r="H15" i="14"/>
  <c r="H14" i="14"/>
  <c r="H13" i="14"/>
  <c r="H12" i="14"/>
  <c r="H11" i="14"/>
  <c r="H10" i="14"/>
  <c r="H9" i="14"/>
  <c r="H8" i="14"/>
  <c r="H7" i="14"/>
  <c r="H6" i="14"/>
  <c r="H5" i="14"/>
  <c r="H4" i="14"/>
</calcChain>
</file>

<file path=xl/sharedStrings.xml><?xml version="1.0" encoding="utf-8"?>
<sst xmlns="http://schemas.openxmlformats.org/spreadsheetml/2006/main" count="6044" uniqueCount="2319">
  <si>
    <t>item paciente</t>
  </si>
  <si>
    <t>key</t>
  </si>
  <si>
    <t>nombres</t>
  </si>
  <si>
    <t>cedula</t>
  </si>
  <si>
    <t>genero</t>
  </si>
  <si>
    <t>fecha nacimiento</t>
  </si>
  <si>
    <t>edad</t>
  </si>
  <si>
    <t>telefono</t>
  </si>
  <si>
    <t>estado civil</t>
  </si>
  <si>
    <t>ocupacion</t>
  </si>
  <si>
    <t>observaciones</t>
  </si>
  <si>
    <t>Estado Civil</t>
  </si>
  <si>
    <t>Soltero</t>
  </si>
  <si>
    <t>Casado</t>
  </si>
  <si>
    <t>Divorciado</t>
  </si>
  <si>
    <t>Viudo</t>
  </si>
  <si>
    <t>Separado</t>
  </si>
  <si>
    <t>Unión libre</t>
  </si>
  <si>
    <t>Concubinato</t>
  </si>
  <si>
    <t>Comprometido</t>
  </si>
  <si>
    <t>Pareja de hecho</t>
  </si>
  <si>
    <t>No especificado</t>
  </si>
  <si>
    <t>Genero</t>
  </si>
  <si>
    <t>Masculino</t>
  </si>
  <si>
    <t>Femenino</t>
  </si>
  <si>
    <t>No binario</t>
  </si>
  <si>
    <t>Prefiere no decirlo</t>
  </si>
  <si>
    <t>Otro</t>
  </si>
  <si>
    <t>key consulta</t>
  </si>
  <si>
    <t>key paciente</t>
  </si>
  <si>
    <t>fecha</t>
  </si>
  <si>
    <t>resumen consulta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</si>
  <si>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</si>
  <si>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</si>
  <si>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</si>
  <si>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</si>
  <si>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</si>
  <si>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</si>
  <si>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</si>
  <si>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</si>
  <si>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</si>
  <si>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</si>
  <si>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</si>
  <si>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</si>
  <si>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</si>
  <si>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</si>
  <si>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</si>
  <si>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</si>
  <si>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</si>
  <si>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</si>
  <si>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</si>
  <si>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</si>
  <si>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</si>
  <si>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</si>
  <si>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</si>
  <si>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</si>
  <si>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</si>
  <si>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</si>
  <si>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</si>
  <si>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</si>
  <si>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</si>
  <si>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</si>
  <si>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</si>
  <si>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</si>
  <si>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</si>
  <si>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</si>
  <si>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</si>
  <si>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</si>
  <si>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</si>
  <si>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</si>
  <si>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</si>
  <si>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</si>
  <si>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</si>
  <si>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</si>
  <si>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</si>
  <si>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</si>
  <si>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</si>
  <si>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</si>
  <si>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</si>
  <si>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</si>
  <si>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</si>
  <si>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</si>
  <si>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</si>
  <si>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</si>
  <si>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</si>
  <si>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</si>
  <si>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</si>
  <si>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</si>
  <si>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</si>
  <si>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</si>
  <si>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</si>
  <si>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</si>
  <si>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</si>
  <si>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</si>
  <si>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</si>
  <si>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</si>
  <si>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</si>
  <si>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</si>
  <si>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</si>
  <si>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</si>
  <si>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</si>
  <si>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</si>
  <si>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</si>
  <si>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</si>
  <si>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</si>
  <si>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</si>
  <si>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</si>
  <si>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</si>
  <si>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</si>
  <si>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</si>
  <si>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</si>
  <si>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</si>
  <si>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</si>
  <si>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</si>
  <si>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</si>
  <si>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</si>
  <si>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</si>
  <si>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</si>
  <si>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</si>
  <si>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</si>
  <si>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</si>
  <si>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</si>
  <si>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</si>
  <si>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</si>
  <si>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</si>
  <si>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</si>
  <si>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</si>
  <si>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</si>
  <si>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</si>
  <si>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</si>
  <si>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</si>
  <si>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</si>
  <si>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</si>
  <si>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</si>
  <si>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</si>
  <si>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</si>
  <si>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</si>
  <si>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</si>
  <si>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</si>
  <si>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</si>
  <si>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</si>
  <si>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</si>
  <si>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</si>
  <si>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</si>
  <si>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</si>
  <si>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item consulta</t>
  </si>
  <si>
    <t xml:space="preserve"> </t>
  </si>
  <si>
    <t>Fecha:</t>
  </si>
  <si>
    <t>Paciente:</t>
  </si>
  <si>
    <t>CI.:</t>
  </si>
  <si>
    <t>ESF</t>
  </si>
  <si>
    <t>CYL</t>
  </si>
  <si>
    <t>EJE</t>
  </si>
  <si>
    <t>ADD</t>
  </si>
  <si>
    <t>OD</t>
  </si>
  <si>
    <t>OI</t>
  </si>
  <si>
    <t>DIAMETRO</t>
  </si>
  <si>
    <t>AV</t>
  </si>
  <si>
    <t>AVcc A/O
 LEJOS</t>
  </si>
  <si>
    <t>AVcc A/O
CERCA</t>
  </si>
  <si>
    <t>CURVA 
BASE</t>
  </si>
  <si>
    <t>Tipo de lente</t>
  </si>
  <si>
    <t>Observaciones</t>
  </si>
  <si>
    <t>PRISMA</t>
  </si>
  <si>
    <t>DNP</t>
  </si>
  <si>
    <t>DP</t>
  </si>
  <si>
    <t>AV LEJOS</t>
  </si>
  <si>
    <t>Diseño del lente</t>
  </si>
  <si>
    <t>Tratamiento</t>
  </si>
  <si>
    <t>Diagnostico</t>
  </si>
  <si>
    <t>Material</t>
  </si>
  <si>
    <t>Recomendaciones</t>
  </si>
  <si>
    <t>item orden</t>
  </si>
  <si>
    <t>ALT</t>
  </si>
  <si>
    <t>AV CERCA</t>
  </si>
  <si>
    <t>orden</t>
  </si>
  <si>
    <t>orden2</t>
  </si>
  <si>
    <t>s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</si>
  <si>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</si>
  <si>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</si>
  <si>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</si>
  <si>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</si>
  <si>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</si>
  <si>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</si>
  <si>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</si>
  <si>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</si>
  <si>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</si>
  <si>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</si>
  <si>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</si>
  <si>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</si>
  <si>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</si>
  <si>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</si>
  <si>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</si>
  <si>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</si>
  <si>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</si>
  <si>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.</t>
  </si>
  <si>
    <t>item usuario</t>
  </si>
  <si>
    <t>.2</t>
  </si>
  <si>
    <t>Columna1</t>
  </si>
  <si>
    <t>Ruta contactogia</t>
  </si>
  <si>
    <t>ruta Lenteconenvciona</t>
  </si>
  <si>
    <t>Ruta de guardarArchivos</t>
  </si>
  <si>
    <t>Estado de envió</t>
  </si>
  <si>
    <t>contactologia enviado</t>
  </si>
  <si>
    <t>convencional enviado</t>
  </si>
  <si>
    <t>Precio</t>
  </si>
  <si>
    <t>código</t>
  </si>
  <si>
    <t>nombre del producto</t>
  </si>
  <si>
    <t>entradas</t>
  </si>
  <si>
    <t>salidas</t>
  </si>
  <si>
    <t>existencias</t>
  </si>
  <si>
    <t>keyVenta</t>
  </si>
  <si>
    <t>key cliente</t>
  </si>
  <si>
    <t>subtotal</t>
  </si>
  <si>
    <t>descuento</t>
  </si>
  <si>
    <t>total</t>
  </si>
  <si>
    <t>n de productos</t>
  </si>
  <si>
    <t>metodo de pago</t>
  </si>
  <si>
    <t>estado</t>
  </si>
  <si>
    <t>Cobrado</t>
  </si>
  <si>
    <t>pendiente</t>
  </si>
  <si>
    <t>key venta</t>
  </si>
  <si>
    <t>key producto</t>
  </si>
  <si>
    <t>precio</t>
  </si>
  <si>
    <t>desct</t>
  </si>
  <si>
    <t>Total Deuda</t>
  </si>
  <si>
    <t>Abono</t>
  </si>
  <si>
    <t>Saldo Pendiente</t>
  </si>
  <si>
    <t>keyCliente</t>
  </si>
  <si>
    <t>Concepto</t>
  </si>
  <si>
    <t>X</t>
  </si>
  <si>
    <t>keyIngreso</t>
  </si>
  <si>
    <t>cliente</t>
  </si>
  <si>
    <t>concepto</t>
  </si>
  <si>
    <t>foreign key venta</t>
  </si>
  <si>
    <t>monto</t>
  </si>
  <si>
    <t>item</t>
  </si>
  <si>
    <t>cantidad</t>
  </si>
  <si>
    <t>provedor</t>
  </si>
  <si>
    <t>responsable</t>
  </si>
  <si>
    <t>key laboratorio</t>
  </si>
  <si>
    <t>nombre</t>
  </si>
  <si>
    <t>direccion</t>
  </si>
  <si>
    <t>correo electronico</t>
  </si>
  <si>
    <t>Ruta imagen de sistema</t>
  </si>
  <si>
    <t>Mensajes Predefinidos</t>
  </si>
  <si>
    <t>titulo envio a lab</t>
  </si>
  <si>
    <t>cuerpo envio a lab</t>
  </si>
  <si>
    <t>Envío de orden para procesamiento</t>
  </si>
  <si>
    <t>Saludos, {LABORATORIO}
Adjuntamos la orden correspondiente para su procesamiento en laboratorio.
📄 Información del caso:
• Paciente: {NOMBRE_PACIENTE}
• Código de orden: {CODIGO_ORDEN}
• Tipo de lente: {TIPO_LENTE}
• Fecha de envío: {FECHA}
📎 Se adjuntan:
• Archivo(s) PX / receta
Por favor confirmar la recepción de los archivos y la orden.
Quedamos atentos a cualquier observación.
Gracias.</t>
  </si>
  <si>
    <t>Titulo retirar</t>
  </si>
  <si>
    <t>Sus lentes están listos para retiro</t>
  </si>
  <si>
    <t>Hola {NOMBRE_PACIENTE},
Le informamos que sus lentes ya se encuentran listos.
👓 Detalle:
• Fecha de disponibilidad: {FECHA}
Puede acercarse a nuestras instalaciones para el retiro o comunicarse con nosotros si desea coordinar la entrega.
Gracias por su preferencia.</t>
  </si>
  <si>
    <t>item venta</t>
  </si>
  <si>
    <t>item cxc</t>
  </si>
  <si>
    <t>item ingreso</t>
  </si>
  <si>
    <t>cant</t>
  </si>
  <si>
    <t>item lab</t>
  </si>
  <si>
    <t>Entradas Inventario</t>
  </si>
  <si>
    <t>item codigoPais</t>
  </si>
  <si>
    <t>Excel Practico</t>
  </si>
  <si>
    <t>Ordenx</t>
  </si>
  <si>
    <t>Item Orden</t>
  </si>
  <si>
    <t>Datos Del Comprador</t>
  </si>
  <si>
    <t>Nombre</t>
  </si>
  <si>
    <t>Cédula</t>
  </si>
  <si>
    <t>N.° De Venta</t>
  </si>
  <si>
    <t>Cantidad</t>
  </si>
  <si>
    <t>Descripcion</t>
  </si>
  <si>
    <t>Precio U</t>
  </si>
  <si>
    <t>Subtotal</t>
  </si>
  <si>
    <t>Descuento</t>
  </si>
  <si>
    <t>Total</t>
  </si>
  <si>
    <t>Abonado</t>
  </si>
  <si>
    <t>Pendiente</t>
  </si>
  <si>
    <t>Desct.</t>
  </si>
  <si>
    <t>#Orden 2</t>
  </si>
  <si>
    <t>NA</t>
  </si>
  <si>
    <t>0.1</t>
  </si>
  <si>
    <t>0.4</t>
  </si>
  <si>
    <t>.5</t>
  </si>
  <si>
    <t>0.3</t>
  </si>
  <si>
    <t>Anti reflejo</t>
  </si>
  <si>
    <t>P1</t>
  </si>
  <si>
    <t xml:space="preserve">PARDO MORENO SEGUNDO EDGAR </t>
  </si>
  <si>
    <t>1102167275</t>
  </si>
  <si>
    <t>P2</t>
  </si>
  <si>
    <t>SANTOS GODOY VIVIANA GABRIELA</t>
  </si>
  <si>
    <t>0106030216</t>
  </si>
  <si>
    <t>APREMANSA PRIMERA VEZ</t>
  </si>
  <si>
    <t>CR39-BAR-2</t>
  </si>
  <si>
    <t>LUNAS CR39 BLUE BLOCK +AR HASTA2</t>
  </si>
  <si>
    <t>CR39-BAR-4</t>
  </si>
  <si>
    <t>LUNAS CR39 BLUE BLOCK +AR HASTA4</t>
  </si>
  <si>
    <t>CERT</t>
  </si>
  <si>
    <t>CERTIFICADO VISUAL</t>
  </si>
  <si>
    <t>C:\Users\Bryam\Downloads\359832861_1693670451084658_783858562936150180_n.jpg</t>
  </si>
  <si>
    <t>Lab0</t>
  </si>
  <si>
    <t>IMPORTLENTS</t>
  </si>
  <si>
    <t>593989110874</t>
  </si>
  <si>
    <t>Venta1</t>
  </si>
  <si>
    <t>Efectivo</t>
  </si>
  <si>
    <t>Cxc0</t>
  </si>
  <si>
    <t>CAMBIO DE LUNAS</t>
  </si>
  <si>
    <t>Ing1</t>
  </si>
  <si>
    <t>C1</t>
  </si>
  <si>
    <t xml:space="preserve">LICENCIA APREMANSA </t>
  </si>
  <si>
    <t>Consulta realizada</t>
  </si>
  <si>
    <t>NO</t>
  </si>
  <si>
    <t>SI</t>
  </si>
  <si>
    <t>1 AÑO CON LENTES</t>
  </si>
  <si>
    <t>CONTROL ANUAL</t>
  </si>
  <si>
    <t>LICENCIA 1RA VEZ</t>
  </si>
  <si>
    <t>N</t>
  </si>
  <si>
    <t>-1.00</t>
  </si>
  <si>
    <t>178</t>
  </si>
  <si>
    <t>170</t>
  </si>
  <si>
    <t>CERRADO</t>
  </si>
  <si>
    <t>METALICO</t>
  </si>
  <si>
    <t>CR39 BLUE BLOCK +AR</t>
  </si>
  <si>
    <t>-0.25</t>
  </si>
  <si>
    <t>-1.50</t>
  </si>
  <si>
    <t>-3.50</t>
  </si>
  <si>
    <t>ARMAZON DEL PACIENTE</t>
  </si>
  <si>
    <t>USO DE LENTES PERMANENTES</t>
  </si>
  <si>
    <t>ASTIGMATISMO MIOPICO OD Y ASTIGMATISMO OI</t>
  </si>
  <si>
    <t>CONTROL 6 MESES</t>
  </si>
  <si>
    <t>C:\Users\Bryam\Desktop\PX Optica</t>
  </si>
  <si>
    <t>C:\Users\Bryam\Desktop\PX Optica\SANTOS GODOY VIVIANA GABRIELA_LenteConvencional_05012026_133716.pdf</t>
  </si>
  <si>
    <t>C2</t>
  </si>
  <si>
    <t>CONTROL</t>
  </si>
  <si>
    <t>LENTES BIFOCALES HACE 3 AÑOS</t>
  </si>
  <si>
    <t>VISION BORROSA LEJANA Y CERCANA</t>
  </si>
  <si>
    <t>+1.50</t>
  </si>
  <si>
    <t>+2.50</t>
  </si>
  <si>
    <t>-1.25</t>
  </si>
  <si>
    <t>ARMAZON CERRADO PASTA</t>
  </si>
  <si>
    <t>BIFOCAL BLANCO</t>
  </si>
  <si>
    <t>LENTES DE USO PERMANENTE</t>
  </si>
  <si>
    <t>+2.00</t>
  </si>
  <si>
    <t>-0.75</t>
  </si>
  <si>
    <t>+2.75</t>
  </si>
  <si>
    <t>+0.25</t>
  </si>
  <si>
    <t>ASTIGMATISMO HIPERMETROPICO AO Y PRESVICIA</t>
  </si>
  <si>
    <t>Av. 24 de mayo y puyo</t>
  </si>
  <si>
    <t>Óptica Forever Vision</t>
  </si>
  <si>
    <t>P3</t>
  </si>
  <si>
    <t>LEON VANEGAS JOSE EMILIO</t>
  </si>
  <si>
    <t>593998228006</t>
  </si>
  <si>
    <t>C3</t>
  </si>
  <si>
    <t xml:space="preserve">CONTROL </t>
  </si>
  <si>
    <t xml:space="preserve">SI </t>
  </si>
  <si>
    <t>SI HACE AÑO Y MEDIO</t>
  </si>
  <si>
    <t xml:space="preserve">VISION BORROSA LEJANA </t>
  </si>
  <si>
    <t xml:space="preserve">PRIMERA VEZ </t>
  </si>
  <si>
    <t>-0.50</t>
  </si>
  <si>
    <t>175</t>
  </si>
  <si>
    <t>CORRECION OPTICA MONOFOCAL</t>
  </si>
  <si>
    <t>ASTIGMATISMO MIOPICO EN AO</t>
  </si>
  <si>
    <t>CONTROL ANUAL- USO DE LENTES CORRECTORES PERMANENTES</t>
  </si>
  <si>
    <t>METALICO VENETTI</t>
  </si>
  <si>
    <t>593959057116</t>
  </si>
  <si>
    <t>P4</t>
  </si>
  <si>
    <t>0102053923</t>
  </si>
  <si>
    <t>15/06/1963</t>
  </si>
  <si>
    <t>593984108110</t>
  </si>
  <si>
    <t>MORA SANMARTIN CARLOS SAUL</t>
  </si>
  <si>
    <t>GX7 BLUE BLOCK +AR</t>
  </si>
  <si>
    <t>Listo Para Entrega</t>
  </si>
  <si>
    <t>GX7-BAR-2</t>
  </si>
  <si>
    <t>ARM. VENETTI METALICO DORADO 240017</t>
  </si>
  <si>
    <t>P5</t>
  </si>
  <si>
    <t>AYAVACA LOJA BYRON PATRICIO</t>
  </si>
  <si>
    <t>0150651446</t>
  </si>
  <si>
    <t>14/04/2004</t>
  </si>
  <si>
    <t>593999700947</t>
  </si>
  <si>
    <t>BODEGUERO</t>
  </si>
  <si>
    <t>Venta2</t>
  </si>
  <si>
    <t>Cxc1</t>
  </si>
  <si>
    <t>Lentes Completos</t>
  </si>
  <si>
    <t>Ing2</t>
  </si>
  <si>
    <t>#Orden 3</t>
  </si>
  <si>
    <t>C:\Users\Bryam\Desktop\PX Optica\LEON VANEGAS JOSE EMILIO_LenteConvencional_06012026_111945.pdf</t>
  </si>
  <si>
    <t>E1</t>
  </si>
  <si>
    <t>IMPORTLENS</t>
  </si>
  <si>
    <t>BRYAM</t>
  </si>
  <si>
    <t>E2</t>
  </si>
  <si>
    <t>VENETTI</t>
  </si>
  <si>
    <t>E3</t>
  </si>
  <si>
    <t>OPTICA</t>
  </si>
  <si>
    <t>E4</t>
  </si>
  <si>
    <t>E5</t>
  </si>
  <si>
    <t>DANNA</t>
  </si>
  <si>
    <t>C4</t>
  </si>
  <si>
    <t>VISION BORROSA</t>
  </si>
  <si>
    <t>LENTES PERDIDOS</t>
  </si>
  <si>
    <t>-3.00</t>
  </si>
  <si>
    <t>-3.25</t>
  </si>
  <si>
    <t>177</t>
  </si>
  <si>
    <t>20/90</t>
  </si>
  <si>
    <t>20/25 AO</t>
  </si>
  <si>
    <t>LENTE CON CLIP</t>
  </si>
  <si>
    <t>LENTES PERMANENTES</t>
  </si>
  <si>
    <t>ASTIGMATISMO MIOPICO AO</t>
  </si>
  <si>
    <t>#Orden 4</t>
  </si>
  <si>
    <t>C:\Users\Bryam\Desktop\PX Optica\AYAVACA LOJA BYRON PATRICIO_LenteConvencional_06012026_121105.pdf</t>
  </si>
  <si>
    <t>C5</t>
  </si>
  <si>
    <t>LENTES ROTOS</t>
  </si>
  <si>
    <t>#Orden 5</t>
  </si>
  <si>
    <t>C:\Users\Bryam\Desktop\PX Optica\MORA SANMARTIN CARLOS SAUL_LenteConvencional_06012026_121750.pdf</t>
  </si>
  <si>
    <t>SUE</t>
  </si>
  <si>
    <t>SUELDA</t>
  </si>
  <si>
    <t>E6</t>
  </si>
  <si>
    <t>Venta3</t>
  </si>
  <si>
    <t>Completada</t>
  </si>
  <si>
    <t>Ing3</t>
  </si>
  <si>
    <t>H-H3115</t>
  </si>
  <si>
    <t>ARM. HENDRYSON LUXURY CON CLIP +EST H-H3115</t>
  </si>
  <si>
    <t>GX7-BAR-4</t>
  </si>
  <si>
    <t>GX7 BLUE BLOCK +AR HASTA 4</t>
  </si>
  <si>
    <t>GX7 BLUE BLOCK +AR HASTA 2</t>
  </si>
  <si>
    <t>P6</t>
  </si>
  <si>
    <t xml:space="preserve">0107679532 </t>
  </si>
  <si>
    <t>23/02/2005</t>
  </si>
  <si>
    <t>593997830865</t>
  </si>
  <si>
    <t xml:space="preserve">	 			</t>
  </si>
  <si>
    <t>C6</t>
  </si>
  <si>
    <t>164</t>
  </si>
  <si>
    <t>20/30-2</t>
  </si>
  <si>
    <t>20/20</t>
  </si>
  <si>
    <t>20/150</t>
  </si>
  <si>
    <t>20/40-2</t>
  </si>
  <si>
    <t>AMBLIOPIA OI ASTIGMATISMO OD</t>
  </si>
  <si>
    <t>METALICO ROSADO CERRADO</t>
  </si>
  <si>
    <t>ARMAZON VIS3303</t>
  </si>
  <si>
    <t>#Orden 6</t>
  </si>
  <si>
    <t>C:\Users\Bryam\Desktop\PX Optica\ANAHI TATIANA PINOS ABRIL _LenteConvencional_06012026_141226.pdf</t>
  </si>
  <si>
    <t>Enviado a laboratorio</t>
  </si>
  <si>
    <t>VIS3303</t>
  </si>
  <si>
    <t>ARM. VISTA VIS3303</t>
  </si>
  <si>
    <t>Venta4</t>
  </si>
  <si>
    <t>Cxc2</t>
  </si>
  <si>
    <t>LENTES COMPLETOS</t>
  </si>
  <si>
    <t>Ing4</t>
  </si>
  <si>
    <t>Venta5</t>
  </si>
  <si>
    <t>Transferencia Bancaria</t>
  </si>
  <si>
    <t>Cxc3</t>
  </si>
  <si>
    <t>Ing5</t>
  </si>
  <si>
    <t>Cxc5</t>
  </si>
  <si>
    <t>RETIRA LENTES</t>
  </si>
  <si>
    <t>Entregado al paciente</t>
  </si>
  <si>
    <t>P7</t>
  </si>
  <si>
    <t>LUIS VEGA</t>
  </si>
  <si>
    <t>593989212435</t>
  </si>
  <si>
    <t>C7</t>
  </si>
  <si>
    <t>CAMBIO DE VARILLAS</t>
  </si>
  <si>
    <t>CAMBIAR VARILLAS</t>
  </si>
  <si>
    <t>VARI</t>
  </si>
  <si>
    <t>Venta6</t>
  </si>
  <si>
    <t>Ing6</t>
  </si>
  <si>
    <t>#Orden 7</t>
  </si>
  <si>
    <t>C:\Users\Bryam\Desktop\PX Optica\LUIS VEGA_LenteConvencional_06012026_143528.pdf</t>
  </si>
  <si>
    <t>P8</t>
  </si>
  <si>
    <t>ALEXANDRA</t>
  </si>
  <si>
    <t>593985208105</t>
  </si>
  <si>
    <t>C8</t>
  </si>
  <si>
    <t>CAMBIO DE ARMAZON</t>
  </si>
  <si>
    <t>BUSCAR TRASPASO</t>
  </si>
  <si>
    <t>#Orden 8</t>
  </si>
  <si>
    <t>C:\Users\Bryam\Desktop\PX Optica\ALEXANDRA_LenteConvencional_06012026_143834.pdf</t>
  </si>
  <si>
    <t>P9</t>
  </si>
  <si>
    <t>AMENDAÑO CAPON NANCY FABIOLA</t>
  </si>
  <si>
    <t>0102950433</t>
  </si>
  <si>
    <t>593995970178</t>
  </si>
  <si>
    <t>PSICOLOGA CLINICA</t>
  </si>
  <si>
    <t>P10</t>
  </si>
  <si>
    <t>VASQUEZ CUESTA LUZ ANGELITA</t>
  </si>
  <si>
    <t>0104537287</t>
  </si>
  <si>
    <t>593999019584</t>
  </si>
  <si>
    <t xml:space="preserve">TERAPISTA </t>
  </si>
  <si>
    <t>27/04/1977</t>
  </si>
  <si>
    <t>P11</t>
  </si>
  <si>
    <t>MARIN BOJORQUE FABIAN ANDRES</t>
  </si>
  <si>
    <t>0150698785</t>
  </si>
  <si>
    <t>15/02/2008</t>
  </si>
  <si>
    <t>14757669233</t>
  </si>
  <si>
    <t>ESTUDIANTE</t>
  </si>
  <si>
    <t>C9</t>
  </si>
  <si>
    <t>LICENCIA PRIMERA VEZ</t>
  </si>
  <si>
    <t>20/70</t>
  </si>
  <si>
    <t>20/20-1</t>
  </si>
  <si>
    <t>PASTA CERRADO</t>
  </si>
  <si>
    <t>ANTIREFLEJO</t>
  </si>
  <si>
    <t>CR39</t>
  </si>
  <si>
    <t>C10</t>
  </si>
  <si>
    <t>CAMBIO DE LUNAS Y REVISION</t>
  </si>
  <si>
    <t>20/40</t>
  </si>
  <si>
    <t>METALICO CERRADO</t>
  </si>
  <si>
    <t>BLUE BLOCK +AR</t>
  </si>
  <si>
    <t>GX7</t>
  </si>
  <si>
    <t>ASTIGMATISMO AO</t>
  </si>
  <si>
    <t>#Orden 9</t>
  </si>
  <si>
    <t>C:\Users\Bryam\Desktop\PX Optica\AMENDAÑO CAPON NANCY FABIOLA_LenteConvencional_07012026_093034.pdf</t>
  </si>
  <si>
    <t>#Orden 10</t>
  </si>
  <si>
    <t>C:\Users\Bryam\Desktop\PX Optica\MARIN BOJORQUE FABIAN ANDRES_LenteConvencional_07012026_093108.pdf</t>
  </si>
  <si>
    <t xml:space="preserve">PINOS ABRIL ANAHI TATIANA </t>
  </si>
  <si>
    <t>C11</t>
  </si>
  <si>
    <t>RENOVACION LICENCIA B</t>
  </si>
  <si>
    <t>+0.50</t>
  </si>
  <si>
    <t>165</t>
  </si>
  <si>
    <t>30.5</t>
  </si>
  <si>
    <t>20/50+2</t>
  </si>
  <si>
    <t>20/30</t>
  </si>
  <si>
    <t>ACETATO</t>
  </si>
  <si>
    <t>ASTIGMATISMO HIPERMETROPICO OD ASTIGMATISMO OI</t>
  </si>
  <si>
    <t>P12</t>
  </si>
  <si>
    <t>GONZALO GERMAN ESPINOZA RIERA</t>
  </si>
  <si>
    <t>0700010432</t>
  </si>
  <si>
    <t>26-AGOS-1946</t>
  </si>
  <si>
    <t>593984812116</t>
  </si>
  <si>
    <t>JUBILADO</t>
  </si>
  <si>
    <t>APREMANSA "B"</t>
  </si>
  <si>
    <t>C12</t>
  </si>
  <si>
    <t>APREMANSA RENOVACION "B"</t>
  </si>
  <si>
    <t>PRESION ALTA</t>
  </si>
  <si>
    <t>LESION OCULAR HACE 12 AÑOS</t>
  </si>
  <si>
    <t>PROGRESIVOS</t>
  </si>
  <si>
    <t>REMICION A OFTALMOLOGIA OD 20/CD ESPERAR RESULTADOS</t>
  </si>
  <si>
    <t>20/CD-200</t>
  </si>
  <si>
    <t>20/80-40</t>
  </si>
  <si>
    <t>20/200</t>
  </si>
  <si>
    <t>REMICION A OFTALMOLOGIA</t>
  </si>
  <si>
    <t>Cxc8</t>
  </si>
  <si>
    <t>Cxc9</t>
  </si>
  <si>
    <t>RETIRO DE LENTES</t>
  </si>
  <si>
    <t>Cxc10</t>
  </si>
  <si>
    <t>RETIRO DE ARREGLO</t>
  </si>
  <si>
    <t>RY-9802</t>
  </si>
  <si>
    <t>ARM. ECOVIEW RY-9802</t>
  </si>
  <si>
    <t>CR39-AR-2</t>
  </si>
  <si>
    <t>LUNAS CR39 ANTIREFLEJO</t>
  </si>
  <si>
    <t>Venta7</t>
  </si>
  <si>
    <t>ABONO A LENTES</t>
  </si>
  <si>
    <t>Ing7</t>
  </si>
  <si>
    <t>Cxc12</t>
  </si>
  <si>
    <t>#Orden 12</t>
  </si>
  <si>
    <t>C:\Users\Bryam\Desktop\PX Optica\VASQUEZ CUESTA LUZ ANGELITA_LenteConvencional_07012026_175115.pdf</t>
  </si>
  <si>
    <t>PRO1903</t>
  </si>
  <si>
    <t>ARM. PROVISION ACETATO PRO1903</t>
  </si>
  <si>
    <t>Cxc14</t>
  </si>
  <si>
    <t>Venta9</t>
  </si>
  <si>
    <t>Ing9</t>
  </si>
  <si>
    <t>Cxc16</t>
  </si>
  <si>
    <t>OR281</t>
  </si>
  <si>
    <t>ARM. METALICO ORSO OR281</t>
  </si>
  <si>
    <t>Venta10</t>
  </si>
  <si>
    <t>PLAZO FIN DE MES</t>
  </si>
  <si>
    <t>Ing10</t>
  </si>
  <si>
    <t>P13</t>
  </si>
  <si>
    <t>AGUILAR PAREDES CHRISTIAN ANDRES</t>
  </si>
  <si>
    <t>0105879324</t>
  </si>
  <si>
    <t>593998864087</t>
  </si>
  <si>
    <t>PROFESOR</t>
  </si>
  <si>
    <t>C13</t>
  </si>
  <si>
    <t>PRESION ALTA ABUELITA</t>
  </si>
  <si>
    <t>LENTES</t>
  </si>
  <si>
    <t>USO 1 AÑO Y MEDIO</t>
  </si>
  <si>
    <t>RENOVACION DE LENTES</t>
  </si>
  <si>
    <t>-5.25</t>
  </si>
  <si>
    <t>166</t>
  </si>
  <si>
    <t>20/80</t>
  </si>
  <si>
    <t>ASTIGMATISMO EN AO</t>
  </si>
  <si>
    <t>CONTROL ANUAL, USO DE LENTES CORRECTORES PERMANENTES</t>
  </si>
  <si>
    <t>PACIENTE EXTERNO</t>
  </si>
  <si>
    <t>ACETATO CERRADO</t>
  </si>
  <si>
    <t>POLICARBONATO</t>
  </si>
  <si>
    <t>VTC 53</t>
  </si>
  <si>
    <t>POLI-BAR-6</t>
  </si>
  <si>
    <t>LUNAS POLICARBONATO BLUE BLOCK +AR</t>
  </si>
  <si>
    <t>ARM. VIRTUS 2 CLIPS VTC 53</t>
  </si>
  <si>
    <t>Venta11</t>
  </si>
  <si>
    <t>Cxc17</t>
  </si>
  <si>
    <t>ABONO DE LENTE</t>
  </si>
  <si>
    <t>Ing11</t>
  </si>
  <si>
    <t>P14</t>
  </si>
  <si>
    <t>0105786248</t>
  </si>
  <si>
    <t>23/02/2000</t>
  </si>
  <si>
    <t>16315304530</t>
  </si>
  <si>
    <t>PALACIOS TORRES RICHARD MATEO</t>
  </si>
  <si>
    <t>C15</t>
  </si>
  <si>
    <t>NUEVO LENTE</t>
  </si>
  <si>
    <t>180</t>
  </si>
  <si>
    <t>31.5</t>
  </si>
  <si>
    <t>ARM. CH9010</t>
  </si>
  <si>
    <t>CH9010</t>
  </si>
  <si>
    <t>ARM. METALICO SN CH9010</t>
  </si>
  <si>
    <t>Venta12</t>
  </si>
  <si>
    <t>Cxc18</t>
  </si>
  <si>
    <t>SIN ABONO</t>
  </si>
  <si>
    <t>Ing12</t>
  </si>
  <si>
    <t>#Orden 15</t>
  </si>
  <si>
    <t>C:\Users\Bryam\Desktop\PX Optica\PALACIOS TORRES RICHARD MATEO_LenteConvencional_08012026_153929.pdf</t>
  </si>
  <si>
    <t>P15</t>
  </si>
  <si>
    <t>1752689875</t>
  </si>
  <si>
    <t>25/01/2000</t>
  </si>
  <si>
    <t>593979349517</t>
  </si>
  <si>
    <t>INSTRUCTOR DE GYM</t>
  </si>
  <si>
    <t>C16</t>
  </si>
  <si>
    <t>SACAR LICENCIA 1RA VEZ</t>
  </si>
  <si>
    <t xml:space="preserve">REASCOS MEZA BRYAN ALEXIS </t>
  </si>
  <si>
    <t>P16</t>
  </si>
  <si>
    <t>RODRIGUEZ CASTRO FREDDY DAVID</t>
  </si>
  <si>
    <t>0107213795</t>
  </si>
  <si>
    <t>593963805598</t>
  </si>
  <si>
    <t>CHOFER</t>
  </si>
  <si>
    <t>C17</t>
  </si>
  <si>
    <t>RENOVACION DE LA LICENCIA</t>
  </si>
  <si>
    <t>HIPERTENSION PADRE</t>
  </si>
  <si>
    <t>TODA LA FAMILIA</t>
  </si>
  <si>
    <t>-2.50</t>
  </si>
  <si>
    <t>20/25-3</t>
  </si>
  <si>
    <t>32.5</t>
  </si>
  <si>
    <t>TRANSITION +AR</t>
  </si>
  <si>
    <t>ASTIGMATISMO OD ASTIGMATISMO HIPERMETROPICO OI</t>
  </si>
  <si>
    <t>LENTES PERMANENTE</t>
  </si>
  <si>
    <t>NIKE 7227</t>
  </si>
  <si>
    <t>NIKE 7227 035</t>
  </si>
  <si>
    <t>ARM. ACETATO NIKE 7227 035</t>
  </si>
  <si>
    <t>CR39-TRANAR-2</t>
  </si>
  <si>
    <t>CR39-TRANAR-4</t>
  </si>
  <si>
    <t>LUNAS CR39 TRANSITION +AR HASTA 4</t>
  </si>
  <si>
    <t>LUNAS CR39 TRANSITION +AR HASTA 2</t>
  </si>
  <si>
    <t>#Orden 16</t>
  </si>
  <si>
    <t>C:\Users\Bryam\Desktop\PX Optica\RODRIGUEZ CASTRO FREDDY DAVID_LenteConvencional_08012026_171956.pdf</t>
  </si>
  <si>
    <t>P17</t>
  </si>
  <si>
    <t>GALINDO GALINDO EULALIA ELENA</t>
  </si>
  <si>
    <t>0102664893</t>
  </si>
  <si>
    <t>20-06-1967</t>
  </si>
  <si>
    <t>593984976662</t>
  </si>
  <si>
    <t>COMERCIANTE</t>
  </si>
  <si>
    <t>APREMANSA"RENOVACION B"</t>
  </si>
  <si>
    <t>Venta13</t>
  </si>
  <si>
    <t>Cxc19</t>
  </si>
  <si>
    <t>Ing13</t>
  </si>
  <si>
    <t>C18</t>
  </si>
  <si>
    <t>RENOVAR LICENCIA B</t>
  </si>
  <si>
    <t>OSTIOPOROSIS</t>
  </si>
  <si>
    <t>SI MIOPIA</t>
  </si>
  <si>
    <t xml:space="preserve">USUARIO POCO USO </t>
  </si>
  <si>
    <t>176</t>
  </si>
  <si>
    <t>20/60</t>
  </si>
  <si>
    <t>20/25+2</t>
  </si>
  <si>
    <t>20/100</t>
  </si>
  <si>
    <t>20/20-2</t>
  </si>
  <si>
    <t>PROGRESIVO</t>
  </si>
  <si>
    <t>ASTIGMATISMO OD ASTIGMATISMO MIOPICO OI Y PRESVICIA</t>
  </si>
  <si>
    <t>ARM. DEL PACIENTE SEMIAIRE 08M6 135  H:53 V:34 MEC:71 MAY:54</t>
  </si>
  <si>
    <t>POLI-PROBA-BAR</t>
  </si>
  <si>
    <t>LUNAS PROGRESIVAS INTERMEDIO POLICARBONATO BLUE BLOCK +AR</t>
  </si>
  <si>
    <t>Venta14</t>
  </si>
  <si>
    <t>Cxc20</t>
  </si>
  <si>
    <t>ABONO A LUNAS TRANS BNCO PICHINCHA</t>
  </si>
  <si>
    <t>Ing14</t>
  </si>
  <si>
    <t>Lab1</t>
  </si>
  <si>
    <t>PECSA</t>
  </si>
  <si>
    <t>QUITO</t>
  </si>
  <si>
    <t>593979320626</t>
  </si>
  <si>
    <t>P18</t>
  </si>
  <si>
    <t>593962372724</t>
  </si>
  <si>
    <t>AGENTE CUSTODIO</t>
  </si>
  <si>
    <t>CASTRO TENORIO WILSON FERNANDO</t>
  </si>
  <si>
    <t>0804095982</t>
  </si>
  <si>
    <t>C19</t>
  </si>
  <si>
    <t>LICENCIA 1RA VEZ SPORTMAN</t>
  </si>
  <si>
    <t>HIGADO</t>
  </si>
  <si>
    <t>SACAR LICENCIA</t>
  </si>
  <si>
    <t>167</t>
  </si>
  <si>
    <t>-2.00</t>
  </si>
  <si>
    <t>20/25-2</t>
  </si>
  <si>
    <t>MONOFOCAL</t>
  </si>
  <si>
    <t>PASTA PROMO CAI205</t>
  </si>
  <si>
    <t>CAI205</t>
  </si>
  <si>
    <t>ARM. PROMO PASTA CAI205</t>
  </si>
  <si>
    <t>Venta15</t>
  </si>
  <si>
    <t>Cxc21</t>
  </si>
  <si>
    <t>PAGO PICHINCHA</t>
  </si>
  <si>
    <t>Ing15</t>
  </si>
  <si>
    <t>Cxc23</t>
  </si>
  <si>
    <t>CANCELA LENTES</t>
  </si>
  <si>
    <t>OF3020</t>
  </si>
  <si>
    <t>ARM. ONE FORCE TR90 OF3020</t>
  </si>
  <si>
    <t>#Orden 19</t>
  </si>
  <si>
    <t>C:\Users\Bryam\Desktop\PX Optica\CASTRO TENORIO WILSON FERNANDO_LenteConvencional_09012026_101007.pdf</t>
  </si>
  <si>
    <t>P19</t>
  </si>
  <si>
    <t>BARROS COELLO SANTIAGO ANDRES</t>
  </si>
  <si>
    <t>0150175297</t>
  </si>
  <si>
    <t>593982111117</t>
  </si>
  <si>
    <t>C20</t>
  </si>
  <si>
    <t>HIPERTENSION</t>
  </si>
  <si>
    <t>SI 1RA VEZ 2021</t>
  </si>
  <si>
    <t>SI 7 MESES DE USO</t>
  </si>
  <si>
    <t>DISCRIMINACION DE COLORES</t>
  </si>
  <si>
    <t>172</t>
  </si>
  <si>
    <t>ASTIGMATISMO MIOPICO AO DALTONISMO DEUTERONOPE MODERADO</t>
  </si>
  <si>
    <t>LENTES CORRECTORES PERMANENTES</t>
  </si>
  <si>
    <t>Venta16</t>
  </si>
  <si>
    <t>Ing16</t>
  </si>
  <si>
    <t>CERTIFICADO</t>
  </si>
  <si>
    <t>#Orden 20</t>
  </si>
  <si>
    <t>C:\Users\Bryam\Desktop\PX Optica\AGUILAR PAREDES CHRISTIAN ANDRES_LenteConvencional_09012026_111924.pdf</t>
  </si>
  <si>
    <t>P20</t>
  </si>
  <si>
    <t>VILLOTA HUERTA DAIRA ALEJANDRA</t>
  </si>
  <si>
    <t>0401042858</t>
  </si>
  <si>
    <t>593969055512</t>
  </si>
  <si>
    <t>ASESOR COMERCIAL</t>
  </si>
  <si>
    <t>C21</t>
  </si>
  <si>
    <t>PRESION ALTA- DIABETES</t>
  </si>
  <si>
    <t>USO DE LENTES</t>
  </si>
  <si>
    <t>USO 3 AÑOS</t>
  </si>
  <si>
    <t>VISION BORROSA LENTES NUEVOS</t>
  </si>
  <si>
    <t>-5.00</t>
  </si>
  <si>
    <t>131</t>
  </si>
  <si>
    <t>20/25</t>
  </si>
  <si>
    <t>ASTIGMATISMO MIOPICO AO Y PRESVICIA</t>
  </si>
  <si>
    <t>MS-T6006</t>
  </si>
  <si>
    <t>ARM. MARISSA CON CLIP</t>
  </si>
  <si>
    <t>Venta17</t>
  </si>
  <si>
    <t xml:space="preserve">ABONO A LENTES </t>
  </si>
  <si>
    <t>Ing17</t>
  </si>
  <si>
    <t>BIFOCAL INVISIBLE</t>
  </si>
  <si>
    <t>ARM. VIRTUS VTM113 C3</t>
  </si>
  <si>
    <t>VTM113 C3</t>
  </si>
  <si>
    <t>CR39-INV-AR</t>
  </si>
  <si>
    <t>LUNAS CR39 BIFOCAL INVISIBLE +AR</t>
  </si>
  <si>
    <t>Venta18</t>
  </si>
  <si>
    <t>Cxc24</t>
  </si>
  <si>
    <t>Ing18</t>
  </si>
  <si>
    <t>593991361229</t>
  </si>
  <si>
    <t>Cxc26</t>
  </si>
  <si>
    <t>ABONO</t>
  </si>
  <si>
    <t>Lab2</t>
  </si>
  <si>
    <t>ANDINA</t>
  </si>
  <si>
    <t>593967824455</t>
  </si>
  <si>
    <t>ARM. VIRTUS VTM113 C3 V:40 H:56 MEC:68 MAY:53 METALICO CERRADO</t>
  </si>
  <si>
    <t>#Orden 21</t>
  </si>
  <si>
    <t>C:\Users\Bryam\Desktop\PX Optica\PARDO MORENO SEGUNDO EDGAR _LenteConvencional_09012026_164624.pdf</t>
  </si>
  <si>
    <t>ARM. MARISSA MS-T6006 V:40 H:52 MEC:70 MAY:51</t>
  </si>
  <si>
    <t>#Orden 23</t>
  </si>
  <si>
    <t>C:\Users\Bryam\Desktop\PX Optica\VILLOTA HUERTA DAIRA ALEJANDRA_LenteConvencional_09012026_173115.pdf</t>
  </si>
  <si>
    <t>Cxc27</t>
  </si>
  <si>
    <t>Cxc28</t>
  </si>
  <si>
    <t>TRANSFERENCIA JEP BC</t>
  </si>
  <si>
    <t>P21</t>
  </si>
  <si>
    <t xml:space="preserve">RUMIPULLA SAQUINAULA LAURA SUSANA </t>
  </si>
  <si>
    <t>0103884128</t>
  </si>
  <si>
    <t>25/01/1974</t>
  </si>
  <si>
    <t>593986379820</t>
  </si>
  <si>
    <t>EMPLEADA</t>
  </si>
  <si>
    <t>C22</t>
  </si>
  <si>
    <t>ARTRITIS</t>
  </si>
  <si>
    <t>TERIGIO</t>
  </si>
  <si>
    <t>VISION CERCANA DIFICULTOSA</t>
  </si>
  <si>
    <t>121</t>
  </si>
  <si>
    <t>+1.75</t>
  </si>
  <si>
    <t>20/50</t>
  </si>
  <si>
    <t xml:space="preserve">BIFOCAL FLAP TOP </t>
  </si>
  <si>
    <t>ASTIGMATISMO Y PRESBICIE</t>
  </si>
  <si>
    <t>DB-D1860H</t>
  </si>
  <si>
    <t>ARM. DUBROS DB-D1860H</t>
  </si>
  <si>
    <t>CR39-BIFT-AR</t>
  </si>
  <si>
    <t>LUNAS CR39 BIFOCAL FT +AR</t>
  </si>
  <si>
    <t>Venta19</t>
  </si>
  <si>
    <t xml:space="preserve">ABONO LENTE </t>
  </si>
  <si>
    <t>Ing19</t>
  </si>
  <si>
    <t>P22</t>
  </si>
  <si>
    <t>0103419206</t>
  </si>
  <si>
    <t>593993293645</t>
  </si>
  <si>
    <t>EMPLEADO</t>
  </si>
  <si>
    <t/>
  </si>
  <si>
    <t>WOG9132</t>
  </si>
  <si>
    <t>ARM. WOSLO METALICO WOG9132</t>
  </si>
  <si>
    <t>P24</t>
  </si>
  <si>
    <t>ANABEL FERNANDA PESANTEZ SEGOVIA</t>
  </si>
  <si>
    <t>3050129299</t>
  </si>
  <si>
    <t>14-09-2006</t>
  </si>
  <si>
    <t>P25</t>
  </si>
  <si>
    <t xml:space="preserve">VANESA ALEJANDRA PESANTEZ SEGOVIA </t>
  </si>
  <si>
    <t>3050129307</t>
  </si>
  <si>
    <t>1(347)9332418</t>
  </si>
  <si>
    <t>ESTUDIANTES</t>
  </si>
  <si>
    <t xml:space="preserve">MELGAR RUMIPULLA MANUEL ARTURO </t>
  </si>
  <si>
    <t>#Orden 24</t>
  </si>
  <si>
    <t>C:\Users\Bryam\Desktop\PX Optica\RUMIPULLA SAQUINAULA LAURA SUSANA _LenteConvencional_12012026_111903.pdf</t>
  </si>
  <si>
    <t>P26</t>
  </si>
  <si>
    <t>RAMOS SEMINARIO ERNESTO RUBEN</t>
  </si>
  <si>
    <t>0101261238</t>
  </si>
  <si>
    <t>21/12/1943</t>
  </si>
  <si>
    <t>16619647878</t>
  </si>
  <si>
    <t>C23</t>
  </si>
  <si>
    <t>2 AÑOS CON LA MEDIDA</t>
  </si>
  <si>
    <t>1RA VEZ LICENCIA</t>
  </si>
  <si>
    <t>+6.25</t>
  </si>
  <si>
    <t>-2.75</t>
  </si>
  <si>
    <t>+2.25</t>
  </si>
  <si>
    <t>+5.50</t>
  </si>
  <si>
    <t>-2.25</t>
  </si>
  <si>
    <t>+5.00</t>
  </si>
  <si>
    <t>-1.75</t>
  </si>
  <si>
    <t>P27</t>
  </si>
  <si>
    <t>OCHOA CAJAS ANDRES DAMIAN</t>
  </si>
  <si>
    <t>0150075703</t>
  </si>
  <si>
    <t>593998877138</t>
  </si>
  <si>
    <t>C25</t>
  </si>
  <si>
    <t>SI 1 AÑO</t>
  </si>
  <si>
    <t>-4.00</t>
  </si>
  <si>
    <t>ASTIGMATISMO HIPERMETROPICO</t>
  </si>
  <si>
    <t>ARMAZON PASTA 85831 MORBAEIL</t>
  </si>
  <si>
    <t>#Orden 26</t>
  </si>
  <si>
    <t>C:\Users\Bryam\Desktop\PX Optica\OCHOA CAJAS ANDRES DAMIAN_LenteConvencional_13012026_100857.pdf</t>
  </si>
  <si>
    <t>ARM. MORBAEEIL 85831</t>
  </si>
  <si>
    <t>POLI-BAR-4</t>
  </si>
  <si>
    <t>LUNAS POLI BLUE BLOCK +AR HASTA 4</t>
  </si>
  <si>
    <t>Venta22</t>
  </si>
  <si>
    <t>Cxc31</t>
  </si>
  <si>
    <t>ABONO A LENTES TRANS JEPB</t>
  </si>
  <si>
    <t>Ing22</t>
  </si>
  <si>
    <t>P28</t>
  </si>
  <si>
    <t>PATIÑO CHILLOGALLI JESSICA ALEXANDRA</t>
  </si>
  <si>
    <t>0107137978</t>
  </si>
  <si>
    <t>20/08/1997</t>
  </si>
  <si>
    <t>593968934957</t>
  </si>
  <si>
    <t>ATENCION AL CLIENTE</t>
  </si>
  <si>
    <t>C26</t>
  </si>
  <si>
    <t>161</t>
  </si>
  <si>
    <t>20/30-3</t>
  </si>
  <si>
    <t>ASTIGMATISMO MIOPICO OD ASTIGMATISMO OI</t>
  </si>
  <si>
    <t>ARM. ORSO OR233</t>
  </si>
  <si>
    <t>OR233</t>
  </si>
  <si>
    <t>ARM. ORSO METALICO OR233</t>
  </si>
  <si>
    <t>Venta23</t>
  </si>
  <si>
    <t>Cxc32</t>
  </si>
  <si>
    <t>Ing23</t>
  </si>
  <si>
    <t>#Orden 27</t>
  </si>
  <si>
    <t>C:\Users\Bryam\Desktop\PX Optica\PATIÑO CHILLOGALLI JESSICA ALEXANDRA_LenteConvencional_13012026_105219.pdf</t>
  </si>
  <si>
    <t>P29</t>
  </si>
  <si>
    <t>LUCERO DOMINGUEZ MARCOS ANDRES</t>
  </si>
  <si>
    <t>0107636623</t>
  </si>
  <si>
    <t>28/09/1998</t>
  </si>
  <si>
    <t>593989733591</t>
  </si>
  <si>
    <t>TECNICO DE TELECOMUNICACIONES</t>
  </si>
  <si>
    <t>C27</t>
  </si>
  <si>
    <t>RENOVACION DE LICENCIA</t>
  </si>
  <si>
    <t>TRANSITION ZAFIRO</t>
  </si>
  <si>
    <t>POLI-TRANZAAR-2</t>
  </si>
  <si>
    <t>LUNAS POLICARBONATO TRANSITION ZAFIRO HASTA 2</t>
  </si>
  <si>
    <t>H.H3102</t>
  </si>
  <si>
    <t>ARM. HENDRYSON LUXURY H.H3102</t>
  </si>
  <si>
    <t>Venta24</t>
  </si>
  <si>
    <t>Cxc33</t>
  </si>
  <si>
    <t>Ing24</t>
  </si>
  <si>
    <t>ARM. HENDRYSON LUXIRI H.H3102 CON CLIP H:50 V:41 MEC:70 MAY:54</t>
  </si>
  <si>
    <t>P30</t>
  </si>
  <si>
    <t>PAUCAR ARIAS ILDA SUSANA DEL ROSARIO</t>
  </si>
  <si>
    <t>0100870757</t>
  </si>
  <si>
    <t>15/12/1951</t>
  </si>
  <si>
    <t>593995872073</t>
  </si>
  <si>
    <t>AMA DE CASA</t>
  </si>
  <si>
    <t>C28</t>
  </si>
  <si>
    <t xml:space="preserve">LICENCIA RENOVACION </t>
  </si>
  <si>
    <t>ARTROSIS</t>
  </si>
  <si>
    <t>SI PROGRESIVOS HACE UN AÑO</t>
  </si>
  <si>
    <t>HIPERMETROPIA Y PRESBICIE AO</t>
  </si>
  <si>
    <t>METALICO CHARISMA CERRADO V:36 H:55 MEC:72 MAY:51</t>
  </si>
  <si>
    <t>CR39-PROINT-BAR</t>
  </si>
  <si>
    <t>LUNAS CR39 PROGRESIVAS INTERMEDIO BLUE BLOCK +AR</t>
  </si>
  <si>
    <t>Venta25</t>
  </si>
  <si>
    <t>Cxc34</t>
  </si>
  <si>
    <t xml:space="preserve">ABONO A LUNAS </t>
  </si>
  <si>
    <t>Ing25</t>
  </si>
  <si>
    <t>#Orden 28</t>
  </si>
  <si>
    <t>#Orden 29</t>
  </si>
  <si>
    <t>Lab3</t>
  </si>
  <si>
    <t>OPTEC</t>
  </si>
  <si>
    <t>593996647198</t>
  </si>
  <si>
    <t>C:\Users\Bryam\Desktop\PX Optica\LUCERO DOMINGUEZ MARCOS ANDRES_LenteConvencional_13012026_150918.pdf</t>
  </si>
  <si>
    <t>#Orden 30</t>
  </si>
  <si>
    <t>C:\Users\Bryam\Desktop\PX Optica\PAUCAR ARIAS ILDA SUSANA DEL ROSARIO_LenteConvencional_13012026_151933.pdf</t>
  </si>
  <si>
    <t>P31</t>
  </si>
  <si>
    <t>ALVARADO MONROY CARMEN VICTORIA</t>
  </si>
  <si>
    <t>0100701226</t>
  </si>
  <si>
    <t>25-03-1931</t>
  </si>
  <si>
    <t>593989363962</t>
  </si>
  <si>
    <t>C29</t>
  </si>
  <si>
    <t xml:space="preserve">VISION BORROSA </t>
  </si>
  <si>
    <t>no</t>
  </si>
  <si>
    <t>CATARATAS-LENTES INTRAOCULAR</t>
  </si>
  <si>
    <t>MONOFOCAL-LEJOS</t>
  </si>
  <si>
    <t>VISION BORROSA LEJANA</t>
  </si>
  <si>
    <t>PACIENTE CON PROBLEMA CORNEAL DESGASTE DE CORNEA, VISION CENTRAL BAJA - SOLO PERIFERICA</t>
  </si>
  <si>
    <t>HG 5837 C1</t>
  </si>
  <si>
    <t>ARM. VENETTI</t>
  </si>
  <si>
    <t>Venta26</t>
  </si>
  <si>
    <t>Cxc35</t>
  </si>
  <si>
    <t>Ing26</t>
  </si>
  <si>
    <t>P32</t>
  </si>
  <si>
    <t>BARRERA ALVARADO PIEDAD ESPERANZA</t>
  </si>
  <si>
    <t>0103007696</t>
  </si>
  <si>
    <t>17-11-1967</t>
  </si>
  <si>
    <t>593985593492</t>
  </si>
  <si>
    <t>C30</t>
  </si>
  <si>
    <t>PACIENTE EXTERNO CONSULTA</t>
  </si>
  <si>
    <t>SI PROGRESIVOS</t>
  </si>
  <si>
    <t>+0.75</t>
  </si>
  <si>
    <t>+1.00</t>
  </si>
  <si>
    <t>BLUE + AR</t>
  </si>
  <si>
    <t>ASTIGMATISMO HIPERMETROPÌCO</t>
  </si>
  <si>
    <t xml:space="preserve">CONTROL ANUAL </t>
  </si>
  <si>
    <t>ARM. VIRTUS VTA 218</t>
  </si>
  <si>
    <t>VTA 218</t>
  </si>
  <si>
    <t>Venta27</t>
  </si>
  <si>
    <t>Cxc36</t>
  </si>
  <si>
    <t>Ing27</t>
  </si>
  <si>
    <t>P33</t>
  </si>
  <si>
    <t>ERIC MAXIMILIANO QUITUIZACA MALLA</t>
  </si>
  <si>
    <t>0107575466</t>
  </si>
  <si>
    <t>13-03-2008</t>
  </si>
  <si>
    <t>593980773378</t>
  </si>
  <si>
    <t>C31</t>
  </si>
  <si>
    <t>VAL8009</t>
  </si>
  <si>
    <t>ARM. VALOV VAL8009</t>
  </si>
  <si>
    <t>PROGRESIVO ALTO</t>
  </si>
  <si>
    <t>ASTIGMATISMO HIPERMETROPICO Y PERSBICIA AO</t>
  </si>
  <si>
    <t>ARM. DEL PACIENTE RANURADO H:52 V:37 MEC:73 MAY:53</t>
  </si>
  <si>
    <t>POLI-PROHD-BAR</t>
  </si>
  <si>
    <t>LUNAS POLICARBONATO PROGRESIVAS HD BLUE BLOCK +AR</t>
  </si>
  <si>
    <t>Venta28</t>
  </si>
  <si>
    <t>Cxc37</t>
  </si>
  <si>
    <t>ABONO A LUNAS</t>
  </si>
  <si>
    <t>Ing28</t>
  </si>
  <si>
    <t>ARM. VIRTUS VTA 218 CERRADO H:52 V:39 MEC:71 MAY:52</t>
  </si>
  <si>
    <t>#Orden 33</t>
  </si>
  <si>
    <t>C:\Users\Bryam\Desktop\PX Optica\BARRERA ALVARADO PIEDAD ESPERANZA_LenteConvencional_14012026_095811.pdf</t>
  </si>
  <si>
    <t>#Orden 34</t>
  </si>
  <si>
    <t>C:\Users\Bryam\Desktop\PX Optica\RAMOS SEMINARIO ERNESTO RUBEN_LenteConvencional_14012026_100013.pdf</t>
  </si>
  <si>
    <t xml:space="preserve">ANTIREFLEJO </t>
  </si>
  <si>
    <t>METALICO-VENETTICERRADO HG5837</t>
  </si>
  <si>
    <t>#Orden 35</t>
  </si>
  <si>
    <t>C:\Users\Bryam\Desktop\PX Optica\ALVARADO MONROY CARMEN VICTORIA_LenteConvencional_14012026_100412.pdf</t>
  </si>
  <si>
    <t>C32</t>
  </si>
  <si>
    <t>RENOVACION LICENCIA</t>
  </si>
  <si>
    <t>MONOFOCAL LECTURA</t>
  </si>
  <si>
    <t>ASTIGMATISMO OD ASTIGMATISMO MIOPICO OI Y PRESBICIA</t>
  </si>
  <si>
    <t>USO LENTES CORRECTORES</t>
  </si>
  <si>
    <t>ARM. PROMO WOG9132</t>
  </si>
  <si>
    <t>#Orden 36</t>
  </si>
  <si>
    <t>C:\Users\Bryam\Desktop\PX Optica\MELGAR RUMIPULLA MANUEL ARTURO _LenteConvencional_14012026_111339.pdf</t>
  </si>
  <si>
    <t>P34</t>
  </si>
  <si>
    <t>JARAMA PATIÑO EMMA VICTORIA</t>
  </si>
  <si>
    <t>0152237889</t>
  </si>
  <si>
    <t>14/08/2020</t>
  </si>
  <si>
    <t>593985057486</t>
  </si>
  <si>
    <t>C33</t>
  </si>
  <si>
    <t>P35</t>
  </si>
  <si>
    <t>SISALIMA CRIOLLO EUCLIDES GONZALO</t>
  </si>
  <si>
    <t>0103752283</t>
  </si>
  <si>
    <t>P36</t>
  </si>
  <si>
    <t>RODRIGUEZ VILLOTA EMMANUEL ALEJANDRO</t>
  </si>
  <si>
    <t>0150342095</t>
  </si>
  <si>
    <t>P37</t>
  </si>
  <si>
    <t>0105243760</t>
  </si>
  <si>
    <t>593958893742</t>
  </si>
  <si>
    <t>INGENIERO CIVIL</t>
  </si>
  <si>
    <t>C34</t>
  </si>
  <si>
    <t>-5.50</t>
  </si>
  <si>
    <t>163</t>
  </si>
  <si>
    <t>ASTIGMATISMO MIOPICO AO CATARATA OD</t>
  </si>
  <si>
    <t>ARMAZON PROPIO OKLEY OX3227-0155 SATIN BLACK</t>
  </si>
  <si>
    <t>GX7-BAR-6</t>
  </si>
  <si>
    <t>LUNAS GX7 BLUE BLOCK +AR HASTA 6</t>
  </si>
  <si>
    <t>Venta29</t>
  </si>
  <si>
    <t>Cxc38</t>
  </si>
  <si>
    <t>Ing29</t>
  </si>
  <si>
    <t>VICTOR HUGO POLO AVILES</t>
  </si>
  <si>
    <t>#Orden 37</t>
  </si>
  <si>
    <t>C:\Users\Bryam\Desktop\PX Optica\VICTOR HUGO POLO AVILES_LenteConvencional_16012026_095639.pdf</t>
  </si>
  <si>
    <t>P38</t>
  </si>
  <si>
    <t>ANA MARIA CHOCHO LOJA</t>
  </si>
  <si>
    <t>0101362929</t>
  </si>
  <si>
    <t>18/02/1958</t>
  </si>
  <si>
    <t>072802001</t>
  </si>
  <si>
    <t>C35</t>
  </si>
  <si>
    <t>OPERACION DE CATARATAS</t>
  </si>
  <si>
    <t xml:space="preserve">SI- 1 AÑO </t>
  </si>
  <si>
    <t>160</t>
  </si>
  <si>
    <t>FOTO AR(LEJOS) ANTIREFLEJO(CERCA)</t>
  </si>
  <si>
    <t>ASTIGMATISMO HIPERMETROPICO OD ASTIGMATISMO MIOPICO OI</t>
  </si>
  <si>
    <t xml:space="preserve">ARM. BRUNA BTP-07(LEJOS) ARM. PROPIO (CERCA) </t>
  </si>
  <si>
    <t>BTP-07</t>
  </si>
  <si>
    <t>ARM. BRUNA BTP-07</t>
  </si>
  <si>
    <t>POLI-FAR-2</t>
  </si>
  <si>
    <t>LUNAS POLI FOTOCROMATICAS +AR</t>
  </si>
  <si>
    <t>POLI-FAR-4</t>
  </si>
  <si>
    <t>LUNAS POLICARBONATO FOTOCROMATICA +AR HASTA 4</t>
  </si>
  <si>
    <t>CR39-AR-4</t>
  </si>
  <si>
    <t>LUNAS CR39 ANTIREFLEJO HASTA 4</t>
  </si>
  <si>
    <t>Venta30</t>
  </si>
  <si>
    <t>Cxc39</t>
  </si>
  <si>
    <t>Ing30</t>
  </si>
  <si>
    <t>POLICARBONATO (LEJOS) CR39(CERCA)</t>
  </si>
  <si>
    <t>#Orden 38</t>
  </si>
  <si>
    <t>C:\Users\Bryam\Desktop\PX Optica\ANA MARIA CHOCHO LOJA_LenteConvencional_16012026_122322.pdf</t>
  </si>
  <si>
    <t>P39</t>
  </si>
  <si>
    <t xml:space="preserve">VARELA MALDONADO ANTONIO JOSE </t>
  </si>
  <si>
    <t>0151734662</t>
  </si>
  <si>
    <t>28/05/1948</t>
  </si>
  <si>
    <t>593995855121</t>
  </si>
  <si>
    <t>ING ELECTRICO</t>
  </si>
  <si>
    <t>C36</t>
  </si>
  <si>
    <t>HIPERTENSION,CANCER</t>
  </si>
  <si>
    <t xml:space="preserve">OBSTRUCCION INTESTINAL </t>
  </si>
  <si>
    <t>OPERADO CATARATAS, FLEROPLASTIA, LENTES INTRAOCULARES</t>
  </si>
  <si>
    <t>SI- 2 MESES</t>
  </si>
  <si>
    <t>20/30+3</t>
  </si>
  <si>
    <t>ASTIGMATISMO MIOPICO</t>
  </si>
  <si>
    <t>POLI-PROSCH-TRANVERAR</t>
  </si>
  <si>
    <t>LUNAS PROGRESIVAS POLICARBONATO TRANSITION VERDE +AR</t>
  </si>
  <si>
    <t>Venta31</t>
  </si>
  <si>
    <t>Cxc40</t>
  </si>
  <si>
    <t>Ing31</t>
  </si>
  <si>
    <t>PROGRESIVO SCHNEIDER SUPERIOR</t>
  </si>
  <si>
    <t>TRANSITION VERDE +AR</t>
  </si>
  <si>
    <t>ARM SEMIAIRE Dm: 75 DV:37 DH:54 DMAYOR: 58</t>
  </si>
  <si>
    <t>#Orden 40</t>
  </si>
  <si>
    <t>C:\Users\Bryam\Desktop\PX Optica\VARELA MALDONADO ANTONIO JOSE _LenteConvencional_16012026_144810.pdf</t>
  </si>
  <si>
    <t>P40</t>
  </si>
  <si>
    <t>0106942873</t>
  </si>
  <si>
    <t>593939327353</t>
  </si>
  <si>
    <t>TRABAJO PRIVADO RESTAURANTE</t>
  </si>
  <si>
    <t>APREMANSA PRIMERA VEZ "B"</t>
  </si>
  <si>
    <t>ALEXIS STALIN PILLACELA ORDOÑEZ</t>
  </si>
  <si>
    <t>C37</t>
  </si>
  <si>
    <t>VISION BORROSA LEJANA LICE</t>
  </si>
  <si>
    <t>SI -PERMANENTE</t>
  </si>
  <si>
    <t>+3.50</t>
  </si>
  <si>
    <t>BLUE AR</t>
  </si>
  <si>
    <t>ASTIGMATISMO HIPERMETROPICO - PRESBICIE OD MODERADO</t>
  </si>
  <si>
    <t>HC04-08</t>
  </si>
  <si>
    <t>ARM. EZECCIONALI</t>
  </si>
  <si>
    <t>Venta32</t>
  </si>
  <si>
    <t>Ing32</t>
  </si>
  <si>
    <t>CANCELADO TOTAL JEP</t>
  </si>
  <si>
    <t>P41</t>
  </si>
  <si>
    <t>GABRIELA ELIZABETH VIDAL LANDIVAR</t>
  </si>
  <si>
    <t>0107540338</t>
  </si>
  <si>
    <t>18-10-2007</t>
  </si>
  <si>
    <t>593981344495</t>
  </si>
  <si>
    <t>CONTROL ANUAL-APREMANSA "B"</t>
  </si>
  <si>
    <t>P42</t>
  </si>
  <si>
    <t>KLEBER PATRICIO VIDAL BELTRAN</t>
  </si>
  <si>
    <t>0102156791</t>
  </si>
  <si>
    <t>593991188190</t>
  </si>
  <si>
    <t>INGENIERO INDUSTRIAL</t>
  </si>
  <si>
    <t>C38</t>
  </si>
  <si>
    <t>LICENCIA B PRIMERA VEZ</t>
  </si>
  <si>
    <t>DIABETES-HIPERTENSION - CARDIACOS</t>
  </si>
  <si>
    <t>HIPOGLICEMICA-</t>
  </si>
  <si>
    <t>MIOPIA Y ASTIGMATISMO</t>
  </si>
  <si>
    <t>SI MIOPIA Y ASTIGMATISMO</t>
  </si>
  <si>
    <t>SI DESDE LOS 8 AÑOS</t>
  </si>
  <si>
    <t>-4.75</t>
  </si>
  <si>
    <t>20/30-1</t>
  </si>
  <si>
    <t xml:space="preserve">BLUE AR </t>
  </si>
  <si>
    <t xml:space="preserve">ASTIGMATISMO MIOPICO EN AO </t>
  </si>
  <si>
    <t>CONTROL ANUAL USO DE LENTES CORRECTORES PERMANENTES</t>
  </si>
  <si>
    <t>VTC 70 C5</t>
  </si>
  <si>
    <t>VIRTUS PASTA</t>
  </si>
  <si>
    <t>Venta33</t>
  </si>
  <si>
    <t>Tarjeta de Crédito</t>
  </si>
  <si>
    <t>Ing33</t>
  </si>
  <si>
    <t>PAGO TOTAL T/C</t>
  </si>
  <si>
    <t>#Orden 41</t>
  </si>
  <si>
    <t>C:\Users\Bryam\Desktop\PX Optica\ALEXIS STALIN PILLACELA ORDOÑEZ_LenteConvencional_19012026_101225.pdf</t>
  </si>
  <si>
    <t>#Orden 42</t>
  </si>
  <si>
    <t>C:\Users\Bryam\Desktop\PX Optica\GABRIELA ELIZABETH VIDAL LANDIVAR_LenteConvencional_19012026_101517.pdf</t>
  </si>
  <si>
    <t>P43</t>
  </si>
  <si>
    <t>GORGE GEOVANNI SANCHEZ VASQUEZ</t>
  </si>
  <si>
    <t>0102118023</t>
  </si>
  <si>
    <t>23-02-1970</t>
  </si>
  <si>
    <t>593988431628</t>
  </si>
  <si>
    <t>C39</t>
  </si>
  <si>
    <t>-8.00</t>
  </si>
  <si>
    <t>-4.50</t>
  </si>
  <si>
    <t>120</t>
  </si>
  <si>
    <t>AR</t>
  </si>
  <si>
    <t>HIGH INDEX 1.67</t>
  </si>
  <si>
    <t>CONTROL CADA 8 MESES</t>
  </si>
  <si>
    <t>PACIENTE EXTERNO MEC:78 H:60 V:38 MAY:62</t>
  </si>
  <si>
    <t>FOC220614</t>
  </si>
  <si>
    <t>ARM. FOCAL FOC220614</t>
  </si>
  <si>
    <t>HIND-TALL-AR</t>
  </si>
  <si>
    <t xml:space="preserve">LUNAS HIGH INDEX 1.67 +AR </t>
  </si>
  <si>
    <t>Venta34</t>
  </si>
  <si>
    <t>Cxc41</t>
  </si>
  <si>
    <t>Ing34</t>
  </si>
  <si>
    <t>#Orden 43</t>
  </si>
  <si>
    <t>C:\Users\Bryam\Desktop\PX Optica\GORGE GEOVANNI SANCHEZ VASQUEZ_LenteConvencional_19012026_112426.pdf</t>
  </si>
  <si>
    <t>P44</t>
  </si>
  <si>
    <t>MENDEZ AREVALO JOSUE FERNANDO</t>
  </si>
  <si>
    <t>0107273104</t>
  </si>
  <si>
    <t>25-04-2005</t>
  </si>
  <si>
    <t>593939038703</t>
  </si>
  <si>
    <t>CR39-N-BAR</t>
  </si>
  <si>
    <t>LUNAS CR39 NEUTRAS</t>
  </si>
  <si>
    <t>OF3028 C4</t>
  </si>
  <si>
    <t>ARM. ONE FORCE</t>
  </si>
  <si>
    <t>Venta35</t>
  </si>
  <si>
    <t>Cxc42</t>
  </si>
  <si>
    <t>ABONO LENTES</t>
  </si>
  <si>
    <t>Ing35</t>
  </si>
  <si>
    <t>C40</t>
  </si>
  <si>
    <t>PROTECCION</t>
  </si>
  <si>
    <t>HACE UN AÑO SOLO PROTECCION</t>
  </si>
  <si>
    <t>EMETROPE</t>
  </si>
  <si>
    <t>LENTES PROTECCION</t>
  </si>
  <si>
    <t>#Orden 45</t>
  </si>
  <si>
    <t>C:\Users\Bryam\Desktop\PX Optica\MENDEZ AREVALO JOSUE FERNANDO_LenteConvencional_19012026_162857.pdf</t>
  </si>
  <si>
    <t>P45</t>
  </si>
  <si>
    <t>DANIEL FERNANDO MENDOZA AVILA</t>
  </si>
  <si>
    <t>0106135601</t>
  </si>
  <si>
    <t>593999808222</t>
  </si>
  <si>
    <t>C41</t>
  </si>
  <si>
    <t>PRESION ALTA-PRE DIABETES- ANEURISMA</t>
  </si>
  <si>
    <t>RINITIS ALERGICA</t>
  </si>
  <si>
    <t>HACE MAS DE 2 AÑOS</t>
  </si>
  <si>
    <t>P46</t>
  </si>
  <si>
    <t>JIMENEZ LOJA WENDY DANIELA</t>
  </si>
  <si>
    <t>0151214541</t>
  </si>
  <si>
    <t>22/06/2007</t>
  </si>
  <si>
    <t>593967211144</t>
  </si>
  <si>
    <t>P47</t>
  </si>
  <si>
    <t>KATHERIN DANIELA MURILLO QUITUISACA</t>
  </si>
  <si>
    <t>0150580827</t>
  </si>
  <si>
    <t>30-05-2007</t>
  </si>
  <si>
    <t>C42</t>
  </si>
  <si>
    <t>PRIMERA VEZ</t>
  </si>
  <si>
    <t xml:space="preserve">MIOPIA </t>
  </si>
  <si>
    <t>RXM-155 C1</t>
  </si>
  <si>
    <t>RX 593</t>
  </si>
  <si>
    <t>Venta36</t>
  </si>
  <si>
    <t>Cxc43</t>
  </si>
  <si>
    <t xml:space="preserve">ABONO LENTES </t>
  </si>
  <si>
    <t>Ing36</t>
  </si>
  <si>
    <t>593982919718</t>
  </si>
  <si>
    <t>P48</t>
  </si>
  <si>
    <t>ALEX PATRICIO LOJA GALLEGOS</t>
  </si>
  <si>
    <t>0150714616</t>
  </si>
  <si>
    <t>30-07-2005</t>
  </si>
  <si>
    <t>593999087023</t>
  </si>
  <si>
    <t>C43</t>
  </si>
  <si>
    <t>MAMA  LENTES Y HERMANO</t>
  </si>
  <si>
    <t>SI HACE 3 A´ÑOS</t>
  </si>
  <si>
    <t>MONOFOCALES HACE 3 AÑOS</t>
  </si>
  <si>
    <t>ARM. DANIEL KLEIN 231114</t>
  </si>
  <si>
    <t>Venta37</t>
  </si>
  <si>
    <t>Cxc44</t>
  </si>
  <si>
    <t>Ing37</t>
  </si>
  <si>
    <t>#Orden 46</t>
  </si>
  <si>
    <t>C:\Users\Bryam\Desktop\PX Optica\ALEX PATRICIO LOJA GALLEGOS_LenteConvencional_21012026_122854.pdf</t>
  </si>
  <si>
    <t>#Orden 47</t>
  </si>
  <si>
    <t>C:\Users\Bryam\Desktop\PX Optica\KATHERIN DANIELA MURILLO QUITUISACA_LenteConvencional_21012026_123013.pdf</t>
  </si>
  <si>
    <t>P49</t>
  </si>
  <si>
    <t>MARLON EMERSON MARIN LEON</t>
  </si>
  <si>
    <t>0101875359</t>
  </si>
  <si>
    <t>30-03-1975</t>
  </si>
  <si>
    <t>EMPLEADO PRIVADO</t>
  </si>
  <si>
    <t>C44</t>
  </si>
  <si>
    <t>145</t>
  </si>
  <si>
    <t>TRANSITION GRIS  + AR</t>
  </si>
  <si>
    <t>BOTTERI 210505</t>
  </si>
  <si>
    <t>POLI-PROSCH-TRANSGRIS-AR</t>
  </si>
  <si>
    <t>LUNAS POLICARBONATO PROGRESIVAS TRANSITION AR</t>
  </si>
  <si>
    <t>Venta38</t>
  </si>
  <si>
    <t>Ing38</t>
  </si>
  <si>
    <t>CANCELADO T/C</t>
  </si>
  <si>
    <t>Dm:72 DH: 54 DV:35  DM: 57 ARM.  BOTTERI RANURADO</t>
  </si>
  <si>
    <t>#Orden 48</t>
  </si>
  <si>
    <t>C:\Users\Bryam\Desktop\PX Optica\MARLON EMERSON MARIN LEON_LenteConvencional_22012026_135834.pdf</t>
  </si>
  <si>
    <t>P50</t>
  </si>
  <si>
    <t>ENMA LUCIA DOMINGUEZ SOLIS</t>
  </si>
  <si>
    <t>010185122-8</t>
  </si>
  <si>
    <t>593995221711</t>
  </si>
  <si>
    <t>C45</t>
  </si>
  <si>
    <t>VISION BORROSA LEJANA Y C</t>
  </si>
  <si>
    <t>DIABETES-ARTRITIS</t>
  </si>
  <si>
    <t>SI PROGRESIVOS HACE 1 AÑOS</t>
  </si>
  <si>
    <t>VISION BORROSA Y CONTROL</t>
  </si>
  <si>
    <t>+3.00</t>
  </si>
  <si>
    <t>CR39-PROINT-AR</t>
  </si>
  <si>
    <t>CR39-PROGRESIVAS INTERMEDIAS ANTIREFLEJO</t>
  </si>
  <si>
    <t>Venta39</t>
  </si>
  <si>
    <t>Cxc45</t>
  </si>
  <si>
    <t>ABONO LENTE</t>
  </si>
  <si>
    <t>Ing39</t>
  </si>
  <si>
    <t>Dm: 72 DH: 52 DV : 45 DM: 52 ARMAZON CERRADO  VHE183</t>
  </si>
  <si>
    <t>#Orden 49</t>
  </si>
  <si>
    <t>C:\Users\Bryam\Desktop\PX Optica\ENMA LUCIA DOMINGUEZ SOLIS_LenteConvencional_23012026_122441.pdf</t>
  </si>
  <si>
    <t>P51</t>
  </si>
  <si>
    <t>VINTIMILLA SANMARTIN ESTEBAN ALEJANDRO</t>
  </si>
  <si>
    <t>0106455397</t>
  </si>
  <si>
    <t>26/02/2006</t>
  </si>
  <si>
    <t>593959717869</t>
  </si>
  <si>
    <t>SEGURIDAD PRIVADA</t>
  </si>
  <si>
    <t>P52</t>
  </si>
  <si>
    <t>UYAGUARI MOROCHO MARGARETH SOFIA</t>
  </si>
  <si>
    <t>0151061090</t>
  </si>
  <si>
    <t>30/04/2014</t>
  </si>
  <si>
    <t>593968124907</t>
  </si>
  <si>
    <t>P53</t>
  </si>
  <si>
    <t>UYAGUARI MOROCHO JEFFERSON DANIEL</t>
  </si>
  <si>
    <t>0150169704</t>
  </si>
  <si>
    <t>P54</t>
  </si>
  <si>
    <t>0106489537</t>
  </si>
  <si>
    <t>16-01-2003</t>
  </si>
  <si>
    <t>TRABAJO ESCRITORIO</t>
  </si>
  <si>
    <t>ANDRADE CORONEL VINICIO NICOLAS</t>
  </si>
  <si>
    <t>C46</t>
  </si>
  <si>
    <t>SI-PAPA</t>
  </si>
  <si>
    <t>SI-MONOFOCALES</t>
  </si>
  <si>
    <t>FOTOCROMATICO-BLUE-AR</t>
  </si>
  <si>
    <t>ASTIGMATISMO</t>
  </si>
  <si>
    <t>CONTRO ANUAL</t>
  </si>
  <si>
    <t>ARM.140-C2</t>
  </si>
  <si>
    <t>CR39-FTBAR-2</t>
  </si>
  <si>
    <t>CR39-FOTOCROMATICO-BLUE-AR</t>
  </si>
  <si>
    <t>140-C2</t>
  </si>
  <si>
    <t>DUBROS METAL 140-C2</t>
  </si>
  <si>
    <t>Venta40</t>
  </si>
  <si>
    <t>Cxc46</t>
  </si>
  <si>
    <t>Ing40</t>
  </si>
  <si>
    <t>#Orden 50</t>
  </si>
  <si>
    <t>C:\Users\Bryam\Desktop\PX Optica\ANDRADE CORONEL VINICIO NICOLAS_LenteConvencional_23012026_171945.pdf</t>
  </si>
  <si>
    <t>P55</t>
  </si>
  <si>
    <t>CHALCO MEJIA  RAUL PATRICIO</t>
  </si>
  <si>
    <t>0102651999</t>
  </si>
  <si>
    <t>593989588797</t>
  </si>
  <si>
    <t>C47</t>
  </si>
  <si>
    <t>VISION BORROSA CERCANA</t>
  </si>
  <si>
    <t>PROGRESIVOS- HACE 2 AÑOS</t>
  </si>
  <si>
    <t>CONTTROL</t>
  </si>
  <si>
    <t>PRESBICIE</t>
  </si>
  <si>
    <t>+3.25</t>
  </si>
  <si>
    <t>MONOFOCAL-LECTURA</t>
  </si>
  <si>
    <t>MEDIDAS EXTERNAS-ARM METALICO ACC8372</t>
  </si>
  <si>
    <t>ACC8372</t>
  </si>
  <si>
    <t>ACCU ACC8372</t>
  </si>
  <si>
    <t>Venta41</t>
  </si>
  <si>
    <t>Cxc47</t>
  </si>
  <si>
    <t>Ing41</t>
  </si>
  <si>
    <t>P56</t>
  </si>
  <si>
    <t>LOJA LOJA MARIO TARQUINO</t>
  </si>
  <si>
    <t>1801466978</t>
  </si>
  <si>
    <t>24/06/1956</t>
  </si>
  <si>
    <t>593981520138</t>
  </si>
  <si>
    <t>P57</t>
  </si>
  <si>
    <t>CARMONA LINARES ELISMAR FRANYELIS</t>
  </si>
  <si>
    <t>31138984</t>
  </si>
  <si>
    <t>593963014673</t>
  </si>
  <si>
    <t>C48</t>
  </si>
  <si>
    <t>DIFICULTAD EN VISION</t>
  </si>
  <si>
    <t xml:space="preserve">ASTIGMATISMO AO </t>
  </si>
  <si>
    <t>ARM. PROVISION PRO7713</t>
  </si>
  <si>
    <t>PRO7713</t>
  </si>
  <si>
    <t>ARM. PROVISION METALICO PRO7713</t>
  </si>
  <si>
    <t>Venta42</t>
  </si>
  <si>
    <t>Cxc48</t>
  </si>
  <si>
    <t>Ing42</t>
  </si>
  <si>
    <t>#Orden 52</t>
  </si>
  <si>
    <t>C:\Users\Bryam\Desktop\PX Optica\CARMONA LINARES ELISMAR FRANYELIS_LenteConvencional_26012026_145001.pdf</t>
  </si>
  <si>
    <t>P58</t>
  </si>
  <si>
    <t>ARIZAGA MARURI JULIO FERNANDO</t>
  </si>
  <si>
    <t>0101570760</t>
  </si>
  <si>
    <t>18/04/1959</t>
  </si>
  <si>
    <t>593995830294</t>
  </si>
  <si>
    <t>VM3218</t>
  </si>
  <si>
    <t>ARM. PROMO VM3218</t>
  </si>
  <si>
    <t>Venta43</t>
  </si>
  <si>
    <t>Ing43</t>
  </si>
  <si>
    <t>PAGO LENTES COMPLETOS</t>
  </si>
  <si>
    <t>C49</t>
  </si>
  <si>
    <t>LECUTA</t>
  </si>
  <si>
    <t>NUNCA SE A REALIZADO EXAMEN VISUAL-OPACIDAD POSIBLE CATARATA EN AO</t>
  </si>
  <si>
    <t>HIPERMETROPIA-POSIBLE CATARATA EN AO</t>
  </si>
  <si>
    <t>CONTROL ANUAL-OFTALMOLOGIA</t>
  </si>
  <si>
    <t>ARM. METALICO VM3218 C5</t>
  </si>
  <si>
    <t>#Orden 54</t>
  </si>
  <si>
    <t>C:\Users\Bryam\Desktop\PX Optica\ARIZAGA MARURI JULIO FERNANDO_LenteConvencional_27012026_101758.pdf</t>
  </si>
  <si>
    <t>P59</t>
  </si>
  <si>
    <t>FRANCISCO MOISES ALVAREZ RODAS</t>
  </si>
  <si>
    <t>0104167226</t>
  </si>
  <si>
    <t>593980662676</t>
  </si>
  <si>
    <t>APREMANSA "C"</t>
  </si>
  <si>
    <t>P60</t>
  </si>
  <si>
    <t>EDGAR ALFREDO ZUMBA LOJA</t>
  </si>
  <si>
    <t>0105560312</t>
  </si>
  <si>
    <t>20-07-1995</t>
  </si>
  <si>
    <t>593989814607</t>
  </si>
  <si>
    <t>CONSTRUCCION</t>
  </si>
  <si>
    <t>C50</t>
  </si>
  <si>
    <t>VISION BORROSA LEJANA A/V</t>
  </si>
  <si>
    <t>SI-QUERATOCNO EN AO</t>
  </si>
  <si>
    <t>SI HACE 5 AÑOS</t>
  </si>
  <si>
    <t>VISION BORROSA Y DISTORCION</t>
  </si>
  <si>
    <t>-6.50</t>
  </si>
  <si>
    <t>150</t>
  </si>
  <si>
    <t>20/40+3</t>
  </si>
  <si>
    <t>P61</t>
  </si>
  <si>
    <t>JEFFERSON DANIEL LOJA PAUTE</t>
  </si>
  <si>
    <t>0105659114</t>
  </si>
  <si>
    <t>23-08-1996</t>
  </si>
  <si>
    <t>ENTRENADOR</t>
  </si>
  <si>
    <t>P62</t>
  </si>
  <si>
    <t>DARWIN DANIEL PUCHA MORA</t>
  </si>
  <si>
    <t>0751091471</t>
  </si>
  <si>
    <t>593998686803</t>
  </si>
  <si>
    <t>P63</t>
  </si>
  <si>
    <t>TRELLES TRELLES JONAS AFROLON</t>
  </si>
  <si>
    <t>0101882553</t>
  </si>
  <si>
    <t>26/11/1962</t>
  </si>
  <si>
    <t>593939648460</t>
  </si>
  <si>
    <t>CONSERJE</t>
  </si>
  <si>
    <t>C51</t>
  </si>
  <si>
    <t>RENOVAR LICENCIA SPORTMAN</t>
  </si>
  <si>
    <t>SI. LENTES DE LECTURA</t>
  </si>
  <si>
    <t>P64</t>
  </si>
  <si>
    <t>TAMARA SANDERS MOOR</t>
  </si>
  <si>
    <t>053447073</t>
  </si>
  <si>
    <t>14/05/1967</t>
  </si>
  <si>
    <t>MEDICA</t>
  </si>
  <si>
    <t>PACIENTE EXTERNA</t>
  </si>
  <si>
    <t>C52</t>
  </si>
  <si>
    <t>LENTES DE PROTECCION</t>
  </si>
  <si>
    <t>PROTERCCION</t>
  </si>
  <si>
    <t>-</t>
  </si>
  <si>
    <t>REALIZAR EN LOS 3 ARMAZONES DE PASTA</t>
  </si>
  <si>
    <t>C53</t>
  </si>
  <si>
    <t xml:space="preserve">TINTURADAS </t>
  </si>
  <si>
    <t>REALIZAR EN EL ARM. RAY-BAN RB 2176 901</t>
  </si>
  <si>
    <t>P65</t>
  </si>
  <si>
    <t>BARRETO ARIAS MARIA DOLORES</t>
  </si>
  <si>
    <t>0100440270</t>
  </si>
  <si>
    <t>30/11/1945</t>
  </si>
  <si>
    <t>P66</t>
  </si>
  <si>
    <t>VEGA ARCENTALES LINDA BELEN</t>
  </si>
  <si>
    <t>0350185609</t>
  </si>
  <si>
    <t>593992737315</t>
  </si>
  <si>
    <t>AN7546</t>
  </si>
  <si>
    <t>ARM. PROMO AN7546</t>
  </si>
  <si>
    <t>Venta44</t>
  </si>
  <si>
    <t>Cxc49</t>
  </si>
  <si>
    <t>Ing44</t>
  </si>
  <si>
    <t>C54</t>
  </si>
  <si>
    <t>C55</t>
  </si>
  <si>
    <t>SI HACE 6 MESES</t>
  </si>
  <si>
    <t>MONOCULAR</t>
  </si>
  <si>
    <t xml:space="preserve">BLUE- AR </t>
  </si>
  <si>
    <t>ARM. FAONE FAS3535</t>
  </si>
  <si>
    <t>FAS3535</t>
  </si>
  <si>
    <t>ARM. FAGNE FAS3535</t>
  </si>
  <si>
    <t>Venta45</t>
  </si>
  <si>
    <t>Ing45</t>
  </si>
  <si>
    <t>CANCELA LENTE</t>
  </si>
  <si>
    <t>#Orden 55</t>
  </si>
  <si>
    <t>C:\Users\Bryam\Desktop\PX Optica\VEGA ARCENTALES LINDA BELEN_LenteConvencional_30012026_172111.pdf</t>
  </si>
  <si>
    <t>C56</t>
  </si>
  <si>
    <t>0</t>
  </si>
  <si>
    <t>ARM. ANGELO AN7546</t>
  </si>
  <si>
    <t>#Orden 56</t>
  </si>
  <si>
    <t>C:\Users\Bryam\Desktop\PX Optica\DARWIN DANIEL PUCHA MORA_LenteConvencional_30012026_173048.pdf</t>
  </si>
  <si>
    <t>P67</t>
  </si>
  <si>
    <t>CRIOLLO CAJAMARCA JULIO ROMAN</t>
  </si>
  <si>
    <t>0102879046</t>
  </si>
  <si>
    <t>PACIENTE APREMANSA "E" RENOVACION</t>
  </si>
  <si>
    <t>C57</t>
  </si>
  <si>
    <t>VISION BORROSA LEJANA Y CE</t>
  </si>
  <si>
    <t>P68</t>
  </si>
  <si>
    <t>TAPIA MERCHAN JUAN CARLOS</t>
  </si>
  <si>
    <t>0103916292</t>
  </si>
  <si>
    <t>593982222977</t>
  </si>
  <si>
    <t>VENTAS</t>
  </si>
  <si>
    <t>MA-062</t>
  </si>
  <si>
    <t xml:space="preserve">ARM. MANOVA MA-062 </t>
  </si>
  <si>
    <t>P1906</t>
  </si>
  <si>
    <t>GAFA POLARIZADA MATLIX P1906</t>
  </si>
  <si>
    <t>Venta46</t>
  </si>
  <si>
    <t>Cxc50</t>
  </si>
  <si>
    <t>ABONO DE LENTES</t>
  </si>
  <si>
    <t>Ing46</t>
  </si>
  <si>
    <t>C58</t>
  </si>
  <si>
    <t>VISION BORROSA CERCA</t>
  </si>
  <si>
    <t>n</t>
  </si>
  <si>
    <t>ARM. MA-062 PASTA NEGRO</t>
  </si>
  <si>
    <t>#Orden 58</t>
  </si>
  <si>
    <t>C:\Users\Bryam\Desktop\PX Optica\TAPIA MERCHAN JUAN CARLOS_LenteConvencional_02022026_174740.pdf</t>
  </si>
  <si>
    <t>P69</t>
  </si>
  <si>
    <t>CEDILLO TACURI DIEGO ANDRES</t>
  </si>
  <si>
    <t>0151222197</t>
  </si>
  <si>
    <t>15/11/2001</t>
  </si>
  <si>
    <t>593998279432</t>
  </si>
  <si>
    <t>TELECOMUNICACIONES</t>
  </si>
  <si>
    <t>P70</t>
  </si>
  <si>
    <t>VASQUEZ VILLAVICENCIO HESS GEOVANNY</t>
  </si>
  <si>
    <t>0103146379</t>
  </si>
  <si>
    <t>21 DE JUNIO 1982</t>
  </si>
  <si>
    <t>593999484840</t>
  </si>
  <si>
    <t>REMITE APREMANSA POR DALTONISMO</t>
  </si>
  <si>
    <t>P71</t>
  </si>
  <si>
    <t>SUÑA YANZAGUANO PAUL ADRIAN</t>
  </si>
  <si>
    <t>0107248098</t>
  </si>
  <si>
    <t>13/01/2008</t>
  </si>
  <si>
    <t>593969301763</t>
  </si>
  <si>
    <t>C59</t>
  </si>
  <si>
    <t>PRIMERA VEZ LICENCIA</t>
  </si>
  <si>
    <t>SACAR LICENCIA PRIMERA VEZ TIPO B</t>
  </si>
  <si>
    <t>ARM. PROMO ELITE EL230316</t>
  </si>
  <si>
    <t>#Orden 59</t>
  </si>
  <si>
    <t>EL230316</t>
  </si>
  <si>
    <t>ELITE EL230316-PROM</t>
  </si>
  <si>
    <t>Venta47</t>
  </si>
  <si>
    <t>Ing47</t>
  </si>
  <si>
    <t>CANCELADO</t>
  </si>
  <si>
    <t>C:\Users\Bryam\Desktop\PX Optica\SUÑA YANZAGUANO PAUL ADRIAN_LenteConvencional_04022026_170913.pdf</t>
  </si>
  <si>
    <t>P72</t>
  </si>
  <si>
    <t>BRAVO PARRA LUIS SEBASTIAN</t>
  </si>
  <si>
    <t>0150017333</t>
  </si>
  <si>
    <t>16-11-2007</t>
  </si>
  <si>
    <t>593998434330</t>
  </si>
  <si>
    <t>APREMANSA"B" PRIMERA VEZ</t>
  </si>
  <si>
    <t>C60</t>
  </si>
  <si>
    <t xml:space="preserve">CONTROL VISUAL </t>
  </si>
  <si>
    <t>SI-PTERIGIOS</t>
  </si>
  <si>
    <t xml:space="preserve">NO OPERACION </t>
  </si>
  <si>
    <t>SI USO DE LENTES</t>
  </si>
  <si>
    <t>-6.00</t>
  </si>
  <si>
    <t>20/30+2</t>
  </si>
  <si>
    <t xml:space="preserve">ARM. FOCAL FOC220613 PASTA </t>
  </si>
  <si>
    <t>FOC220613</t>
  </si>
  <si>
    <t>FOCAL FOC220613</t>
  </si>
  <si>
    <t>Venta48</t>
  </si>
  <si>
    <t>Cxc51</t>
  </si>
  <si>
    <t>Ing48</t>
  </si>
  <si>
    <t>#Orden 60</t>
  </si>
  <si>
    <t>C:\Users\Bryam\Desktop\PX Optica\BRAVO PARRA LUIS SEBASTIAN_LenteConvencional_05022026_104352.pdf</t>
  </si>
  <si>
    <t>P73</t>
  </si>
  <si>
    <t>MATUTE MENDOZA ALEJANDRINA MAGDALENA</t>
  </si>
  <si>
    <t>0107063091</t>
  </si>
  <si>
    <t>18-06-1992</t>
  </si>
  <si>
    <t xml:space="preserve">PACIENTE EXTERNO </t>
  </si>
  <si>
    <t>P74</t>
  </si>
  <si>
    <t>MIRIAM FERNANDA SEGOVIA ORELLANA</t>
  </si>
  <si>
    <t>0104232319</t>
  </si>
  <si>
    <t>28-10-1980</t>
  </si>
  <si>
    <t>EMPLEADA PRIVADA</t>
  </si>
  <si>
    <t>C61</t>
  </si>
  <si>
    <t>REVISION</t>
  </si>
  <si>
    <t>POLARIZADO NEGRO</t>
  </si>
  <si>
    <t>MIOPIA</t>
  </si>
  <si>
    <t>POLI-POLARI-TAL</t>
  </si>
  <si>
    <t xml:space="preserve">LUNAS POLICARBONATO POLARIZADA TALLADA </t>
  </si>
  <si>
    <t>Venta49</t>
  </si>
  <si>
    <t>Ing49</t>
  </si>
  <si>
    <t>CANCELADO JEP</t>
  </si>
  <si>
    <t>ARM. PACIENTE GAFA-TIFFANY TF 4148 Dm 72- DH 54- DV 46- DM 53</t>
  </si>
  <si>
    <t>#Orden 61</t>
  </si>
  <si>
    <t>C:\Users\Bryam\Desktop\PX Optica\MIRIAM FERNANDA SEGOVIA ORELLANA_LenteConvencional_05022026_132131.pdf</t>
  </si>
  <si>
    <t>P75</t>
  </si>
  <si>
    <t>ANDRES YUNGA</t>
  </si>
  <si>
    <t>593963300917</t>
  </si>
  <si>
    <t>C62</t>
  </si>
  <si>
    <t>ARREGLO VARILLAS</t>
  </si>
  <si>
    <t xml:space="preserve">CAMBIO DE VARILLAS </t>
  </si>
  <si>
    <t>Venta50</t>
  </si>
  <si>
    <t>Cxc52</t>
  </si>
  <si>
    <t>SALDO 12</t>
  </si>
  <si>
    <t>Ing50</t>
  </si>
  <si>
    <t>#Orden 62</t>
  </si>
  <si>
    <t>C:\Users\Bryam\Desktop\PX Optica\ANDRES YUNGA_LenteConvencional_05022026_132811.pdf</t>
  </si>
  <si>
    <t>P76</t>
  </si>
  <si>
    <t>MOGROVEJO TAPIA AMELIA TERESE</t>
  </si>
  <si>
    <t>0151506508</t>
  </si>
  <si>
    <t>15/01/2016</t>
  </si>
  <si>
    <t>C63</t>
  </si>
  <si>
    <t>SI- AÑO Y MEDIO CON LENTES</t>
  </si>
  <si>
    <t>CAMBIO DE MEDIDA</t>
  </si>
  <si>
    <t>168</t>
  </si>
  <si>
    <t xml:space="preserve">POLICARBONATO </t>
  </si>
  <si>
    <t>20/30-</t>
  </si>
  <si>
    <t>ASTIGMATISMO HIPERMETROPICO EN AO</t>
  </si>
  <si>
    <t xml:space="preserve">CONTROL EN 8 MESES </t>
  </si>
  <si>
    <t>ARM.PACIENTE CHARISMA CHK158</t>
  </si>
  <si>
    <t>POLI-AR-2</t>
  </si>
  <si>
    <t>LUNAS POLICARBONATO AR - 2</t>
  </si>
  <si>
    <t>Venta51</t>
  </si>
  <si>
    <t>Ing51</t>
  </si>
  <si>
    <t>593998429111</t>
  </si>
  <si>
    <t>#Orden 63</t>
  </si>
  <si>
    <t>C:\Users\Bryam\Desktop\PX Optica\MOGROVEJO TAPIA AMELIA TERESE_LenteConvencional_05022026_171655.pdf</t>
  </si>
  <si>
    <t>P77</t>
  </si>
  <si>
    <t>ROSA ISABEL AREVALO PINTADO</t>
  </si>
  <si>
    <t>0101043354</t>
  </si>
  <si>
    <t>15-08-1953</t>
  </si>
  <si>
    <t>593991180780</t>
  </si>
  <si>
    <t>C64</t>
  </si>
  <si>
    <t>POLI</t>
  </si>
  <si>
    <t>HIPERMETROPIA Y PRESBICIE</t>
  </si>
  <si>
    <t>P78</t>
  </si>
  <si>
    <t>SARI REMACHE WILLIAM PAUL</t>
  </si>
  <si>
    <t>0107372930</t>
  </si>
  <si>
    <t>20/06/1998</t>
  </si>
  <si>
    <t>593999151995</t>
  </si>
  <si>
    <t>P79</t>
  </si>
  <si>
    <t>MITE CARDENAS JOEL DAMIAN</t>
  </si>
  <si>
    <t>0954588422</t>
  </si>
  <si>
    <t>593987619076</t>
  </si>
  <si>
    <t>C65</t>
  </si>
  <si>
    <t xml:space="preserve">SI HACE 2 AÑOS </t>
  </si>
  <si>
    <t>BLUE BLOCK + AR</t>
  </si>
  <si>
    <t>ARM. HENDRYSON LUXURY H.H31035</t>
  </si>
  <si>
    <t>H.H31035</t>
  </si>
  <si>
    <t>ARM. HENDRYSON LUXURY</t>
  </si>
  <si>
    <t>P80</t>
  </si>
  <si>
    <t xml:space="preserve">ORDOÑEZ ZAMORA JOSE JULIAN </t>
  </si>
  <si>
    <t>015190965-2</t>
  </si>
  <si>
    <t>593998991331</t>
  </si>
  <si>
    <t>POLI-BL-4</t>
  </si>
  <si>
    <t>LUNAS POLICARBONATO BLANCAS -4</t>
  </si>
  <si>
    <t>POLI-BL-6</t>
  </si>
  <si>
    <t>LUNAS POLICARBONATO BLANCAS-6</t>
  </si>
  <si>
    <t>Venta52</t>
  </si>
  <si>
    <t>Ing52</t>
  </si>
  <si>
    <t>COLECHITO S/C</t>
  </si>
  <si>
    <t>ARM. GOMA COLECHITO S/C</t>
  </si>
  <si>
    <t>Venta53</t>
  </si>
  <si>
    <t>Ing53</t>
  </si>
  <si>
    <t>C66</t>
  </si>
  <si>
    <t>P81</t>
  </si>
  <si>
    <t>TORRES VICUÑA ALLYSON CAMILA</t>
  </si>
  <si>
    <t>1400860662</t>
  </si>
  <si>
    <t>593968481768</t>
  </si>
  <si>
    <t>P82</t>
  </si>
  <si>
    <t>QUINCHIGUANGO RONDAL HECTOR ALEX</t>
  </si>
  <si>
    <t>1721304499</t>
  </si>
  <si>
    <t>593959419120</t>
  </si>
  <si>
    <t xml:space="preserve">TECNICO EN INSTALACIONES </t>
  </si>
  <si>
    <t>PACIENTE COHECO CONVENIO</t>
  </si>
  <si>
    <t>M3016</t>
  </si>
  <si>
    <t>ARM. METALICO M3016</t>
  </si>
  <si>
    <t>Venta54</t>
  </si>
  <si>
    <t>Cxc53</t>
  </si>
  <si>
    <t>Ing54</t>
  </si>
  <si>
    <t>C67</t>
  </si>
  <si>
    <t>PRESION ALTA-</t>
  </si>
  <si>
    <t>SI HACE UN AÑO</t>
  </si>
  <si>
    <t>PACIENTE CONVENIO COHECO</t>
  </si>
  <si>
    <t>ARM. PROMO RS9012 GRIS</t>
  </si>
  <si>
    <t>RS9012</t>
  </si>
  <si>
    <t>ARM. ZAESIAL RS9012</t>
  </si>
  <si>
    <t>Venta55</t>
  </si>
  <si>
    <t>Cxc54</t>
  </si>
  <si>
    <t>CREDITO CONVENIO</t>
  </si>
  <si>
    <t>Ing55</t>
  </si>
  <si>
    <t>C68</t>
  </si>
  <si>
    <t>PROTECCION Y DESCANSO</t>
  </si>
  <si>
    <t>PACEINTE EXTERNO</t>
  </si>
  <si>
    <t>ARM, TITANIUM M3016</t>
  </si>
  <si>
    <t>#Orden 64</t>
  </si>
  <si>
    <t>C:\Users\Bryam\Desktop\PX Optica\TORRES VICUÑA ALLYSON CAMILA_LenteConvencional_09022026_145252.pdf</t>
  </si>
  <si>
    <t>C69</t>
  </si>
  <si>
    <t>HACE 2 AÑOS</t>
  </si>
  <si>
    <t xml:space="preserve">BLUE BLOCK </t>
  </si>
  <si>
    <t>ARM.HENDRYSON LUXURY H.H31035</t>
  </si>
  <si>
    <t>#Orden 65</t>
  </si>
  <si>
    <t>C:\Users\Bryam\Desktop\PX Optica\SARI REMACHE WILLIAM PAUL_LenteConvencional_09022026_145817.pdf</t>
  </si>
  <si>
    <t>#Orden 66</t>
  </si>
  <si>
    <t>C:\Users\Bryam\Desktop\PX Optica\QUINCHIGUANGO RONDAL HECTOR ALEX_LenteConvencional_09022026_150432.pdf</t>
  </si>
  <si>
    <t>+4.00</t>
  </si>
  <si>
    <t>20/30+</t>
  </si>
  <si>
    <t>BLANCO</t>
  </si>
  <si>
    <t>ARM. GOMA NEGRO PACIENTE</t>
  </si>
  <si>
    <t>#Orden 67</t>
  </si>
  <si>
    <t>C:\Users\Bryam\Desktop\PX Optica\ORDOÑEZ ZAMORA JOSE JULIAN _LenteConvencional_10022026_142054.pdf</t>
  </si>
  <si>
    <t>P83</t>
  </si>
  <si>
    <t>MICHELLE GABRIELA QUITO LITUMA</t>
  </si>
  <si>
    <t>0105707350</t>
  </si>
  <si>
    <t>P84</t>
  </si>
  <si>
    <t>QUITO ANDRADE IVAN PATRICIO</t>
  </si>
  <si>
    <t>0103143467</t>
  </si>
  <si>
    <t>593968972328</t>
  </si>
  <si>
    <t>P85</t>
  </si>
  <si>
    <t>ANA DEL ROCIO LITUMA ZUMBA</t>
  </si>
  <si>
    <t>0102914256</t>
  </si>
  <si>
    <t>C70</t>
  </si>
  <si>
    <t>MONOFOCAL -SOLO LECTURA</t>
  </si>
  <si>
    <t xml:space="preserve">ASTIGMATISMO MIOPICO </t>
  </si>
  <si>
    <t>ARM. 7505 DICOX</t>
  </si>
  <si>
    <t>C71</t>
  </si>
  <si>
    <t>BLUE BLOCK+ ANTIREFLEJO</t>
  </si>
  <si>
    <t>ARM . SILENCE P88819</t>
  </si>
  <si>
    <t>C72</t>
  </si>
  <si>
    <t>MONOFOCAL-SOLO LECTURA</t>
  </si>
  <si>
    <t xml:space="preserve">HIPERMETROPIA </t>
  </si>
  <si>
    <t>ARM. MENICZY MYA-154</t>
  </si>
  <si>
    <t>MYA 154</t>
  </si>
  <si>
    <t>ARM. MENICZY MYA 154</t>
  </si>
  <si>
    <t>ARM. DICOX 7505</t>
  </si>
  <si>
    <t>P88819</t>
  </si>
  <si>
    <t>ARM. SILENCE P88819</t>
  </si>
  <si>
    <t>Venta56</t>
  </si>
  <si>
    <t>Cxc55</t>
  </si>
  <si>
    <t xml:space="preserve">ABONO 3 LENTES </t>
  </si>
  <si>
    <t>Ing56</t>
  </si>
  <si>
    <t>#Orden 68</t>
  </si>
  <si>
    <t>C:\Users\Bryam\Desktop\PX Optica\QUITO ANDRADE IVAN PATRICIO_LenteConvencional_11022026_162204.pdf</t>
  </si>
  <si>
    <t>#Orden 69</t>
  </si>
  <si>
    <t>C:\Users\Bryam\Desktop\PX Optica\MICHELLE GABRIELA QUITO LITUMA_LenteConvencional_11022026_162321.pdf</t>
  </si>
  <si>
    <t>#Orden 70</t>
  </si>
  <si>
    <t>C:\Users\Bryam\Desktop\PX Optica\ANA DEL ROCIO LITUMA ZUMBA_LenteConvencional_11022026_162418.pdf</t>
  </si>
  <si>
    <t>P86</t>
  </si>
  <si>
    <t>CANDO DURAN JOHNNY EDUARDO</t>
  </si>
  <si>
    <t>0102825973</t>
  </si>
  <si>
    <t>593983218822</t>
  </si>
  <si>
    <t>MECANICO</t>
  </si>
  <si>
    <t>C73</t>
  </si>
  <si>
    <t>BLUE BLOCK + ANTIREFLEJO</t>
  </si>
  <si>
    <t>PLASTICO</t>
  </si>
  <si>
    <t>Venta57</t>
  </si>
  <si>
    <t>Cxc56</t>
  </si>
  <si>
    <t>Ing57</t>
  </si>
  <si>
    <t xml:space="preserve">ARM- DANIEL KLEIN- 230827-ARM PACIENTE - MAUROS AS-C5 </t>
  </si>
  <si>
    <t>#Orden 71</t>
  </si>
  <si>
    <t>C:\Users\Bryam\Desktop\PX Optica\CANDO DURAN JOHNNY EDUARDO_LenteConvencional_13022026_101318.pdf</t>
  </si>
  <si>
    <t>P87</t>
  </si>
  <si>
    <t>ZARUMEÑO MOSCOSO DIEGO ANDRES</t>
  </si>
  <si>
    <t>0105842868</t>
  </si>
  <si>
    <t>28/12/1995</t>
  </si>
  <si>
    <t>593969881120</t>
  </si>
  <si>
    <t>C74</t>
  </si>
  <si>
    <t>QUERATOCONO AO</t>
  </si>
  <si>
    <t>ARM DEL PACIENTE- S/C TOTTO AZUL METALICO</t>
  </si>
  <si>
    <t>Venta58</t>
  </si>
  <si>
    <t>Ing58</t>
  </si>
  <si>
    <t xml:space="preserve">CANCELADO EFECTIVO </t>
  </si>
  <si>
    <t>P88</t>
  </si>
  <si>
    <t>CHALCO MORALES PEDRO ANDRES</t>
  </si>
  <si>
    <t>0106675614</t>
  </si>
  <si>
    <t>16-09-1996</t>
  </si>
  <si>
    <t>C75</t>
  </si>
  <si>
    <t>HACE UN AÑO</t>
  </si>
  <si>
    <t>BLUE CLOCK- ANTIREFLEJO</t>
  </si>
  <si>
    <t>ARM. PROVISION L11053</t>
  </si>
  <si>
    <t>L11053</t>
  </si>
  <si>
    <t>Venta59</t>
  </si>
  <si>
    <t>Cxc57</t>
  </si>
  <si>
    <t>ABONO PLAZOS 2 MESES</t>
  </si>
  <si>
    <t>Ing59</t>
  </si>
  <si>
    <t>#Orden 72</t>
  </si>
  <si>
    <t>C:\Users\Bryam\Desktop\PX Optica\CHALCO MORALES PEDRO ANDRES_LenteConvencional_13022026_211735.pdf</t>
  </si>
  <si>
    <t>#Orden 74</t>
  </si>
  <si>
    <t>C:\Users\Bryam\Desktop\PX Optica\ZARUMEÑO MOSCOSO DIEGO ANDRES_LenteConvencional_13022026_212122.pdf</t>
  </si>
  <si>
    <t>P89</t>
  </si>
  <si>
    <t>GUILLEN MORALES BERTHA BEATRIZ</t>
  </si>
  <si>
    <t>0103159190</t>
  </si>
  <si>
    <t>18/02/1971</t>
  </si>
  <si>
    <t>593967907522</t>
  </si>
  <si>
    <t>C76</t>
  </si>
  <si>
    <t>ARM DEL PACIENTE - 079 BLB-D2 AZUL PASTA</t>
  </si>
  <si>
    <t>POLI-KEASY-TRANZAF</t>
  </si>
  <si>
    <t>LUNAS PROGRESIVAS POLICARBONATO TRANSITION ZAFIRO</t>
  </si>
  <si>
    <t>Venta60</t>
  </si>
  <si>
    <t>Cxc58</t>
  </si>
  <si>
    <t>Ing60</t>
  </si>
  <si>
    <t>P90</t>
  </si>
  <si>
    <t>LEON LAGLA CRISTOBAL ANDRES</t>
  </si>
  <si>
    <t>0151440187</t>
  </si>
  <si>
    <t>28/05/2015</t>
  </si>
  <si>
    <t>593991747844</t>
  </si>
  <si>
    <t>P91</t>
  </si>
  <si>
    <t>TENEZACA LITUMA MATEO SEBASTIAN</t>
  </si>
  <si>
    <t>0107856296</t>
  </si>
  <si>
    <t>593939149654</t>
  </si>
  <si>
    <t>C77</t>
  </si>
  <si>
    <t>QUERATOCONO</t>
  </si>
  <si>
    <t>SACAR LICENCIA TIPO B</t>
  </si>
  <si>
    <t>QUERATOCONO RELIZADO CROSSLINKING HACE 3 AÑOS</t>
  </si>
  <si>
    <t>20/50-2</t>
  </si>
  <si>
    <t>20/40+2</t>
  </si>
  <si>
    <t>ARM PROMO 9006</t>
  </si>
  <si>
    <t>Venta61</t>
  </si>
  <si>
    <t>Ing61</t>
  </si>
  <si>
    <t>cancelado</t>
  </si>
  <si>
    <t>P92</t>
  </si>
  <si>
    <t xml:space="preserve">MOROCHO NAULAGUARI GENESIS JANINE </t>
  </si>
  <si>
    <t>0151220571</t>
  </si>
  <si>
    <t>593967858145</t>
  </si>
  <si>
    <t>P93</t>
  </si>
  <si>
    <t>MOROCHO NAULAGUARI JUAN DIEGO</t>
  </si>
  <si>
    <t>0151594926</t>
  </si>
  <si>
    <t>593998252723</t>
  </si>
  <si>
    <t>P94</t>
  </si>
  <si>
    <t>MOROCHO NAULAGUARI DAYANA MICHELLE</t>
  </si>
  <si>
    <t>0106108392</t>
  </si>
  <si>
    <t>593993892196</t>
  </si>
  <si>
    <t>C78</t>
  </si>
  <si>
    <t>ASTIGMATISMO ELEVADO</t>
  </si>
  <si>
    <t>VISION BORROSA LEJANA Y CONTROL</t>
  </si>
  <si>
    <t>BLANCAS</t>
  </si>
  <si>
    <t>CONTROL EN 6 MESES</t>
  </si>
  <si>
    <t>ARM DEL PACIENTE</t>
  </si>
  <si>
    <t>C79</t>
  </si>
  <si>
    <t>VISION BAORROSA LEJANA</t>
  </si>
  <si>
    <t>-6.75</t>
  </si>
  <si>
    <t>C80</t>
  </si>
  <si>
    <t>SI ASTIGMATISMO ELEVADO</t>
  </si>
  <si>
    <t>-3.75</t>
  </si>
  <si>
    <t>ASTIGMATISMO OD - ASTIGMATISMO MIOPICO EN OI</t>
  </si>
  <si>
    <t>CONTROL ANUAL- EJES EXACTOS</t>
  </si>
  <si>
    <t>NE 1943</t>
  </si>
  <si>
    <t>ARM. NEW LOOK</t>
  </si>
  <si>
    <t>NE 1946</t>
  </si>
  <si>
    <t>ARM NEW LOOK NE 1946</t>
  </si>
  <si>
    <t>Venta62</t>
  </si>
  <si>
    <t>Cxc59</t>
  </si>
  <si>
    <t xml:space="preserve">ABONO </t>
  </si>
  <si>
    <t>Ing62</t>
  </si>
  <si>
    <t>#Orden 75</t>
  </si>
  <si>
    <t>C:\Users\Bryam\Desktop\PX Optica\GUILLEN MORALES BERTHA BEATRIZ_LenteConvencional_17022026_235639.pdf</t>
  </si>
  <si>
    <t>#Orden 76</t>
  </si>
  <si>
    <t>C:\Users\Bryam\Desktop\PX Optica\MOROCHO NAULAGUARI JUAN DIEGO_LenteConvencional_17022026_235844.pdf</t>
  </si>
  <si>
    <t>#Orden 77</t>
  </si>
  <si>
    <t>C:\Users\Bryam\Desktop\PX Optica\MOROCHO NAULAGUARI GENESIS JANINE _LenteConvencional_17022026_235916.pdf</t>
  </si>
  <si>
    <t>#Orden 78</t>
  </si>
  <si>
    <t>C:\Users\Bryam\Desktop\PX Optica\MOROCHO NAULAGUARI DAYANA MICHELLE_LenteConvencional_18022026_000013.pdf</t>
  </si>
  <si>
    <t>ARM. VISUAL SHIELD ECONOMICO</t>
  </si>
  <si>
    <t>#Orden 80</t>
  </si>
  <si>
    <t>C:\Users\Bryam\Desktop\PX Optica\TENEZACA LITUMA MATEO SEBASTIAN_LenteConvencional_18022026_000455.pdf</t>
  </si>
  <si>
    <t>P95</t>
  </si>
  <si>
    <t>GUERRERO RAMON ALEX RENE</t>
  </si>
  <si>
    <t>0105671978</t>
  </si>
  <si>
    <t>593988677645</t>
  </si>
  <si>
    <t>ABOGADO</t>
  </si>
  <si>
    <t>ARM. MOD 12192</t>
  </si>
  <si>
    <t>Venta63</t>
  </si>
  <si>
    <t>Cxc60</t>
  </si>
  <si>
    <t>Ing63</t>
  </si>
  <si>
    <t>C81</t>
  </si>
  <si>
    <t>ARM. MOD 12192 5 CLIPS</t>
  </si>
  <si>
    <t>#Orden 81</t>
  </si>
  <si>
    <t>C:\Users\Bryam\Desktop\PX Optica\GUERRERO RAMON ALEX RENE_LenteConvencional_18022026_054350.pdf</t>
  </si>
  <si>
    <t>P96</t>
  </si>
  <si>
    <t>GARCIA BARROS NATHALY PAULINA</t>
  </si>
  <si>
    <t>0150720399</t>
  </si>
  <si>
    <t>29/11/2000</t>
  </si>
  <si>
    <t>593995068905</t>
  </si>
  <si>
    <t>PROFESORA</t>
  </si>
  <si>
    <t>C82</t>
  </si>
  <si>
    <t>TIROIDES</t>
  </si>
  <si>
    <t>SI HACE 2 AÑOS</t>
  </si>
  <si>
    <t>VISION BORROSA Y FATIGA VISUAL</t>
  </si>
  <si>
    <t xml:space="preserve">ASTIGMATISMO </t>
  </si>
  <si>
    <t>ARM DEL PACIENTE S/C ,METALICO</t>
  </si>
  <si>
    <t>Venta64</t>
  </si>
  <si>
    <t>Ing64</t>
  </si>
  <si>
    <t xml:space="preserve">CANCELADO </t>
  </si>
  <si>
    <t>P97</t>
  </si>
  <si>
    <t>LARA OCAMPO NAYDELINE NAYELI</t>
  </si>
  <si>
    <t>0107252165</t>
  </si>
  <si>
    <t>14/04/2003</t>
  </si>
  <si>
    <t>593998566442</t>
  </si>
  <si>
    <t>C83</t>
  </si>
  <si>
    <t>VISION BORROSA Y FASTIGA V</t>
  </si>
  <si>
    <t>DIABETES</t>
  </si>
  <si>
    <t>NO-SOLO DESCANSO</t>
  </si>
  <si>
    <t>VISION BORROSA LEJANA Y FATIGA VISUAL</t>
  </si>
  <si>
    <t xml:space="preserve">BLUE BLOCK+AR </t>
  </si>
  <si>
    <t xml:space="preserve">CONTRO ANUAL </t>
  </si>
  <si>
    <t>VTM 107</t>
  </si>
  <si>
    <t>ARM VIRTUS VTM 107</t>
  </si>
  <si>
    <t>Venta65</t>
  </si>
  <si>
    <t>Cxc61</t>
  </si>
  <si>
    <t xml:space="preserve">ABONO TRANSFERENCIA </t>
  </si>
  <si>
    <t>Ing65</t>
  </si>
  <si>
    <t>ARM. VIRTUS 107 METALICO</t>
  </si>
  <si>
    <t>#Orden 83</t>
  </si>
  <si>
    <t>C:\Users\Bryam\Desktop\PX Optica\LARA OCAMPO NAYDELINE NAYELI_LenteConvencional_18022026_214109.pdf</t>
  </si>
  <si>
    <t>#Orden 85</t>
  </si>
  <si>
    <t>C:\Users\Bryam\Desktop\PX Optica\GARCIA BARROS NATHALY PAULINA_LenteConvencional_18022026_214438.pdf</t>
  </si>
  <si>
    <t>P98</t>
  </si>
  <si>
    <t xml:space="preserve">MOROCHO TORRES FABIO ANDRES </t>
  </si>
  <si>
    <t>0106611502</t>
  </si>
  <si>
    <t>593984787844</t>
  </si>
  <si>
    <t>VENDEDOR</t>
  </si>
  <si>
    <t>C84</t>
  </si>
  <si>
    <t>HACE 6 AÑOS</t>
  </si>
  <si>
    <t>-4.25</t>
  </si>
  <si>
    <t>GX7-AR-6</t>
  </si>
  <si>
    <t>LUNAS GX7 ANTIREFLEJO HASTA 6</t>
  </si>
  <si>
    <t>Venta66</t>
  </si>
  <si>
    <t>Ing66</t>
  </si>
  <si>
    <t>CANCELADO TRANSFERENCIA</t>
  </si>
  <si>
    <t>#Orden 86</t>
  </si>
  <si>
    <t>C:\Users\Bryam\Desktop\PX Optica\MOROCHO TORRES FABIO ANDRES _LenteConvencional_19022026_151217.pdf</t>
  </si>
  <si>
    <t>P99</t>
  </si>
  <si>
    <t>ZAMORA BUSTAMANTE MICHELLE CAROLINA</t>
  </si>
  <si>
    <t>0105820401</t>
  </si>
  <si>
    <t>DISEÑADORA DE INTERIORES</t>
  </si>
  <si>
    <t>C85</t>
  </si>
  <si>
    <t>VISION BORROSA Y FATIGA V</t>
  </si>
  <si>
    <t>ARM. MOD H5008</t>
  </si>
  <si>
    <t>MOD H5008</t>
  </si>
  <si>
    <t>ARM. MOD METAL H5008</t>
  </si>
  <si>
    <t>Venta67</t>
  </si>
  <si>
    <t>Cxc62</t>
  </si>
  <si>
    <t>Ing67</t>
  </si>
  <si>
    <t>#Orden 87</t>
  </si>
  <si>
    <t>C:\Users\Bryam\Desktop\PX Optica\ZAMORA BUSTAMANTE MICHELLE CAROLINA_LenteConvencional_20022026_091939.pdf</t>
  </si>
  <si>
    <t>P100</t>
  </si>
  <si>
    <t>MOSQUERA ORDOÑEZ HERMOGENES FAVIAN</t>
  </si>
  <si>
    <t>0103569133</t>
  </si>
  <si>
    <t>593989596140</t>
  </si>
  <si>
    <t>CONSULTORIA</t>
  </si>
  <si>
    <t>C86</t>
  </si>
  <si>
    <t>BLUE BLOCK+ANTIREFLEJO</t>
  </si>
  <si>
    <t>ARM.SAGAZ RY2306 PASTA 1 CLIP</t>
  </si>
  <si>
    <t>SAGAZ RY2306</t>
  </si>
  <si>
    <t>ARM. SAGAZ 1 CLIP</t>
  </si>
  <si>
    <t>Venta68</t>
  </si>
  <si>
    <t>Ing68</t>
  </si>
  <si>
    <t>#Orden 88</t>
  </si>
  <si>
    <t>C:\Users\Bryam\Desktop\PX Optica\MOSQUERA ORDOÑEZ HERMOGENES FAVIAN_LenteConvencional_20022026_123311.pdf</t>
  </si>
  <si>
    <t>P101</t>
  </si>
  <si>
    <t>PEREZ ZUÑIGA PEDRO JOSUE</t>
  </si>
  <si>
    <t>0102155660</t>
  </si>
  <si>
    <t>16-05-1975</t>
  </si>
  <si>
    <t>593981836013</t>
  </si>
  <si>
    <t>P102</t>
  </si>
  <si>
    <t>JAZMIN ELIZABETH FLORES CHERREZ</t>
  </si>
  <si>
    <t>0703608034</t>
  </si>
  <si>
    <t>P103</t>
  </si>
  <si>
    <t>MOROCHO NAULA KELLY ANAHI</t>
  </si>
  <si>
    <t>0107566481</t>
  </si>
  <si>
    <t>14/12/2007</t>
  </si>
  <si>
    <t>593987671310</t>
  </si>
  <si>
    <t>P104</t>
  </si>
  <si>
    <t>PARRAGA MELENDRES HUMBERTO ANIBAL</t>
  </si>
  <si>
    <t>0904787314</t>
  </si>
  <si>
    <t>15/03/1955</t>
  </si>
  <si>
    <t>593982711155</t>
  </si>
  <si>
    <t>C87</t>
  </si>
  <si>
    <t>20/25-1</t>
  </si>
  <si>
    <t>POLI-VARCOMAX-BAR</t>
  </si>
  <si>
    <t>LUNAS PROGRESIVAS VARILUX CONFORT MAX BLUE BLOCK +AR</t>
  </si>
  <si>
    <t>Venta69</t>
  </si>
  <si>
    <t>Tarjeta de Débito</t>
  </si>
  <si>
    <t>Cxc63</t>
  </si>
  <si>
    <t>Ing69</t>
  </si>
  <si>
    <t xml:space="preserve">RXM 176 </t>
  </si>
  <si>
    <t>ARM. RX RMX176</t>
  </si>
  <si>
    <t>Venta70</t>
  </si>
  <si>
    <t>Cxc64</t>
  </si>
  <si>
    <t>Ing70</t>
  </si>
  <si>
    <t>P105</t>
  </si>
  <si>
    <t>DUY GARCIA EDGAR HERNAN</t>
  </si>
  <si>
    <t>0300754355</t>
  </si>
  <si>
    <t>14/10/1962</t>
  </si>
  <si>
    <t>593999794770</t>
  </si>
  <si>
    <t>ING QUIMICO</t>
  </si>
  <si>
    <t>P106</t>
  </si>
  <si>
    <t>ROMERO ROMERO MELI NOEMI</t>
  </si>
  <si>
    <t>0102293008</t>
  </si>
  <si>
    <t>27/05/1971</t>
  </si>
  <si>
    <t>593984608428</t>
  </si>
  <si>
    <t>ABOGADA</t>
  </si>
  <si>
    <t>P107</t>
  </si>
  <si>
    <t>CAIZA DE LA CRUZ HECTOR RENE</t>
  </si>
  <si>
    <t>0151015328</t>
  </si>
  <si>
    <t>17/08/2009</t>
  </si>
  <si>
    <t>593997023556</t>
  </si>
  <si>
    <t>Venta71</t>
  </si>
  <si>
    <t>Cxc65</t>
  </si>
  <si>
    <t>Ing71</t>
  </si>
  <si>
    <t>Venta72</t>
  </si>
  <si>
    <t>Cxc66</t>
  </si>
  <si>
    <t>Ing72</t>
  </si>
  <si>
    <t>C88</t>
  </si>
  <si>
    <t>VISION BORROSA DESTELLOS A LA LUZ Y DOLOR OPCULAR</t>
  </si>
  <si>
    <t xml:space="preserve">BLUUE BLOCK+ AR </t>
  </si>
  <si>
    <t>TITAN TIT 2909</t>
  </si>
  <si>
    <t>ARM. TITAN TIT 2909</t>
  </si>
  <si>
    <t>Venta73</t>
  </si>
  <si>
    <t>Cxc67</t>
  </si>
  <si>
    <t>Ing73</t>
  </si>
  <si>
    <t>P108</t>
  </si>
  <si>
    <t>JENNY CAROLINA DE LA CRUZ</t>
  </si>
  <si>
    <t>0150752814</t>
  </si>
  <si>
    <t>593967348300</t>
  </si>
  <si>
    <t>NADA</t>
  </si>
  <si>
    <t>C89</t>
  </si>
  <si>
    <t xml:space="preserve">HACE MAS DE UÑA </t>
  </si>
  <si>
    <t>PACIENMTE EXTERNO</t>
  </si>
  <si>
    <t>#Orden 90</t>
  </si>
  <si>
    <t>C:\Users\Bryam\Desktop\PX Optica\CAIZA DE LA CRUZ HECTOR RENE_LenteConvencional_23022026_165427.pdf</t>
  </si>
  <si>
    <t>C90</t>
  </si>
  <si>
    <t>VISION BORROSA DE CERCA</t>
  </si>
  <si>
    <t>TORIODES</t>
  </si>
  <si>
    <t>SI- PROGRESIVOS-HACE UN AÑO</t>
  </si>
  <si>
    <t>ARM DEL PACIENTE-LACOSTE TR9047 Dm: 73 DH:55 DV:36 DM:58</t>
  </si>
  <si>
    <t>#Orden 91</t>
  </si>
  <si>
    <t>C:\Users\Bryam\Desktop\PX Optica\DUY GARCIA EDGAR HERNAN_LenteConvencional_23022026_170235.pdf</t>
  </si>
  <si>
    <t>C91</t>
  </si>
  <si>
    <t>TIROIDES-CANCER DE MAMA-DIABETES</t>
  </si>
  <si>
    <t>SI-SOLO LECTURA- HACE UN AÑO</t>
  </si>
  <si>
    <t>VISION B0RROSA CERCANA</t>
  </si>
  <si>
    <t>HIPERMETROPIA-PRESBICIE</t>
  </si>
  <si>
    <t xml:space="preserve">ARM DEL PACIENTE-XH1658 </t>
  </si>
  <si>
    <t>#Orden 92</t>
  </si>
  <si>
    <t>C:\Users\Bryam\Desktop\PX Optica\ROMERO ROMERO MELI NOEMI_LenteConvencional_23022026_170703.pdf</t>
  </si>
  <si>
    <t>C92</t>
  </si>
  <si>
    <t>SI-HACE UN AÑO-PROGRESIVOS</t>
  </si>
  <si>
    <t>+1.25</t>
  </si>
  <si>
    <t>ASTIGMATISMO HIPERMETROPICO-PRESBICIE</t>
  </si>
  <si>
    <t>ARM DEL PACIENTE RAY-BAN-RB3947V Dm:71 DV:44 DH:48 DM:49</t>
  </si>
  <si>
    <t>ARM- RX RXM176 METALICO</t>
  </si>
  <si>
    <t>#Orden 93</t>
  </si>
  <si>
    <t>C:\Users\Bryam\Desktop\PX Optica\MOROCHO NAULA KELLY ANAHI_LenteConvencional_23022026_171842.pdf</t>
  </si>
  <si>
    <t>#Orden 94</t>
  </si>
  <si>
    <t>C:\Users\Bryam\Desktop\PX Optica\PARRAGA MELENDRES HUMBERTO ANIBAL_LenteConvencional_24022026_102513.pdf</t>
  </si>
  <si>
    <t>P109</t>
  </si>
  <si>
    <t>ESPINOZA CHALCO JOSE SANTIAGO</t>
  </si>
  <si>
    <t>0103902128</t>
  </si>
  <si>
    <t>593981696115</t>
  </si>
  <si>
    <t>C93</t>
  </si>
  <si>
    <t>SI HACE 1 AÑO - BIFOCAL</t>
  </si>
  <si>
    <t>VISOMN BORROSA Y FATIGA VISUAL</t>
  </si>
  <si>
    <t>179</t>
  </si>
  <si>
    <t>162</t>
  </si>
  <si>
    <t>VTA 216-C2</t>
  </si>
  <si>
    <t>ARM. VIRTUS VTA216-C2</t>
  </si>
  <si>
    <t>Venta74</t>
  </si>
  <si>
    <t>Cxc68</t>
  </si>
  <si>
    <t>ABONO TRANSFERENCIA LENTES</t>
  </si>
  <si>
    <t>Ing74</t>
  </si>
  <si>
    <t>P110</t>
  </si>
  <si>
    <t>RUIZ LAPO GALO ALBERTO</t>
  </si>
  <si>
    <t>0101865368</t>
  </si>
  <si>
    <t>16/08/1960</t>
  </si>
  <si>
    <t>593998123166</t>
  </si>
  <si>
    <t>MOD 12148</t>
  </si>
  <si>
    <t>ARM.MOD 12148</t>
  </si>
  <si>
    <t>Venta75</t>
  </si>
  <si>
    <t>Ing75</t>
  </si>
  <si>
    <t>C94</t>
  </si>
  <si>
    <t>SI BIFOCLA HACE 2 AÑOS</t>
  </si>
  <si>
    <t>CONSULTA Y CONTROL</t>
  </si>
  <si>
    <t>PROGRESIVO ELITE INTERMEDIO</t>
  </si>
  <si>
    <t>ARM-MOD 12148 Dm: 72 DH:53 DV:35 DM:54</t>
  </si>
  <si>
    <t>#Orden 95</t>
  </si>
  <si>
    <t>C:\Users\Bryam\Desktop\PX Optica\RUIZ LAPO GALO ALBERTO_LenteConvencional_24022026_174223.pdf</t>
  </si>
  <si>
    <t>PROGRESIVO INTERMEDIO</t>
  </si>
  <si>
    <t>ARM. VIRTUS VTA216-C2 Dm:71  DH:53  DV:40  DM:54</t>
  </si>
  <si>
    <t>#Orden 98</t>
  </si>
  <si>
    <t>C:\Users\Bryam\Desktop\PX Optica\ESPINOZA CHALCO JOSE SANTIAGO_LenteConvencional_24022026_175040.pdf</t>
  </si>
  <si>
    <t>P111</t>
  </si>
  <si>
    <t>COPARA MOROCHO FRANKLIN VINICIO</t>
  </si>
  <si>
    <t>0103201992</t>
  </si>
  <si>
    <t>593987889684</t>
  </si>
  <si>
    <t>DRIVING CAR</t>
  </si>
  <si>
    <t>Venta76</t>
  </si>
  <si>
    <t>Cxc69</t>
  </si>
  <si>
    <t>Ing76</t>
  </si>
  <si>
    <t>C95</t>
  </si>
  <si>
    <t>TRAUMA Y LACERACION</t>
  </si>
  <si>
    <t>SI HACE UN AÑO-MONOFOCAL</t>
  </si>
  <si>
    <t>VISION BORROSA Y DALTONISMO</t>
  </si>
  <si>
    <t>MIOPIA OD ASTIGMATISMO OI</t>
  </si>
  <si>
    <t>ARM DEL PACIENTE METAL TOS 9174</t>
  </si>
  <si>
    <t>P112</t>
  </si>
  <si>
    <t>ORDOÑEZ CRIOLLO KAREN GENOVEVA</t>
  </si>
  <si>
    <t>0104652110</t>
  </si>
  <si>
    <t>593987573351</t>
  </si>
  <si>
    <t>P113</t>
  </si>
  <si>
    <t>CRIOLLO AGILA SORAYA EMPERATRIZ</t>
  </si>
  <si>
    <t>1102851340</t>
  </si>
  <si>
    <t>26-08-1967</t>
  </si>
  <si>
    <t>593990922595</t>
  </si>
  <si>
    <t>VTM 043</t>
  </si>
  <si>
    <t>ARM. VIRTUS VTM 043</t>
  </si>
  <si>
    <t xml:space="preserve">VTM 101 </t>
  </si>
  <si>
    <t>ARM. VIRTUS VTM 101</t>
  </si>
  <si>
    <t xml:space="preserve">CR39-PROHD-BL </t>
  </si>
  <si>
    <t>LUNAS PROGRESIVAS HD BLANCAS</t>
  </si>
  <si>
    <t>Venta77</t>
  </si>
  <si>
    <t>Cxc70</t>
  </si>
  <si>
    <t>Ing77</t>
  </si>
  <si>
    <t>C96</t>
  </si>
  <si>
    <t>C97</t>
  </si>
  <si>
    <t>PROGRESIVO ELITE HD</t>
  </si>
  <si>
    <t>ARM VIRTUS VTM 101 Dm73 DH 55 DV 44 DM 56</t>
  </si>
  <si>
    <t>#Orden 99</t>
  </si>
  <si>
    <t>C:\Users\Bryam\Desktop\PX Optica\CRIOLLO AGILA SORAYA EMPERATRIZ_LenteConvencional_26022026_090955.pdf</t>
  </si>
  <si>
    <t>C98</t>
  </si>
  <si>
    <t xml:space="preserve">BLUE BLOCK + AR </t>
  </si>
  <si>
    <t>ARM VIRTUS VTM 043</t>
  </si>
  <si>
    <t>#Orden 100</t>
  </si>
  <si>
    <t>C:\Users\Bryam\Desktop\PX Optica\ORDOÑEZ CRIOLLO KAREN GENOVEVA_LenteConvencional_26022026_091413.pdf</t>
  </si>
  <si>
    <t>#Orden 101</t>
  </si>
  <si>
    <t>C:\Users\Bryam\Desktop\PX Optica\COPARA MOROCHO FRANKLIN VINICIO_LenteConvencional_26022026_091515.pdf</t>
  </si>
  <si>
    <t>C99</t>
  </si>
  <si>
    <t>ARM . DM18191</t>
  </si>
  <si>
    <t>#Orden 102</t>
  </si>
  <si>
    <t>C:\Users\Bryam\Desktop\PX Optica\LEON LAGLA CRISTOBAL ANDRES_LenteConvencional_26022026_093846.pdf</t>
  </si>
  <si>
    <t>P114</t>
  </si>
  <si>
    <t>MEJIA ESPINOZA JOEL MATIAS</t>
  </si>
  <si>
    <t>0150081172</t>
  </si>
  <si>
    <t>593978655735</t>
  </si>
  <si>
    <t>keke kids</t>
  </si>
  <si>
    <t>POLI-AR-4</t>
  </si>
  <si>
    <t>LUNAS POLICARBONATO + AR HASTA 4</t>
  </si>
  <si>
    <t>Venta78</t>
  </si>
  <si>
    <t>Ing78</t>
  </si>
  <si>
    <t>P115</t>
  </si>
  <si>
    <t>NARANJO PEÑA IBETH RAQUEL</t>
  </si>
  <si>
    <t>0202009528</t>
  </si>
  <si>
    <t>593994898822</t>
  </si>
  <si>
    <t>APREMANSA "B" `PRIMERA VEZ</t>
  </si>
  <si>
    <t>P116</t>
  </si>
  <si>
    <t>fernanda de lourdes MOROCHO CORDERO</t>
  </si>
  <si>
    <t>0103809844</t>
  </si>
  <si>
    <t>593968547376</t>
  </si>
  <si>
    <t>NM118</t>
  </si>
  <si>
    <t>ARM. NOMADA NM118</t>
  </si>
  <si>
    <t>Venta79</t>
  </si>
  <si>
    <t>Ing79</t>
  </si>
  <si>
    <t>C100</t>
  </si>
  <si>
    <t>control</t>
  </si>
  <si>
    <t>TRASPASO DE ARMAZON NOMADA NM118</t>
  </si>
  <si>
    <t>#Orden 103</t>
  </si>
  <si>
    <t>C:\Users\Bryam\Desktop\PX Optica\fernanda de lourdes MOROCHO CORDERO_LenteConvencional_02032026_161825.pdf</t>
  </si>
  <si>
    <t>P117</t>
  </si>
  <si>
    <t>PACHAR RODRIGUEZ GALO BLAS PATRICIO</t>
  </si>
  <si>
    <t>1102320106</t>
  </si>
  <si>
    <t>593984991778</t>
  </si>
  <si>
    <t>MEDICO</t>
  </si>
  <si>
    <t>P118</t>
  </si>
  <si>
    <t>PACHAR JIMENEZ SAMANTHA GABRIELA</t>
  </si>
  <si>
    <t>0106558646</t>
  </si>
  <si>
    <t>26/11/1999</t>
  </si>
  <si>
    <t>593987203356</t>
  </si>
  <si>
    <t>BIOQUIMICA FARMACEUTICA</t>
  </si>
  <si>
    <t>P119</t>
  </si>
  <si>
    <t>TENEMEA RIVADENEIRA THIAGO MATIAS</t>
  </si>
  <si>
    <t>0152111365</t>
  </si>
  <si>
    <t>18/09/2019</t>
  </si>
  <si>
    <t>593985166940</t>
  </si>
  <si>
    <t>P120</t>
  </si>
  <si>
    <t>MARIA FERNANDA TORRES ESCANDON</t>
  </si>
  <si>
    <t>0104807334</t>
  </si>
  <si>
    <t>24/11/1984</t>
  </si>
  <si>
    <t>593987432294</t>
  </si>
  <si>
    <t>P121</t>
  </si>
  <si>
    <t>CRIOLLO LUCERO JORGE ROMAN</t>
  </si>
  <si>
    <t>0101330082</t>
  </si>
  <si>
    <t>24/04/1959</t>
  </si>
  <si>
    <t>593990019601</t>
  </si>
  <si>
    <t>C101</t>
  </si>
  <si>
    <t xml:space="preserve">SI HACE UN AÑO Y MEDIO </t>
  </si>
  <si>
    <t>ASTIGMATISMO HIPERMETROPICO+ PRESBICIE</t>
  </si>
  <si>
    <t xml:space="preserve">CR39-PROSCHPRE-TRANSCAFAR </t>
  </si>
  <si>
    <t>LUNAS CR39 PROGRESIVAS SCHANEIDER PREMIUM TRANSITION CAFE</t>
  </si>
  <si>
    <t>Venta80</t>
  </si>
  <si>
    <t>Ing80</t>
  </si>
  <si>
    <t>C102</t>
  </si>
  <si>
    <t>HJ</t>
  </si>
  <si>
    <t>Venta81</t>
  </si>
  <si>
    <t>Ing81</t>
  </si>
  <si>
    <t>REPASO</t>
  </si>
  <si>
    <t>P122</t>
  </si>
  <si>
    <t>ARIAS PUIN ERIKA FERNANDA</t>
  </si>
  <si>
    <t>0150339653</t>
  </si>
  <si>
    <t>593987718551</t>
  </si>
  <si>
    <t>PACIENTE SINDICATO DE CHOFERES</t>
  </si>
  <si>
    <t>G95-275</t>
  </si>
  <si>
    <t>ARM VICTORY G95-275</t>
  </si>
  <si>
    <t>Venta82</t>
  </si>
  <si>
    <t>Cxc71</t>
  </si>
  <si>
    <t>ANTICIPO A LENTES</t>
  </si>
  <si>
    <t>Ing82</t>
  </si>
  <si>
    <t>C104</t>
  </si>
  <si>
    <t>BLUE+AR</t>
  </si>
  <si>
    <t>#Orden 105</t>
  </si>
  <si>
    <t>C:\Users\Bryam\Desktop\PX Optica\ARIAS PUIN ERIKA FERNANDA_LenteConvencional_03032026_120205.pdf</t>
  </si>
  <si>
    <t>P123</t>
  </si>
  <si>
    <t>ZHANGALLIMBAY LOZANO NORA EULALIA</t>
  </si>
  <si>
    <t>0102767720</t>
  </si>
  <si>
    <t>13/05/1969</t>
  </si>
  <si>
    <t>593984014217</t>
  </si>
  <si>
    <t>C105</t>
  </si>
  <si>
    <t>ARM. PROVISION PRO1904-LECTURA</t>
  </si>
  <si>
    <t>PRO 1904</t>
  </si>
  <si>
    <t>ARM PROVISION PRO 1904</t>
  </si>
  <si>
    <t>Venta83</t>
  </si>
  <si>
    <t>Cxc72</t>
  </si>
  <si>
    <t xml:space="preserve">ANTICIPO A LENTES </t>
  </si>
  <si>
    <t>Ing83</t>
  </si>
  <si>
    <t>#Orden 106</t>
  </si>
  <si>
    <t>C:\Users\Bryam\Desktop\PX Optica\ZHANGALLIMBAY LOZANO NORA EULALIA_LenteConvencional_03032026_140208.pdf</t>
  </si>
  <si>
    <t xml:space="preserve">PROGRESIVO SCHNEIDER PREMIUM </t>
  </si>
  <si>
    <t>P124</t>
  </si>
  <si>
    <t>ORTEGA CRIOLLO NELLY JENNY</t>
  </si>
  <si>
    <t>010313169-4</t>
  </si>
  <si>
    <t>25-06-1977</t>
  </si>
  <si>
    <t>593983879026</t>
  </si>
  <si>
    <t>CHOFER PROFESIONAL</t>
  </si>
  <si>
    <t>ARM PROVISION 85001</t>
  </si>
  <si>
    <t>Venta84</t>
  </si>
  <si>
    <t>Cxc73</t>
  </si>
  <si>
    <t xml:space="preserve">TARJETA </t>
  </si>
  <si>
    <t>Ing84</t>
  </si>
  <si>
    <t>C106</t>
  </si>
  <si>
    <t>PROGRESIVO ELITE BASIC</t>
  </si>
  <si>
    <t>ARM.PROVISION 85001 Dm71 DH 54 DV 46 DM 60 - AL AIRE</t>
  </si>
  <si>
    <t>PTERIGIO</t>
  </si>
  <si>
    <t>SI HACE 2 AÑOS PROGRESIVOS FOTO</t>
  </si>
  <si>
    <t>VISION BORROSA LEJANA Y CERCANA Y CONTROL</t>
  </si>
  <si>
    <t>PACIENTE EXTEERNO</t>
  </si>
  <si>
    <t>#Orden 109</t>
  </si>
  <si>
    <t>C:\Users\Bryam\Desktop\PX Optica\ORTEGA CRIOLLO NELLY JENNY_LenteConvencional_03032026_163541.pdf</t>
  </si>
  <si>
    <t>P125</t>
  </si>
  <si>
    <t>FRANCESCA MELISSA PIEDRA ULLOA</t>
  </si>
  <si>
    <t>1401174139</t>
  </si>
  <si>
    <t>28-08-2006</t>
  </si>
  <si>
    <t>593989161782</t>
  </si>
  <si>
    <t>APREMANSA</t>
  </si>
  <si>
    <t>P126</t>
  </si>
  <si>
    <t>PIEDRA ULLOA GIACOMO JEANPIER</t>
  </si>
  <si>
    <t>1720969359</t>
  </si>
  <si>
    <t>19-12-1999</t>
  </si>
  <si>
    <t>593959801856</t>
  </si>
  <si>
    <t>Venta85</t>
  </si>
  <si>
    <t>Ing85</t>
  </si>
  <si>
    <t>C107</t>
  </si>
  <si>
    <t>ARM DEL PACIENTE ORSO C2</t>
  </si>
  <si>
    <t>#Orden 110</t>
  </si>
  <si>
    <t>C:\Users\Bryam\Desktop\PX Optica\FRANCESCA MELISSA PIEDRA ULLOA_LenteConvencional_04032026_112053.pdf</t>
  </si>
  <si>
    <t>P127</t>
  </si>
  <si>
    <t>CUENCA LOJA ANTHONY JAHIR</t>
  </si>
  <si>
    <t>0706892981</t>
  </si>
  <si>
    <t>BLUE BLOCK+AR</t>
  </si>
  <si>
    <t>VENETTI 21A51- DME 73 DH 55 DV36 DM57</t>
  </si>
  <si>
    <t>#Orden 111</t>
  </si>
  <si>
    <t>C:\Users\Bryam\Desktop\PX Optica\CRIOLLO LUCERO JORGE ROMAN_LenteConvencional_05032026_162257.pdf</t>
  </si>
  <si>
    <t>21A51</t>
  </si>
  <si>
    <t>VENETTI 21A51</t>
  </si>
  <si>
    <t>VTI 6015</t>
  </si>
  <si>
    <t>VITELIO VTI 6015</t>
  </si>
  <si>
    <t>Venta86</t>
  </si>
  <si>
    <t>Ing86</t>
  </si>
  <si>
    <t>Cxc75</t>
  </si>
  <si>
    <t>abono</t>
  </si>
  <si>
    <t>P128</t>
  </si>
  <si>
    <t>BOJORQUE  RODRIGUEZ MARIA ESTHER</t>
  </si>
  <si>
    <t>0102271780</t>
  </si>
  <si>
    <t>30-07-1976</t>
  </si>
  <si>
    <t>593999778958</t>
  </si>
  <si>
    <t>P129</t>
  </si>
  <si>
    <t>RODRIGUEZ RODRIGUEZ ROSA JULIA</t>
  </si>
  <si>
    <t>010131545-5</t>
  </si>
  <si>
    <t>29-06-1954</t>
  </si>
  <si>
    <t>P130</t>
  </si>
  <si>
    <t>RIVADENEIRA BUSTOS VERONICA ALEJANDRINA</t>
  </si>
  <si>
    <t>0105078976</t>
  </si>
  <si>
    <t>SERVIDORA PUBLICA</t>
  </si>
  <si>
    <t>2285A</t>
  </si>
  <si>
    <t>ARM. 5 CLIPS 2285A</t>
  </si>
  <si>
    <t>Y8837</t>
  </si>
  <si>
    <t>ARM. ARES Y8837</t>
  </si>
  <si>
    <t>Venta87</t>
  </si>
  <si>
    <t>LENTES A CREDITO</t>
  </si>
  <si>
    <t>Ing87</t>
  </si>
  <si>
    <t>POLI-PROINT-BLANCO</t>
  </si>
  <si>
    <t>LUNAS POLICARBONATO PROGRESIVAS INTERMEDIAS BLANCAS</t>
  </si>
  <si>
    <t>POLI-PRO-SCHEPRE-BAR</t>
  </si>
  <si>
    <t>LUNAS PROGRESIVAS SCHNEIDER PREMIUM BLUE+AR</t>
  </si>
  <si>
    <t>ARM PROVISION 82137</t>
  </si>
  <si>
    <t>Venta88</t>
  </si>
  <si>
    <t>Cxc76</t>
  </si>
  <si>
    <t xml:space="preserve">A PAGOS </t>
  </si>
  <si>
    <t>Ing88</t>
  </si>
  <si>
    <t>Venta89</t>
  </si>
  <si>
    <t>Cxc77</t>
  </si>
  <si>
    <t>A CREDITO</t>
  </si>
  <si>
    <t>Ing89</t>
  </si>
  <si>
    <t>C108</t>
  </si>
  <si>
    <t>ARM 2285A 5 CLIPS</t>
  </si>
  <si>
    <t>#Orden 112</t>
  </si>
  <si>
    <t>C:\Users\Bryam\Desktop\PX Optica\RIVADENEIRA BUSTOS VERONICA ALEJANDRINA_LenteConvencional_09032026_090251.pdf</t>
  </si>
  <si>
    <t>C109</t>
  </si>
  <si>
    <t>VIDION BORRSA LEJANA</t>
  </si>
  <si>
    <t xml:space="preserve">ARM. ARE Y8837 </t>
  </si>
  <si>
    <t>#Orden 113</t>
  </si>
  <si>
    <t>C:\Users\Bryam\Desktop\PX Optica\TENEMEA RIVADENEIRA THIAGO MATIAS_LenteConvencional_09032026_090811.pdf</t>
  </si>
  <si>
    <t>C110</t>
  </si>
  <si>
    <t>VISION BORROSA LEJOS Y CER</t>
  </si>
  <si>
    <t>PROGRESIVO SCHNEIDER PREMIUM</t>
  </si>
  <si>
    <t>C111</t>
  </si>
  <si>
    <t xml:space="preserve">ARM ANTONIO MA8102 DME 70 DH 53 DV 30 DM 53  ( DEJAR LA VERTICAL EN 30) </t>
  </si>
  <si>
    <t>ARM. PRO82137 DME 73 DH54 DV 40 DM 57  ( DEJAR LA VERTICAL EN 40)</t>
  </si>
  <si>
    <t>#Orden 114</t>
  </si>
  <si>
    <t>C:\Users\Bryam\Desktop\PX Optica\BOJORQUE  RODRIGUEZ MARIA ESTHER_LenteConvencional_09032026_123402.pdf</t>
  </si>
  <si>
    <t>#Orden 115</t>
  </si>
  <si>
    <t>C:\Users\Bryam\Desktop\PX Optica\RODRIGUEZ RODRIGUEZ ROSA JULIA_LenteConvencional_09032026_123930.pdf</t>
  </si>
  <si>
    <t>P131</t>
  </si>
  <si>
    <t>CAJAMARCA QUEZADA MATEO DAVID</t>
  </si>
  <si>
    <t>0151127271</t>
  </si>
  <si>
    <t>27-05-2004</t>
  </si>
  <si>
    <t>593998026790</t>
  </si>
  <si>
    <t>SA8607</t>
  </si>
  <si>
    <t>LOOKA SA8607</t>
  </si>
  <si>
    <t>Venta90</t>
  </si>
  <si>
    <t>Cxc78</t>
  </si>
  <si>
    <t>SALDO TODO</t>
  </si>
  <si>
    <t>Ing90</t>
  </si>
  <si>
    <t>C112</t>
  </si>
  <si>
    <t>BLUE BLOCK+ AR</t>
  </si>
  <si>
    <t>ARM LOOKA SA8607</t>
  </si>
  <si>
    <t>#Orden 116</t>
  </si>
  <si>
    <t>C:\Users\Bryam\Desktop\PX Optica\CAJAMARCA QUEZADA MATEO DAVID_LenteConvencional_09032026_132456.pdf</t>
  </si>
  <si>
    <t>P132</t>
  </si>
  <si>
    <t>SUMBA BONETE MIRIAN ALICIA</t>
  </si>
  <si>
    <t>0107189326</t>
  </si>
  <si>
    <t>17-03-1993</t>
  </si>
  <si>
    <t>593989197485</t>
  </si>
  <si>
    <t>GA220510</t>
  </si>
  <si>
    <t>GATUV GA220510</t>
  </si>
  <si>
    <t>Venta91</t>
  </si>
  <si>
    <t>Ing91</t>
  </si>
  <si>
    <t>P133</t>
  </si>
  <si>
    <t>GRANUE PALOMEQUE DEBBIE ALEJANDRA</t>
  </si>
  <si>
    <t>0750502148</t>
  </si>
  <si>
    <t>24-04-2010</t>
  </si>
  <si>
    <t>593995859717</t>
  </si>
  <si>
    <t>#Orden 117</t>
  </si>
  <si>
    <t>P134</t>
  </si>
  <si>
    <t>ORELLANA ENCALADA VICTOR MOISES</t>
  </si>
  <si>
    <t>0107438434</t>
  </si>
  <si>
    <t>22-04-2003</t>
  </si>
  <si>
    <t>593969405976</t>
  </si>
  <si>
    <t>TRABAJO CONSTRUCCION</t>
  </si>
  <si>
    <t>PACIENTE APREMANSA "B"</t>
  </si>
  <si>
    <t>OR280</t>
  </si>
  <si>
    <t>ARM ORSO OR280</t>
  </si>
  <si>
    <t>Venta92</t>
  </si>
  <si>
    <t>Cxc79</t>
  </si>
  <si>
    <t>Ing92</t>
  </si>
  <si>
    <t>C113</t>
  </si>
  <si>
    <t>VISION BORROSA LEJOS</t>
  </si>
  <si>
    <t>ARM. ORSO OR 280 METAL NEGRO</t>
  </si>
  <si>
    <t>#Orden 118</t>
  </si>
  <si>
    <t>C:\Users\Bryam\Desktop\PX Optica\ORELLANA ENCALADA VICTOR MOISES_LenteConvencional_10032026_104826.pdf</t>
  </si>
  <si>
    <t>C114</t>
  </si>
  <si>
    <t>VISION BORROESA LEJANA</t>
  </si>
  <si>
    <t>130</t>
  </si>
  <si>
    <t>ASTIGMASTISMO MIOPICO</t>
  </si>
  <si>
    <t xml:space="preserve">ARM ECO TRANSPARENTE </t>
  </si>
  <si>
    <t>#Orden 119</t>
  </si>
  <si>
    <t>C:\Users\Bryam\Desktop\PX Optica\GRANUE PALOMEQUE DEBBIE ALEJANDRA_LenteConvencional_10032026_121245.pdf</t>
  </si>
  <si>
    <t>P135</t>
  </si>
  <si>
    <t>MORA VANEGAS JOSE MATIAS</t>
  </si>
  <si>
    <t>0151052263</t>
  </si>
  <si>
    <t>593939338790</t>
  </si>
  <si>
    <t>C115</t>
  </si>
  <si>
    <t>ARM.</t>
  </si>
  <si>
    <t>SAL3302</t>
  </si>
  <si>
    <t>SALENO</t>
  </si>
  <si>
    <t>Venta93</t>
  </si>
  <si>
    <t>Cxc80</t>
  </si>
  <si>
    <t>Ing93</t>
  </si>
  <si>
    <t>#Orden 120</t>
  </si>
  <si>
    <t>C:\Users\Bryam\Desktop\PX Optica\MORA VANEGAS JOSE MATIAS_LenteConvencional_10032026_132601.pdf</t>
  </si>
  <si>
    <t>P136</t>
  </si>
  <si>
    <t>MATEO ISMAEL SARMIENTO VANEGAS</t>
  </si>
  <si>
    <t>0107895971</t>
  </si>
  <si>
    <t>20-04-2006</t>
  </si>
  <si>
    <t>593983483872</t>
  </si>
  <si>
    <t>C116</t>
  </si>
  <si>
    <t>ARM. TR-15</t>
  </si>
  <si>
    <t>#Orden 121</t>
  </si>
  <si>
    <t>C:\Users\Bryam\Desktop\PX Optica\MATEO ISMAEL SARMIENTO VANEGAS_LenteConvencional_12032026_163246.pdf</t>
  </si>
  <si>
    <t>P137</t>
  </si>
  <si>
    <t>VANEGAS BARCIA SARA PAOLA</t>
  </si>
  <si>
    <t>0104140413</t>
  </si>
  <si>
    <t>19-12-1982</t>
  </si>
  <si>
    <t>ACTIVIDADES PROPIAS</t>
  </si>
  <si>
    <t>P138</t>
  </si>
  <si>
    <t>SARMIENTO VANEGAS SARA ANAHI</t>
  </si>
  <si>
    <t>0101065414</t>
  </si>
  <si>
    <t>C117</t>
  </si>
  <si>
    <t>ARM GIRL VISION GIR 8807( LENTE DE LECTURA)</t>
  </si>
  <si>
    <t>C118</t>
  </si>
  <si>
    <t>171</t>
  </si>
  <si>
    <t>ARM. MORETTO MOR 227</t>
  </si>
  <si>
    <t>#Orden 122</t>
  </si>
  <si>
    <t>C:\Users\Bryam\Desktop\PX Optica\SARMIENTO VANEGAS SARA ANAHI_LenteConvencional_12032026_164752.pdf</t>
  </si>
  <si>
    <t>#Orden 123</t>
  </si>
  <si>
    <t>C:\Users\Bryam\Desktop\PX Optica\VANEGAS BARCIA SARA PAOLA_LenteConvencional_12032026_164912.pdf</t>
  </si>
  <si>
    <t>GIR 8807</t>
  </si>
  <si>
    <t>ARM. GIRL VISION GIR 8807</t>
  </si>
  <si>
    <t>MOR 227</t>
  </si>
  <si>
    <t>Venta94</t>
  </si>
  <si>
    <t>Ing94</t>
  </si>
  <si>
    <t>Venta# 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</si>
</sst>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6"/>
      <color theme="1"/>
      <name val="Century Gothic"/>
      <family val="2"/>
    </font>
    <font>
      <b/>
      <sz val="5"/>
      <color theme="1"/>
      <name val="Century Gothic"/>
      <family val="2"/>
    </font>
    <font>
      <b/>
      <sz val="6"/>
      <color theme="1"/>
      <name val="Century Gothic"/>
      <family val="2"/>
    </font>
    <font>
      <sz val="11"/>
      <color theme="1"/>
      <name val="Century Gothic"/>
      <family val="2"/>
    </font>
    <font>
      <b/>
      <sz val="6"/>
      <color rgb="FFC00000"/>
      <name val="Century Gothic"/>
      <family val="2"/>
    </font>
    <font>
      <b/>
      <sz val="7"/>
      <color theme="1"/>
      <name val="Century Gothic"/>
      <family val="2"/>
    </font>
    <font>
      <b/>
      <sz val="7"/>
      <color rgb="FFC00000"/>
      <name val="Century Gothic"/>
      <family val="2"/>
    </font>
    <font>
      <b/>
      <sz val="11"/>
      <color theme="1"/>
      <name val="Century Gothic"/>
      <family val="2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9"/>
      <color theme="4" tint="-0.499984740745262"/>
      <name val="Century Gothic"/>
      <family val="2"/>
    </font>
    <font>
      <sz val="9"/>
      <color theme="1"/>
      <name val="Century Gothic"/>
      <family val="2"/>
    </font>
    <font>
      <sz val="9"/>
      <color theme="0"/>
      <name val="Century Gothic"/>
      <family val="2"/>
    </font>
    <font>
      <b/>
      <sz val="9"/>
      <color theme="4" tint="-0.499984740745262"/>
      <name val="Century Gothic"/>
      <family val="2"/>
    </font>
    <font>
      <b/>
      <sz val="8"/>
      <color theme="4" tint="-0.499984740745262"/>
      <name val="Century Gothic"/>
      <family val="2"/>
    </font>
    <font>
      <sz val="8"/>
      <color theme="1"/>
      <name val="Century Gothic"/>
      <family val="2"/>
    </font>
    <font>
      <b/>
      <sz val="8"/>
      <color theme="0"/>
      <name val="Century Gothic"/>
      <family val="2"/>
    </font>
    <font>
      <sz val="8"/>
      <color theme="4" tint="-0.499984740745262"/>
      <name val="Century Gothic"/>
      <family val="2"/>
    </font>
    <font>
      <b/>
      <sz val="12"/>
      <color rgb="FF609AB2"/>
      <name val="Century Gothic"/>
      <family val="2"/>
    </font>
    <font>
      <sz val="9"/>
      <color rgb="FF609AB2"/>
      <name val="Century Gothic"/>
      <family val="2"/>
    </font>
    <font>
      <sz val="11"/>
      <color rgb="FF609AB2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09AB2"/>
        <bgColor indexed="64"/>
      </patternFill>
    </fill>
  </fills>
  <borders count="22">
    <border>
      <left/>
      <right/>
      <top/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/>
      <top style="thin">
        <color rgb="FF00B0F0"/>
      </top>
      <bottom/>
      <diagonal/>
    </border>
    <border>
      <left/>
      <right/>
      <top/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/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/>
      <diagonal/>
    </border>
    <border>
      <left/>
      <right style="thin">
        <color rgb="FF00B0F0"/>
      </right>
      <top style="thin">
        <color rgb="FF00B0F0"/>
      </top>
      <bottom/>
      <diagonal/>
    </border>
    <border>
      <left style="thin">
        <color rgb="FF00B0F0"/>
      </left>
      <right/>
      <top/>
      <bottom style="thin">
        <color rgb="FF00B0F0"/>
      </bottom>
      <diagonal/>
    </border>
    <border>
      <left/>
      <right/>
      <top style="thin">
        <color rgb="FF00B0F0"/>
      </top>
      <bottom style="thin">
        <color rgb="FF00B0F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99">
    <xf numFmtId="0" fontId="0" fillId="0" borderId="0" xfId="0"/>
    <xf numFmtId="0" fontId="0" fillId="2" borderId="0" xfId="0" applyFill="1"/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/>
    <xf numFmtId="0" fontId="5" fillId="0" borderId="0" xfId="0" applyFont="1" applyAlignment="1">
      <alignment vertical="center"/>
    </xf>
    <xf numFmtId="14" fontId="0" fillId="0" borderId="0" xfId="0" applyNumberFormat="1"/>
    <xf numFmtId="49" fontId="0" fillId="0" borderId="0" xfId="0" applyNumberFormat="1"/>
    <xf numFmtId="0" fontId="9" fillId="3" borderId="11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14" fontId="5" fillId="0" borderId="0" xfId="0" applyNumberFormat="1" applyFont="1"/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14" fontId="5" fillId="0" borderId="15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49" fontId="0" fillId="0" borderId="0" xfId="0" quotePrefix="1" applyNumberFormat="1" applyAlignment="1">
      <alignment vertical="center" wrapText="1"/>
    </xf>
    <xf numFmtId="0" fontId="10" fillId="0" borderId="0" xfId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1" fillId="4" borderId="0" xfId="0" applyFont="1" applyFill="1"/>
    <xf numFmtId="0" fontId="5" fillId="5" borderId="0" xfId="0" applyFont="1" applyFill="1"/>
    <xf numFmtId="0" fontId="5" fillId="0" borderId="0" xfId="0" applyFont="1" applyAlignment="1">
      <alignment horizontal="center"/>
    </xf>
    <xf numFmtId="0" fontId="12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5" fillId="0" borderId="0" xfId="0" applyFont="1" applyAlignment="1">
      <alignment horizontal="center" wrapText="1"/>
    </xf>
    <xf numFmtId="0" fontId="19" fillId="0" borderId="0" xfId="0" applyFont="1"/>
    <xf numFmtId="0" fontId="5" fillId="0" borderId="15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9" fillId="0" borderId="15" xfId="0" applyFont="1" applyBorder="1" applyAlignment="1">
      <alignment vertical="center" wrapText="1"/>
    </xf>
    <xf numFmtId="0" fontId="9" fillId="0" borderId="16" xfId="0" applyFont="1" applyBorder="1" applyAlignment="1">
      <alignment vertical="center" wrapText="1"/>
    </xf>
    <xf numFmtId="0" fontId="9" fillId="0" borderId="14" xfId="0" applyFont="1" applyBorder="1" applyAlignment="1">
      <alignment vertical="center" wrapText="1"/>
    </xf>
    <xf numFmtId="0" fontId="20" fillId="0" borderId="0" xfId="0" applyFont="1"/>
    <xf numFmtId="0" fontId="21" fillId="0" borderId="0" xfId="0" applyFont="1"/>
    <xf numFmtId="0" fontId="22" fillId="0" borderId="0" xfId="0" applyFont="1"/>
    <xf numFmtId="49" fontId="5" fillId="0" borderId="16" xfId="0" quotePrefix="1" applyNumberFormat="1" applyFont="1" applyBorder="1" applyAlignment="1">
      <alignment vertical="center" wrapText="1"/>
    </xf>
    <xf numFmtId="0" fontId="10" fillId="0" borderId="21" xfId="1" applyBorder="1" applyAlignment="1">
      <alignment vertical="center" wrapText="1"/>
    </xf>
    <xf numFmtId="49" fontId="2" fillId="0" borderId="4" xfId="0" applyNumberFormat="1" applyFont="1" applyBorder="1" applyAlignment="1">
      <alignment horizontal="center" vertical="center"/>
    </xf>
    <xf numFmtId="49" fontId="2" fillId="0" borderId="10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4" fillId="0" borderId="4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4" fontId="17" fillId="0" borderId="0" xfId="0" applyNumberFormat="1" applyFont="1" applyAlignment="1">
      <alignment horizontal="center"/>
    </xf>
    <xf numFmtId="0" fontId="17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14" fillId="6" borderId="16" xfId="0" applyFont="1" applyFill="1" applyBorder="1" applyAlignment="1">
      <alignment horizontal="center"/>
    </xf>
    <xf numFmtId="0" fontId="17" fillId="0" borderId="16" xfId="0" applyFont="1" applyBorder="1" applyAlignment="1">
      <alignment horizontal="center" vertical="center"/>
    </xf>
    <xf numFmtId="0" fontId="17" fillId="0" borderId="16" xfId="0" applyFont="1" applyBorder="1" applyAlignment="1">
      <alignment horizontal="left" vertical="center" wrapText="1"/>
    </xf>
    <xf numFmtId="0" fontId="17" fillId="0" borderId="17" xfId="0" applyFont="1" applyBorder="1" applyAlignment="1">
      <alignment horizontal="center" vertical="center"/>
    </xf>
    <xf numFmtId="0" fontId="17" fillId="0" borderId="18" xfId="0" applyFont="1" applyBorder="1" applyAlignment="1">
      <alignment horizontal="center" vertical="center"/>
    </xf>
    <xf numFmtId="0" fontId="17" fillId="0" borderId="19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8" fillId="6" borderId="16" xfId="0" applyFont="1" applyFill="1" applyBorder="1" applyAlignment="1">
      <alignment horizontal="right"/>
    </xf>
    <xf numFmtId="0" fontId="13" fillId="0" borderId="0" xfId="0" applyFont="1" applyAlignment="1">
      <alignment horizontal="left" vertical="center"/>
    </xf>
    <xf numFmtId="49" fontId="13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4" fillId="6" borderId="14" xfId="0" applyFont="1" applyFill="1" applyBorder="1" applyAlignment="1">
      <alignment horizontal="center"/>
    </xf>
    <xf numFmtId="0" fontId="14" fillId="6" borderId="21" xfId="0" applyFont="1" applyFill="1" applyBorder="1" applyAlignment="1">
      <alignment horizontal="center"/>
    </xf>
    <xf numFmtId="0" fontId="14" fillId="6" borderId="15" xfId="0" applyFont="1" applyFill="1" applyBorder="1" applyAlignment="1">
      <alignment horizontal="center"/>
    </xf>
  </cellXfs>
  <cellStyles count="2">
    <cellStyle name="Hipervínculo" xfId="1" builtinId="8"/>
    <cellStyle name="Normal" xfId="0" builtinId="0"/>
  </cellStyles>
  <dxfs count="47">
    <dxf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entury Gothic"/>
        <family val="2"/>
        <scheme val="none"/>
      </font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entury Gothic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entury Gothic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entury Gothic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entury Gothic"/>
        <family val="2"/>
        <scheme val="none"/>
      </font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vertAlign val="baseline"/>
        <sz val="11"/>
        <name val="Century Gothic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numFmt numFmtId="30" formatCode="@"/>
    </dxf>
    <dxf>
      <numFmt numFmtId="30" formatCode="@"/>
    </dxf>
  </dxfs>
  <tableStyles count="0" defaultTableStyle="TableStyleMedium2" defaultPivotStyle="PivotStyleLight16"/>
  <colors>
    <mruColors>
      <color rgb="FF609AB2"/>
      <color rgb="FF7BA8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533400</xdr:colOff>
      <xdr:row>9</xdr:row>
      <xdr:rowOff>179761</xdr:rowOff>
    </xdr:from>
    <xdr:to>
      <xdr:col>14</xdr:col>
      <xdr:colOff>727710</xdr:colOff>
      <xdr:row>27</xdr:row>
      <xdr:rowOff>121316</xdr:rowOff>
    </xdr:to>
    <xdr:pic macro="[0]!abrir">
      <xdr:nvPicPr>
        <xdr:cNvPr id="3" name="Imagen 2">
          <a:extLst>
            <a:ext uri="{FF2B5EF4-FFF2-40B4-BE49-F238E27FC236}">
              <a16:creationId xmlns:a16="http://schemas.microsoft.com/office/drawing/2014/main" id="{7CD814B2-5C3F-4EE0-AC81-EBE00A756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873240" y="1825681"/>
          <a:ext cx="4949190" cy="3233395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45721</xdr:colOff>
      <xdr:row>1</xdr:row>
      <xdr:rowOff>167640</xdr:rowOff>
    </xdr:from>
    <xdr:to>
      <xdr:col>28</xdr:col>
      <xdr:colOff>98165</xdr:colOff>
      <xdr:row>5</xdr:row>
      <xdr:rowOff>137160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043B455-FCCB-B0C9-8F82-314569E839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3301" y="342900"/>
          <a:ext cx="1515484" cy="70104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FEF0D1-003B-46A8-9805-C0E81A68A0C9}" name="bdpacientes" displayName="bdpacientes" ref="B4:L141" totalsRowShown="0">
  <autoFilter ref="B4:L141" xr:uid="{0BFEF0D1-003B-46A8-9805-C0E81A68A0C9}"/>
  <tableColumns count="11">
    <tableColumn id="1" xr3:uid="{43CE9DBB-FD6D-440B-B049-CF61FE23659F}" name="key"/>
    <tableColumn id="2" xr3:uid="{37FE3CC0-B130-4B31-8367-62D281DEF3DF}" name="nombres"/>
    <tableColumn id="3" xr3:uid="{75CD019C-C0DE-4BCD-A721-1C1145F3DE2C}" name="cedula" dataDxfId="46"/>
    <tableColumn id="4" xr3:uid="{0083AB67-67DE-4347-A21F-E64D79846633}" name="genero"/>
    <tableColumn id="5" xr3:uid="{4FC2D545-98B2-4AD6-A1FB-F5D2F47FE988}" name="fecha nacimiento"/>
    <tableColumn id="6" xr3:uid="{89391DDD-629A-463A-8F1B-AFC6FC15C5C4}" name="edad"/>
    <tableColumn id="7" xr3:uid="{592528CF-AD6D-4A1A-AA80-610E9641CE18}" name="telefono" dataDxfId="45"/>
    <tableColumn id="8" xr3:uid="{D7FFA01C-C987-4177-A3C4-0A56705FF622}" name="estado civil"/>
    <tableColumn id="9" xr3:uid="{AC80C396-71E0-41E9-B68F-1188A613F2AB}" name="ocupacion"/>
    <tableColumn id="10" xr3:uid="{E09DBA58-D54E-4E44-9A89-6DAC92C49E61}" name="observaciones"/>
    <tableColumn id="11" xr3:uid="{50FB3E6C-DC2D-43B8-ABF4-61608D2EE325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31C0061-F136-4DE7-800C-815DDFB9AC87}" name="bdconsulta" displayName="bdconsulta" ref="C4:EQ120" totalsRowShown="0">
  <autoFilter ref="C4:EQ120" xr:uid="{031C0061-F136-4DE7-800C-815DDFB9AC87}"/>
  <tableColumns count="145">
    <tableColumn id="1" xr3:uid="{3DB66072-3DD8-4FCB-BE09-3F1F4520106B}" name="key consulta"/>
    <tableColumn id="2" xr3:uid="{E4EF5F49-E01C-4A03-B82B-5DF32E02463C}" name="key paciente"/>
    <tableColumn id="3" xr3:uid="{AE74AA8F-CD8E-4948-8E74-734B0B25A868}" name="fecha"/>
    <tableColumn id="4" xr3:uid="{E4A9A431-6325-4374-8B9B-C35E01476256}" name="resumen consulta"/>
    <tableColumn id="5" xr3:uid="{ABB4C5DC-9814-44A2-B7AD-F11EA10D9286}" name="1"/>
    <tableColumn id="6" xr3:uid="{D1D5FD6C-67CA-4E76-BC02-2B90F6B34682}" name="2"/>
    <tableColumn id="7" xr3:uid="{72A90FA9-5A0F-453E-AA7D-B334C8848EF8}" name="3"/>
    <tableColumn id="8" xr3:uid="{89E23A99-B274-46E6-B73F-C9CB333AD2BA}" name="4"/>
    <tableColumn id="9" xr3:uid="{78E1DFD2-A1EE-4478-9EFE-52747607CA22}" name="5"/>
    <tableColumn id="10" xr3:uid="{A3DBF050-EFB5-493D-A795-955522DFFE6C}" name="6"/>
    <tableColumn id="11" xr3:uid="{1EA75B70-E37B-49EB-BDA1-64B2AF1B8270}" name="7"/>
    <tableColumn id="12" xr3:uid="{D1FC7904-0510-47DD-ACA0-31BF2B9473D1}" name="8"/>
    <tableColumn id="13" xr3:uid="{932247FC-889E-40B2-A12F-E5528B0D6FA3}" name="9"/>
    <tableColumn id="14" xr3:uid="{4CDF20F7-F724-488E-A049-986DDB5EAE34}" name="10"/>
    <tableColumn id="15" xr3:uid="{B5926C1E-0D67-4775-933A-3D12DF721DA4}" name="11"/>
    <tableColumn id="16" xr3:uid="{D17B79DC-E88A-458A-835B-FB83623F2C66}" name="12"/>
    <tableColumn id="17" xr3:uid="{796DE214-09A3-4270-A25E-759B2421A7F4}" name="13"/>
    <tableColumn id="18" xr3:uid="{52D69DCD-8942-4A46-A909-F8BCCFF7DA58}" name="14"/>
    <tableColumn id="19" xr3:uid="{4E070E09-D043-4BC0-8290-E12F3A89BD43}" name="15"/>
    <tableColumn id="20" xr3:uid="{65330569-87BF-4BF7-BB23-22FB8F59AEC5}" name="16"/>
    <tableColumn id="21" xr3:uid="{8ADEF91A-5AE6-4E5C-A680-CCBCF505EB2D}" name="17"/>
    <tableColumn id="22" xr3:uid="{FA85F9FA-2FD1-4986-8EA7-71B1DDAE7A31}" name="18"/>
    <tableColumn id="23" xr3:uid="{C639BBD1-3B3E-4B06-9D4B-567096D6588C}" name="19"/>
    <tableColumn id="24" xr3:uid="{2EE8819B-E53A-4A43-BA8D-BC0891970CBC}" name="20"/>
    <tableColumn id="25" xr3:uid="{858F1EB3-6E09-4862-8FE2-7A49B341B777}" name="21"/>
    <tableColumn id="26" xr3:uid="{6C0E90B2-D5AD-4766-B2C3-01BD9EF032BE}" name="22"/>
    <tableColumn id="27" xr3:uid="{8B349040-0DB2-4327-B74B-FADCF0CF8C60}" name="23"/>
    <tableColumn id="28" xr3:uid="{BF6F3144-E554-4D9F-8145-C2F4614BE274}" name="24"/>
    <tableColumn id="29" xr3:uid="{D2D748E1-03F0-4298-8D86-1F62AF2BA567}" name="25"/>
    <tableColumn id="30" xr3:uid="{A5E82519-DB58-487D-8DCE-0D8E65778C94}" name="26"/>
    <tableColumn id="31" xr3:uid="{532A8E7B-CCB5-4B30-829D-CFD769B996B8}" name="27"/>
    <tableColumn id="32" xr3:uid="{52B14968-FE52-4EEA-A9C7-EF98E3F2CD59}" name="28"/>
    <tableColumn id="33" xr3:uid="{0792CD64-43D9-4151-BF4F-43CF6AE3B0B6}" name="29"/>
    <tableColumn id="34" xr3:uid="{E838021F-A3D3-445C-95E4-D93BD1030BA0}" name="30"/>
    <tableColumn id="35" xr3:uid="{73A0ED60-6301-4233-84C3-D0C497D2E887}" name="31"/>
    <tableColumn id="36" xr3:uid="{284352D4-4446-4DB8-A41D-7337137249D8}" name="32"/>
    <tableColumn id="37" xr3:uid="{075FDDEF-D345-41AE-836B-94E1BA055642}" name="33"/>
    <tableColumn id="38" xr3:uid="{0B38FB41-1392-4C90-95D7-F30330C44B3F}" name="34"/>
    <tableColumn id="39" xr3:uid="{49958E71-38B7-4CBE-BC9E-94FE46B3E029}" name="35"/>
    <tableColumn id="40" xr3:uid="{0B936F72-E936-4EBA-AA1F-F615443E2476}" name="36"/>
    <tableColumn id="41" xr3:uid="{A24CEB4B-79ED-4601-8A92-D3764C1D8C68}" name="37"/>
    <tableColumn id="42" xr3:uid="{AD3FFC91-E868-43DC-B71C-D6944583E434}" name="38"/>
    <tableColumn id="43" xr3:uid="{A0CA3848-CB2F-4B8C-89AC-67825DF76685}" name="39"/>
    <tableColumn id="44" xr3:uid="{B3B4A5DE-AD44-406C-AF6A-B64C3C7B7D25}" name="40"/>
    <tableColumn id="45" xr3:uid="{1F027AEC-02BE-4F5E-9727-EED29381F9FE}" name="41"/>
    <tableColumn id="46" xr3:uid="{1AD0D9F4-096B-405C-A588-953411D03A67}" name="42"/>
    <tableColumn id="47" xr3:uid="{09FE73F0-639C-4552-ABA7-D2B66B5088C6}" name="43"/>
    <tableColumn id="48" xr3:uid="{59180926-5689-4EAA-AC69-4F9FA6BFE98C}" name="44"/>
    <tableColumn id="49" xr3:uid="{DC4A7FAE-FF7A-419F-96BD-EBBFD7EAFF23}" name="45"/>
    <tableColumn id="50" xr3:uid="{D58F668A-E43A-4D06-97E9-30B56E02548E}" name="46"/>
    <tableColumn id="51" xr3:uid="{2D31FE3E-2670-4F4D-8890-71221228A0D2}" name="47"/>
    <tableColumn id="52" xr3:uid="{6A0F04BC-616E-4CBE-A982-A88BD3069CA6}" name="48"/>
    <tableColumn id="53" xr3:uid="{50A09C02-49ED-4898-8695-702C3F1C12F5}" name="49"/>
    <tableColumn id="54" xr3:uid="{2961A2DF-A849-49A7-B2BC-0A382238FE96}" name="50"/>
    <tableColumn id="55" xr3:uid="{3DAF39AF-6743-408C-9A91-752C55CC02A2}" name="51"/>
    <tableColumn id="56" xr3:uid="{83EA079F-F916-4EAC-AD26-A25D7F028F85}" name="52"/>
    <tableColumn id="57" xr3:uid="{E95EA7E1-6C06-48FB-B8AE-5FF96DA48C6C}" name="53"/>
    <tableColumn id="58" xr3:uid="{053D9372-0640-4B7F-98F0-F1DD3AFAAF74}" name="54"/>
    <tableColumn id="59" xr3:uid="{BFC94E2B-538D-4782-AD14-A41EAC51A1A5}" name="55"/>
    <tableColumn id="60" xr3:uid="{F88F2AAC-0796-460D-BD14-2F639CA3EA52}" name="56"/>
    <tableColumn id="61" xr3:uid="{83C392EB-F005-4597-9D0D-2C8556130C97}" name="57"/>
    <tableColumn id="62" xr3:uid="{3242C49E-4399-46B9-ABA3-C3102A059B82}" name="58"/>
    <tableColumn id="63" xr3:uid="{5CE130CB-14AD-48D0-BD51-D20B3D66E62A}" name="59"/>
    <tableColumn id="64" xr3:uid="{1A4D8408-CA1C-4E96-96F0-B26DC1699000}" name="60"/>
    <tableColumn id="65" xr3:uid="{4431F9CF-4B6B-4E89-BD04-A159BD51F3EC}" name="61"/>
    <tableColumn id="66" xr3:uid="{EAC0A0E0-535E-48D4-AF06-A7CCAFF7928A}" name="62"/>
    <tableColumn id="67" xr3:uid="{5BFF82CC-A2EB-4F29-9733-807C663D79E4}" name="63"/>
    <tableColumn id="68" xr3:uid="{D2BF3C69-4332-44D7-9EF3-EB933D02F388}" name="64"/>
    <tableColumn id="69" xr3:uid="{FE3D2784-BA9B-4685-AD5C-E15780D9575A}" name="65"/>
    <tableColumn id="70" xr3:uid="{7F0F6D39-1682-4715-B2D4-15434EFA7E67}" name="66"/>
    <tableColumn id="71" xr3:uid="{4FC3CF97-E278-429E-801A-E67C165F925A}" name="67"/>
    <tableColumn id="72" xr3:uid="{7419B815-6BAF-4414-A3E1-90A44F0F66CB}" name="68"/>
    <tableColumn id="73" xr3:uid="{BCEAF558-5822-43F9-A6F2-1D07FE94C312}" name="69"/>
    <tableColumn id="74" xr3:uid="{E9F0CDAD-4FCE-4A39-9D03-24A65E9B8985}" name="70"/>
    <tableColumn id="75" xr3:uid="{48818043-E7A4-4700-8EF7-B979C7FC0496}" name="71"/>
    <tableColumn id="76" xr3:uid="{43E6AF44-150F-48E6-8505-F3D8DBB50B27}" name="72"/>
    <tableColumn id="77" xr3:uid="{EBAE242C-38A4-41B1-835A-60D8AD67469D}" name="73"/>
    <tableColumn id="78" xr3:uid="{05155C0D-E6C5-458E-9F0F-2BD6B2E0C706}" name="74"/>
    <tableColumn id="79" xr3:uid="{9135F47B-1B9F-4375-9FB6-370D97F60207}" name="75"/>
    <tableColumn id="80" xr3:uid="{F1048EDF-9E39-41FD-AC2E-05082531CBF8}" name="76"/>
    <tableColumn id="81" xr3:uid="{8E5DA5B6-CA12-42FE-9FD6-98D4EE18A6B4}" name="77"/>
    <tableColumn id="82" xr3:uid="{AA1032D5-3588-4B7E-BA45-685BF04C81A8}" name="78"/>
    <tableColumn id="83" xr3:uid="{57B1A12E-1C28-46EC-8ADB-D1F57EB4C797}" name="79"/>
    <tableColumn id="84" xr3:uid="{7C0DEC20-E4F7-40E8-A5F5-36E1F2AF4882}" name="80"/>
    <tableColumn id="85" xr3:uid="{82B17D01-0A08-48FE-87AC-75542B9ED460}" name="81"/>
    <tableColumn id="86" xr3:uid="{06B28879-983E-4AB3-874B-DA16793D65D3}" name="82"/>
    <tableColumn id="87" xr3:uid="{ABFE2E8B-3258-4947-96F8-A7DE6EBC0DE0}" name="83"/>
    <tableColumn id="88" xr3:uid="{B421103B-87C5-4AC7-984F-89ECCA85B4C6}" name="84"/>
    <tableColumn id="89" xr3:uid="{56317275-9704-4096-8F69-B07066031297}" name="85"/>
    <tableColumn id="90" xr3:uid="{DC0B9CBE-0E80-414C-BF3A-5CC818B54340}" name="86"/>
    <tableColumn id="91" xr3:uid="{97809A17-C81C-45FC-AE69-B64BCB48B0EE}" name="87"/>
    <tableColumn id="92" xr3:uid="{9D0634ED-5052-43B6-B845-1090A4EB54A0}" name="88"/>
    <tableColumn id="93" xr3:uid="{5D14E892-7A26-4C78-B895-BF87179C6FF9}" name="89"/>
    <tableColumn id="94" xr3:uid="{3B7A3BCA-8438-42B5-A5B4-3049BF46B95E}" name="90"/>
    <tableColumn id="95" xr3:uid="{9DAE3C39-A225-4F06-94FA-D33BE7F14A76}" name="91"/>
    <tableColumn id="96" xr3:uid="{9DBB15D7-6774-4071-BFC2-5DE0E5790369}" name="92"/>
    <tableColumn id="97" xr3:uid="{8F1FF101-4062-40B0-867E-041765D31FFA}" name="93"/>
    <tableColumn id="98" xr3:uid="{7D43AAAA-4CE8-458A-9DA3-1D3DADBDDF99}" name="94"/>
    <tableColumn id="99" xr3:uid="{73C74917-5877-4963-90D4-80B99BB03013}" name="95"/>
    <tableColumn id="100" xr3:uid="{FD164D98-3438-4CD0-A2D6-C5062299B572}" name="96"/>
    <tableColumn id="101" xr3:uid="{804620D5-4004-42E5-A851-03FA8413232A}" name="97"/>
    <tableColumn id="102" xr3:uid="{A84ADA41-2D0F-44FB-8416-A2C531292ED4}" name="98"/>
    <tableColumn id="103" xr3:uid="{E37DC251-F1B4-4BA1-B082-260B764EB8DC}" name="99"/>
    <tableColumn id="104" xr3:uid="{7469523B-959B-4633-89A4-2A6134BA3DF8}" name="100"/>
    <tableColumn id="105" xr3:uid="{CA0BC064-98DD-4F58-9BB0-95100A62F87E}" name="101"/>
    <tableColumn id="106" xr3:uid="{9A37D937-20B3-4812-8461-C326FB34DEDC}" name="102"/>
    <tableColumn id="107" xr3:uid="{1C35C078-0CFB-4B85-95FA-C349D5C57531}" name="103"/>
    <tableColumn id="108" xr3:uid="{5958B4BD-EE20-4C8D-8E83-54822E37AB12}" name="104"/>
    <tableColumn id="109" xr3:uid="{1CCB88B3-AE44-47C4-AB4B-ECD3A59D4520}" name="105"/>
    <tableColumn id="110" xr3:uid="{BBF9D6CB-D019-499C-8931-AD2DF93A42D8}" name="106"/>
    <tableColumn id="111" xr3:uid="{1870B79C-2485-42B9-B30C-47EB4D821570}" name="107"/>
    <tableColumn id="112" xr3:uid="{931355BB-97CB-41C6-BD3C-1A6AC8417D15}" name="108"/>
    <tableColumn id="113" xr3:uid="{125DE718-C23D-4C13-AD3C-46C5FCA6C6FE}" name="109"/>
    <tableColumn id="114" xr3:uid="{B829CE46-7F5F-432C-8D7A-802A73193CCD}" name="110"/>
    <tableColumn id="115" xr3:uid="{E23EC396-043F-4B9C-960B-3559BA3F859B}" name="111"/>
    <tableColumn id="116" xr3:uid="{E6727302-EF48-4437-A2BD-03DAFD3B640B}" name="112"/>
    <tableColumn id="117" xr3:uid="{5B2A8FB7-7361-403F-95CC-D898EEEFACEB}" name="113"/>
    <tableColumn id="118" xr3:uid="{8089E172-FA24-432E-8AFC-2E80021B1BC4}" name="orden"/>
    <tableColumn id="119" xr3:uid="{5CAC1AE0-D573-4368-9BF3-05D57F8028AB}" name="orden2"/>
    <tableColumn id="120" xr3:uid="{00F96B4E-4A1D-47D1-B85C-751220519F6C}" name="s"/>
    <tableColumn id="121" xr3:uid="{C3584273-F7EA-4734-83B3-F15CEF640F9F}" name="s2"/>
    <tableColumn id="122" xr3:uid="{E164E9BE-D0E1-4D8D-B6D3-9F831D5F02D8}" name="s3"/>
    <tableColumn id="123" xr3:uid="{63C0066E-3043-4C2F-9E0D-B9650642FCA1}" name="s4"/>
    <tableColumn id="124" xr3:uid="{872B24B2-414A-4B23-86A9-235A99C8084E}" name="s5"/>
    <tableColumn id="125" xr3:uid="{757A9D1C-F3A6-4CF7-8AFF-1165E48BFCC7}" name="s6"/>
    <tableColumn id="126" xr3:uid="{E357BBF0-7CF1-4EFF-A9DD-88B09B0BB37C}" name="s7"/>
    <tableColumn id="127" xr3:uid="{309A1064-5857-4F86-8673-079C2BE32943}" name="s8"/>
    <tableColumn id="128" xr3:uid="{A37116D2-A045-4236-BBCD-52A9AFA36BF6}" name="s9"/>
    <tableColumn id="129" xr3:uid="{B8AEFD02-FF8B-4A1C-828F-09B4F418F543}" name="s10"/>
    <tableColumn id="130" xr3:uid="{20E0E14C-BDB3-4532-AFAF-86FC177086AC}" name="s11"/>
    <tableColumn id="131" xr3:uid="{C71BC744-D07A-4D68-BF98-33ED6988E7BB}" name="s12"/>
    <tableColumn id="132" xr3:uid="{A4AD147D-0674-4461-8839-FFAFD248B8BF}" name="s13"/>
    <tableColumn id="133" xr3:uid="{C9A1A3B9-D095-4BB4-8A54-947121EAFF8D}" name="s14"/>
    <tableColumn id="134" xr3:uid="{9B706508-EF4A-4468-9782-EDDFAEE8276E}" name="s15"/>
    <tableColumn id="135" xr3:uid="{0EE39834-F757-4CB2-95ED-DFC0C2D00C62}" name="s16"/>
    <tableColumn id="136" xr3:uid="{B58E5267-BA78-4E4B-AF36-DC15B7392122}" name="s17"/>
    <tableColumn id="137" xr3:uid="{114DEE94-0A6C-4680-830F-599581498122}" name="s18"/>
    <tableColumn id="138" xr3:uid="{0251141F-42C0-44B3-B1C2-96C9CCF29602}" name="Ordenx"/>
    <tableColumn id="139" xr3:uid="{D764E75E-D144-414E-A4EB-E18E2F5ECE6D}" name="."/>
    <tableColumn id="140" xr3:uid="{4BD73CAC-CED1-4261-B76C-0CE5FB4FDB04}" name=".2"/>
    <tableColumn id="141" xr3:uid="{CE24BECF-B78E-4538-A3CF-D1CB98874CF8}" name="Ruta contactogia"/>
    <tableColumn id="142" xr3:uid="{1107B7C4-F79F-4FA9-A766-789BEAA595A9}" name="ruta Lenteconenvciona"/>
    <tableColumn id="143" xr3:uid="{062290B1-7D4C-4362-8332-F8DF826083A5}" name="Estado de envió"/>
    <tableColumn id="144" xr3:uid="{1CE6CAF3-3318-4FAA-AD13-1C36A17E1186}" name="contactologia enviado"/>
    <tableColumn id="145" xr3:uid="{73F20C7E-68D4-4A1E-9817-978F4FD21C87}" name="convencional enviad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1E03323-749B-455E-8DE3-2695E807B4B1}" name="cabezaventas" displayName="cabezaventas" ref="C4:M95" totalsRowShown="0" headerRowDxfId="44" dataDxfId="43">
  <autoFilter ref="C4:M95" xr:uid="{21E03323-749B-455E-8DE3-2695E807B4B1}"/>
  <tableColumns count="11">
    <tableColumn id="1" xr3:uid="{BDB9378A-9837-4500-B4FC-F55A1CAFA540}" name="keyVenta" dataDxfId="42"/>
    <tableColumn id="2" xr3:uid="{EC667EDB-FC5D-4613-BDB0-3F0A5CA3BA19}" name="fecha" dataDxfId="41"/>
    <tableColumn id="3" xr3:uid="{9B7ECBB2-AF31-49E4-A972-7E375FCC917A}" name="key cliente" dataDxfId="40"/>
    <tableColumn id="4" xr3:uid="{7489D794-9A13-4225-8F55-CFF87B246F42}" name="n de productos" dataDxfId="39"/>
    <tableColumn id="5" xr3:uid="{4337AA90-C87A-4244-80FE-D1910F96AB66}" name="subtotal" dataDxfId="38"/>
    <tableColumn id="6" xr3:uid="{E8719148-CB79-423E-A17D-E971E6D66887}" name="descuento" dataDxfId="37"/>
    <tableColumn id="7" xr3:uid="{CC19FE6C-2107-44F1-9CAF-A50FB603D4F1}" name="total" dataDxfId="36"/>
    <tableColumn id="10" xr3:uid="{DD0E6DB4-D43D-4453-9C56-3546B77EA176}" name="Cobrado" dataDxfId="35"/>
    <tableColumn id="11" xr3:uid="{142B9286-20D2-4FA1-B5A1-97767C88318A}" name="pendiente" dataDxfId="34"/>
    <tableColumn id="8" xr3:uid="{81DE7141-5090-40EE-99F7-2F53267AA8DB}" name="metodo de pago" dataDxfId="33"/>
    <tableColumn id="9" xr3:uid="{A46DBD82-C47F-4905-8D52-CCD8969F90DE}" name="estado" dataDxfId="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551EB19-0B72-4C04-8EC6-F6CA23885B7C}" name="cuerpoVentas" displayName="cuerpoVentas" ref="C5:H204" totalsRowShown="0">
  <autoFilter ref="C5:H204" xr:uid="{A551EB19-0B72-4C04-8EC6-F6CA23885B7C}"/>
  <tableColumns count="6">
    <tableColumn id="1" xr3:uid="{874DEADA-B976-43DB-BCC8-212E00E8FFC3}" name="key venta"/>
    <tableColumn id="2" xr3:uid="{A7DC5637-83AF-4A5F-9C64-0F820F9E03A4}" name="key producto"/>
    <tableColumn id="3" xr3:uid="{852F5D9B-1D46-4CE9-864D-B93F3FA43F75}" name="precio"/>
    <tableColumn id="4" xr3:uid="{73EA39E3-D501-40E1-B565-0DCFA09A5661}" name="cant"/>
    <tableColumn id="5" xr3:uid="{54BA1519-2ED7-4D35-9A5D-6D3C6BB54D44}" name="desct"/>
    <tableColumn id="6" xr3:uid="{2C17D941-0AD1-4980-B586-C917E0D54A1B}" name="subtota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A84FFBE-FAED-46C0-83F7-8380AF8451C2}" name="cxc" displayName="cxc" ref="D7:K84" totalsRowShown="0">
  <autoFilter ref="D7:K84" xr:uid="{AA84FFBE-FAED-46C0-83F7-8380AF8451C2}"/>
  <tableColumns count="8">
    <tableColumn id="1" xr3:uid="{297E8D50-EE1A-413B-9F37-88976E0DD1D6}" name="key"/>
    <tableColumn id="8" xr3:uid="{ECA7C5B6-3D80-4E46-B66B-B727FEC623F7}" name="fecha"/>
    <tableColumn id="2" xr3:uid="{71DAA240-F0CC-403F-A5D8-9DDAF2ACD5C5}" name="keyCliente"/>
    <tableColumn id="3" xr3:uid="{72BE155B-E630-4A82-8EB3-9E7DA710CD7D}" name="keyVenta"/>
    <tableColumn id="4" xr3:uid="{5A6C8966-66EF-44DA-9D2A-D3187BDB4AE9}" name="Total Deuda"/>
    <tableColumn id="5" xr3:uid="{2A41B411-EA68-4E66-B854-907B1C8FCD38}" name="Abono"/>
    <tableColumn id="6" xr3:uid="{D6E866D2-3655-45EA-9AFE-420E21043C91}" name="Saldo Pendiente"/>
    <tableColumn id="7" xr3:uid="{FC179A76-FF0F-4B96-8BEB-0D95357D2672}" name="Concept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0151186-4049-4C2E-8A02-CE89CD4F85B7}" name="bdIngresos" displayName="bdIngresos" ref="B5:H108" totalsRowShown="0">
  <autoFilter ref="B5:H108" xr:uid="{80151186-4049-4C2E-8A02-CE89CD4F85B7}"/>
  <tableColumns count="7">
    <tableColumn id="1" xr3:uid="{B8DDD7C4-39E5-40E5-8CB7-A12348AA63B3}" name="keyIngreso"/>
    <tableColumn id="2" xr3:uid="{A7F6AAA0-1CA3-484F-9CC2-6CD67B74B6F6}" name="foreign key venta"/>
    <tableColumn id="3" xr3:uid="{B5E3404F-B982-4BCA-B7DE-6860E37C38D5}" name="fecha">
      <calculatedColumnFormula>TODAY()</calculatedColumnFormula>
    </tableColumn>
    <tableColumn id="4" xr3:uid="{997B4506-656C-44E3-8567-ADE813125BAB}" name="cliente"/>
    <tableColumn id="6" xr3:uid="{A4427B16-5ADE-4C71-9C2C-D79693CECFB0}" name="metodo de pago"/>
    <tableColumn id="7" xr3:uid="{36A0C3A6-AC4B-43D9-8B45-1DBC0CD6FEC3}" name="monto"/>
    <tableColumn id="5" xr3:uid="{3BB80377-DDDF-4BDE-B838-40B5B27D1124}" name="concept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0D252B5-2E32-4A06-8D0E-344002304722}" name="inventario" displayName="inventario" ref="C3:H119" totalsRowShown="0" headerRowDxfId="31" dataDxfId="29" headerRowBorderDxfId="30" tableBorderDxfId="28" totalsRowBorderDxfId="27">
  <autoFilter ref="C3:H119" xr:uid="{F610D243-9D4B-4DF3-837D-DEB8A547816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2" xr3:uid="{3F2414A6-9651-4683-B9C9-6E708030A6B0}" name="código" dataDxfId="26"/>
    <tableColumn id="3" xr3:uid="{C6D20A72-2D49-4BBF-8C3D-AEC70BA27EE1}" name="nombre del producto" dataDxfId="25"/>
    <tableColumn id="7" xr3:uid="{E6261AE2-3771-465D-A0A9-E8C64B9C9370}" name="Precio" dataDxfId="24"/>
    <tableColumn id="4" xr3:uid="{36323390-D2A6-439F-8909-490812675358}" name="entradas" dataDxfId="23"/>
    <tableColumn id="5" xr3:uid="{E4FE5533-D11E-4970-8A7F-665971DCD563}" name="salidas" dataDxfId="22"/>
    <tableColumn id="6" xr3:uid="{AF8DAF31-E666-497E-A625-A8A71B822AA2}" name="existencias" dataDxfId="21">
      <calculatedColumnFormula>inventario[[#This Row],[entradas]]-inventario[[#This Row],[salidas]]</calculatedColumnFormula>
    </tableColumn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2D28E99-AE97-4F05-AC26-047188577A24}" name="entradas" displayName="entradas" ref="C8:H14" totalsRowShown="0" headerRowDxfId="20" dataDxfId="18" headerRowBorderDxfId="19" tableBorderDxfId="17" totalsRowBorderDxfId="16">
  <autoFilter ref="C8:H14" xr:uid="{4AF6C425-BC98-40C5-9A37-D92FFEB7516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14273313-309A-4C1B-A227-CB4773DB5720}" name="item" dataDxfId="15"/>
    <tableColumn id="6" xr3:uid="{82EA9BA2-BEDB-49E5-AB36-FC2A273995EA}" name="fecha" dataDxfId="14"/>
    <tableColumn id="2" xr3:uid="{CAF89E25-1EE2-42C0-8B2D-7EFC09423101}" name="key producto" dataDxfId="13"/>
    <tableColumn id="3" xr3:uid="{6674ABC2-B9E4-4549-9423-AF0FE1FD152C}" name="cantidad" dataDxfId="12"/>
    <tableColumn id="4" xr3:uid="{E20227EC-9346-4DA3-A12A-478B0BF53020}" name="provedor" dataDxfId="11"/>
    <tableColumn id="5" xr3:uid="{4251448F-F55E-4F78-B4AC-6FF176792C7B}" name="responsable" dataDxfId="10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745D209-B34E-4E89-93A2-69056EA24ACC}" name="bdlabs" displayName="bdlabs" ref="C5:G9" totalsRowShown="0" headerRowDxfId="9" dataDxfId="7" headerRowBorderDxfId="8" tableBorderDxfId="6" totalsRowBorderDxfId="5">
  <autoFilter ref="C5:G9" xr:uid="{8C97A3E5-683C-4193-A9A1-A44A6A652A8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D0865284-03D7-41E4-A2CC-F933243B3B5F}" name="key laboratorio" dataDxfId="4"/>
    <tableColumn id="2" xr3:uid="{61947351-A70C-4227-A0CE-5849B247475B}" name="nombre" dataDxfId="3"/>
    <tableColumn id="3" xr3:uid="{068EC5C4-BDE5-4884-BC8A-F700215BD846}" name="direccion" dataDxfId="2"/>
    <tableColumn id="4" xr3:uid="{4A9A700B-167B-4EF1-9924-70BCBF1C62EC}" name="telefono" dataDxfId="1"/>
    <tableColumn id="5" xr3:uid="{835A1095-F178-46F8-B480-A76867FFC179}" name="correo electronico" dataDxfId="0" dataCellStyle="Hipervínculo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16A05E3-7179-4B4A-A586-95C112B0FA46}" name="Soltero" displayName="Soltero" ref="G1:G11" totalsRowShown="0">
  <autoFilter ref="G1:G11" xr:uid="{716A05E3-7179-4B4A-A586-95C112B0FA46}"/>
  <tableColumns count="1">
    <tableColumn id="1" xr3:uid="{37DCFF2A-787F-4A27-92A3-5EF347CF371E}" name="Estado Civi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5D3B5C-E432-4458-8401-DDE3985F7945}" name="genero" displayName="genero" ref="I1:I6" totalsRowShown="0">
  <autoFilter ref="I1:I6" xr:uid="{C25D3B5C-E432-4458-8401-DDE3985F7945}"/>
  <tableColumns count="1">
    <tableColumn id="1" xr3:uid="{6A4EDDE1-62BE-4C30-AAD9-039CBF025576}" name="Gene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C19DE-066D-4A41-8811-6DA13BF8878C}">
  <sheetPr codeName="Hoja1"/>
  <dimension ref="B3:L141"/>
  <sheetViews>
    <sheetView workbookViewId="0">
      <selection activeCell="A5" sqref="A5:XFD5"/>
    </sheetView>
  </sheetViews>
  <sheetFormatPr baseColWidth="10" defaultRowHeight="14.4" x14ac:dyDescent="0.3"/>
  <cols>
    <col min="6" max="6" width="18" customWidth="1"/>
    <col min="9" max="9" width="12.6640625" customWidth="1"/>
    <col min="10" max="10" width="12.109375" customWidth="1"/>
    <col min="11" max="11" width="15.44140625" customWidth="1"/>
  </cols>
  <sheetData>
    <row r="3" spans="2:12" x14ac:dyDescent="0.3"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</row>
    <row r="4" spans="2:12" x14ac:dyDescent="0.3">
      <c r="B4" t="s">
        <v>1</v>
      </c>
      <c r="C4" t="s">
        <v>2</v>
      </c>
      <c r="D4" t="s">
        <v>3</v>
      </c>
      <c r="E4" t="s">
        <v>4</v>
      </c>
      <c r="F4" t="s">
        <v>5</v>
      </c>
      <c r="G4" t="s">
        <v>6</v>
      </c>
      <c r="H4" t="s">
        <v>7</v>
      </c>
      <c r="I4" t="s">
        <v>8</v>
      </c>
      <c r="J4" t="s">
        <v>9</v>
      </c>
      <c r="K4" t="s">
        <v>10</v>
      </c>
      <c r="L4" t="s">
        <v>198</v>
      </c>
    </row>
    <row r="5" spans="2:12" x14ac:dyDescent="0.3">
      <c r="B5" t="s">
        <v>283</v>
      </c>
      <c r="C5" t="s">
        <v>284</v>
      </c>
      <c r="D5" s="9" t="s">
        <v>285</v>
      </c>
      <c r="E5" t="s">
        <v>23</v>
      </c>
      <c r="F5" s="8">
        <v>21887</v>
      </c>
      <c r="G5">
        <v>66</v>
      </c>
      <c r="H5" s="9" t="s">
        <v>737</v>
      </c>
    </row>
    <row r="6" spans="2:12" x14ac:dyDescent="0.3">
      <c r="B6" t="s">
        <v>286</v>
      </c>
      <c r="C6" t="s">
        <v>287</v>
      </c>
      <c r="D6" s="9" t="s">
        <v>288</v>
      </c>
      <c r="E6" t="s">
        <v>24</v>
      </c>
      <c r="F6" s="8">
        <v>35226</v>
      </c>
      <c r="G6">
        <v>29</v>
      </c>
      <c r="H6" s="9" t="s">
        <v>361</v>
      </c>
      <c r="K6" t="s">
        <v>289</v>
      </c>
    </row>
    <row r="7" spans="2:12" x14ac:dyDescent="0.3">
      <c r="B7" t="s">
        <v>346</v>
      </c>
      <c r="C7" t="s">
        <v>347</v>
      </c>
      <c r="D7" s="9"/>
      <c r="E7" t="s">
        <v>23</v>
      </c>
      <c r="F7" s="8">
        <v>38992</v>
      </c>
      <c r="G7">
        <v>19</v>
      </c>
      <c r="H7" s="9" t="s">
        <v>348</v>
      </c>
      <c r="I7" t="s">
        <v>12</v>
      </c>
    </row>
    <row r="8" spans="2:12" x14ac:dyDescent="0.3">
      <c r="B8" t="s">
        <v>362</v>
      </c>
      <c r="C8" t="s">
        <v>366</v>
      </c>
      <c r="D8" s="9" t="s">
        <v>363</v>
      </c>
      <c r="E8" t="s">
        <v>23</v>
      </c>
      <c r="F8" s="8" t="s">
        <v>364</v>
      </c>
      <c r="G8">
        <v>62</v>
      </c>
      <c r="H8" s="9" t="s">
        <v>365</v>
      </c>
      <c r="I8" t="s">
        <v>14</v>
      </c>
    </row>
    <row r="9" spans="2:12" x14ac:dyDescent="0.3">
      <c r="B9" t="s">
        <v>371</v>
      </c>
      <c r="C9" t="s">
        <v>372</v>
      </c>
      <c r="D9" s="9" t="s">
        <v>373</v>
      </c>
      <c r="E9" t="s">
        <v>23</v>
      </c>
      <c r="F9" s="8" t="s">
        <v>374</v>
      </c>
      <c r="G9">
        <v>21</v>
      </c>
      <c r="H9" s="9" t="s">
        <v>375</v>
      </c>
      <c r="I9" t="s">
        <v>12</v>
      </c>
      <c r="J9" t="s">
        <v>376</v>
      </c>
    </row>
    <row r="10" spans="2:12" x14ac:dyDescent="0.3">
      <c r="B10" t="s">
        <v>421</v>
      </c>
      <c r="C10" t="s">
        <v>505</v>
      </c>
      <c r="D10" s="9" t="s">
        <v>422</v>
      </c>
      <c r="E10" t="s">
        <v>24</v>
      </c>
      <c r="F10" s="8" t="s">
        <v>423</v>
      </c>
      <c r="G10">
        <v>20</v>
      </c>
      <c r="H10" s="9" t="s">
        <v>424</v>
      </c>
      <c r="I10" t="s">
        <v>12</v>
      </c>
      <c r="K10" t="s">
        <v>425</v>
      </c>
    </row>
    <row r="11" spans="2:12" x14ac:dyDescent="0.3">
      <c r="B11" t="s">
        <v>451</v>
      </c>
      <c r="C11" t="s">
        <v>452</v>
      </c>
      <c r="D11" s="9"/>
      <c r="E11" t="s">
        <v>23</v>
      </c>
      <c r="F11" s="8"/>
      <c r="H11" s="9" t="s">
        <v>453</v>
      </c>
    </row>
    <row r="12" spans="2:12" x14ac:dyDescent="0.3">
      <c r="B12" t="s">
        <v>462</v>
      </c>
      <c r="C12" t="s">
        <v>463</v>
      </c>
      <c r="D12" s="9"/>
      <c r="E12" t="s">
        <v>24</v>
      </c>
      <c r="F12" s="8"/>
      <c r="H12" s="9" t="s">
        <v>464</v>
      </c>
    </row>
    <row r="13" spans="2:12" x14ac:dyDescent="0.3">
      <c r="B13" t="s">
        <v>470</v>
      </c>
      <c r="C13" t="s">
        <v>471</v>
      </c>
      <c r="D13" s="9" t="s">
        <v>472</v>
      </c>
      <c r="E13" t="s">
        <v>24</v>
      </c>
      <c r="F13" s="8" t="s">
        <v>480</v>
      </c>
      <c r="G13">
        <v>48</v>
      </c>
      <c r="H13" s="9" t="s">
        <v>473</v>
      </c>
      <c r="I13" t="s">
        <v>14</v>
      </c>
      <c r="J13" t="s">
        <v>474</v>
      </c>
    </row>
    <row r="14" spans="2:12" x14ac:dyDescent="0.3">
      <c r="B14" t="s">
        <v>475</v>
      </c>
      <c r="C14" t="s">
        <v>476</v>
      </c>
      <c r="D14" s="9" t="s">
        <v>477</v>
      </c>
      <c r="E14" t="s">
        <v>24</v>
      </c>
      <c r="F14" s="8">
        <v>30505</v>
      </c>
      <c r="G14">
        <v>42</v>
      </c>
      <c r="H14" s="9" t="s">
        <v>478</v>
      </c>
      <c r="I14" t="s">
        <v>13</v>
      </c>
      <c r="J14" t="s">
        <v>479</v>
      </c>
    </row>
    <row r="15" spans="2:12" x14ac:dyDescent="0.3">
      <c r="B15" t="s">
        <v>481</v>
      </c>
      <c r="C15" t="s">
        <v>482</v>
      </c>
      <c r="D15" s="9" t="s">
        <v>483</v>
      </c>
      <c r="E15" t="s">
        <v>23</v>
      </c>
      <c r="F15" s="8" t="s">
        <v>484</v>
      </c>
      <c r="G15">
        <v>17</v>
      </c>
      <c r="H15" s="9" t="s">
        <v>485</v>
      </c>
      <c r="I15" t="s">
        <v>12</v>
      </c>
      <c r="J15" t="s">
        <v>486</v>
      </c>
    </row>
    <row r="16" spans="2:12" x14ac:dyDescent="0.3">
      <c r="B16" t="s">
        <v>515</v>
      </c>
      <c r="C16" t="s">
        <v>516</v>
      </c>
      <c r="D16" s="9" t="s">
        <v>517</v>
      </c>
      <c r="E16" t="s">
        <v>23</v>
      </c>
      <c r="F16" s="8" t="s">
        <v>518</v>
      </c>
      <c r="G16">
        <v>79</v>
      </c>
      <c r="H16" s="9" t="s">
        <v>519</v>
      </c>
      <c r="I16" t="s">
        <v>14</v>
      </c>
      <c r="J16" t="s">
        <v>520</v>
      </c>
      <c r="K16" t="s">
        <v>521</v>
      </c>
    </row>
    <row r="17" spans="2:11" x14ac:dyDescent="0.3">
      <c r="B17" t="s">
        <v>558</v>
      </c>
      <c r="C17" t="s">
        <v>559</v>
      </c>
      <c r="D17" s="9" t="s">
        <v>560</v>
      </c>
      <c r="E17" t="s">
        <v>23</v>
      </c>
      <c r="F17" s="8">
        <v>34527</v>
      </c>
      <c r="G17">
        <v>31</v>
      </c>
      <c r="H17" s="9" t="s">
        <v>561</v>
      </c>
      <c r="I17" t="s">
        <v>12</v>
      </c>
      <c r="J17" t="s">
        <v>562</v>
      </c>
    </row>
    <row r="18" spans="2:11" x14ac:dyDescent="0.3">
      <c r="B18" t="s">
        <v>584</v>
      </c>
      <c r="C18" t="s">
        <v>588</v>
      </c>
      <c r="D18" s="9" t="s">
        <v>585</v>
      </c>
      <c r="E18" t="s">
        <v>23</v>
      </c>
      <c r="F18" s="8" t="s">
        <v>586</v>
      </c>
      <c r="G18">
        <v>25</v>
      </c>
      <c r="H18" s="9" t="s">
        <v>587</v>
      </c>
    </row>
    <row r="19" spans="2:11" x14ac:dyDescent="0.3">
      <c r="B19" t="s">
        <v>602</v>
      </c>
      <c r="C19" t="s">
        <v>609</v>
      </c>
      <c r="D19" s="9" t="s">
        <v>603</v>
      </c>
      <c r="E19" t="s">
        <v>23</v>
      </c>
      <c r="F19" s="8" t="s">
        <v>604</v>
      </c>
      <c r="G19">
        <v>25</v>
      </c>
      <c r="H19" s="9" t="s">
        <v>605</v>
      </c>
      <c r="J19" t="s">
        <v>606</v>
      </c>
    </row>
    <row r="20" spans="2:11" x14ac:dyDescent="0.3">
      <c r="B20" t="s">
        <v>610</v>
      </c>
      <c r="C20" t="s">
        <v>611</v>
      </c>
      <c r="D20" s="9" t="s">
        <v>612</v>
      </c>
      <c r="E20" t="s">
        <v>23</v>
      </c>
      <c r="F20" s="8">
        <v>33097</v>
      </c>
      <c r="G20">
        <v>35</v>
      </c>
      <c r="H20" s="9" t="s">
        <v>613</v>
      </c>
      <c r="I20" t="s">
        <v>12</v>
      </c>
      <c r="J20" t="s">
        <v>614</v>
      </c>
    </row>
    <row r="21" spans="2:11" x14ac:dyDescent="0.3">
      <c r="B21" t="s">
        <v>634</v>
      </c>
      <c r="C21" t="s">
        <v>635</v>
      </c>
      <c r="D21" s="9" t="s">
        <v>636</v>
      </c>
      <c r="E21" t="s">
        <v>24</v>
      </c>
      <c r="F21" s="8" t="s">
        <v>637</v>
      </c>
      <c r="G21">
        <v>58</v>
      </c>
      <c r="H21" s="9" t="s">
        <v>638</v>
      </c>
      <c r="I21" t="s">
        <v>13</v>
      </c>
      <c r="J21" t="s">
        <v>639</v>
      </c>
      <c r="K21" t="s">
        <v>640</v>
      </c>
    </row>
    <row r="22" spans="2:11" x14ac:dyDescent="0.3">
      <c r="B22" t="s">
        <v>667</v>
      </c>
      <c r="C22" t="s">
        <v>670</v>
      </c>
      <c r="D22" s="9" t="s">
        <v>671</v>
      </c>
      <c r="E22" t="s">
        <v>23</v>
      </c>
      <c r="F22" s="8">
        <v>33188</v>
      </c>
      <c r="G22">
        <v>35</v>
      </c>
      <c r="H22" s="9" t="s">
        <v>668</v>
      </c>
      <c r="J22" t="s">
        <v>669</v>
      </c>
    </row>
    <row r="23" spans="2:11" x14ac:dyDescent="0.3">
      <c r="B23" t="s">
        <v>693</v>
      </c>
      <c r="C23" t="s">
        <v>694</v>
      </c>
      <c r="D23" s="9" t="s">
        <v>695</v>
      </c>
      <c r="E23" t="s">
        <v>23</v>
      </c>
      <c r="F23" s="8">
        <v>39569</v>
      </c>
      <c r="G23">
        <v>18</v>
      </c>
      <c r="H23" s="9" t="s">
        <v>696</v>
      </c>
      <c r="I23" t="s">
        <v>12</v>
      </c>
      <c r="J23" t="s">
        <v>486</v>
      </c>
    </row>
    <row r="24" spans="2:11" x14ac:dyDescent="0.3">
      <c r="B24" t="s">
        <v>710</v>
      </c>
      <c r="C24" t="s">
        <v>711</v>
      </c>
      <c r="D24" s="9" t="s">
        <v>712</v>
      </c>
      <c r="E24" t="s">
        <v>24</v>
      </c>
      <c r="F24" s="8">
        <v>27671</v>
      </c>
      <c r="G24">
        <v>50</v>
      </c>
      <c r="H24" s="9" t="s">
        <v>713</v>
      </c>
      <c r="I24" t="s">
        <v>14</v>
      </c>
      <c r="J24" t="s">
        <v>714</v>
      </c>
    </row>
    <row r="25" spans="2:11" x14ac:dyDescent="0.3">
      <c r="B25" t="s">
        <v>752</v>
      </c>
      <c r="C25" t="s">
        <v>753</v>
      </c>
      <c r="D25" s="9" t="s">
        <v>754</v>
      </c>
      <c r="E25" t="s">
        <v>24</v>
      </c>
      <c r="F25" s="8" t="s">
        <v>755</v>
      </c>
      <c r="G25">
        <v>51</v>
      </c>
      <c r="H25" s="9" t="s">
        <v>756</v>
      </c>
      <c r="I25" t="s">
        <v>13</v>
      </c>
      <c r="J25" t="s">
        <v>757</v>
      </c>
    </row>
    <row r="26" spans="2:11" x14ac:dyDescent="0.3">
      <c r="B26" t="s">
        <v>774</v>
      </c>
      <c r="C26" t="s">
        <v>790</v>
      </c>
      <c r="D26" s="9" t="s">
        <v>775</v>
      </c>
      <c r="E26" t="s">
        <v>23</v>
      </c>
      <c r="F26" s="8">
        <v>26703</v>
      </c>
      <c r="G26">
        <v>52</v>
      </c>
      <c r="H26" s="9" t="s">
        <v>776</v>
      </c>
      <c r="I26" t="s">
        <v>13</v>
      </c>
      <c r="J26" t="s">
        <v>777</v>
      </c>
    </row>
    <row r="27" spans="2:11" x14ac:dyDescent="0.3">
      <c r="B27" t="s">
        <v>781</v>
      </c>
      <c r="C27" t="s">
        <v>782</v>
      </c>
      <c r="D27" s="9" t="s">
        <v>783</v>
      </c>
      <c r="E27" t="s">
        <v>24</v>
      </c>
      <c r="F27" s="8" t="s">
        <v>784</v>
      </c>
      <c r="G27">
        <v>19</v>
      </c>
      <c r="H27" s="9" t="s">
        <v>778</v>
      </c>
      <c r="I27" t="s">
        <v>12</v>
      </c>
      <c r="J27" t="s">
        <v>486</v>
      </c>
    </row>
    <row r="28" spans="2:11" x14ac:dyDescent="0.3">
      <c r="B28" t="s">
        <v>785</v>
      </c>
      <c r="C28" t="s">
        <v>786</v>
      </c>
      <c r="D28" s="9" t="s">
        <v>787</v>
      </c>
      <c r="E28" t="s">
        <v>24</v>
      </c>
      <c r="F28" s="8">
        <v>39457</v>
      </c>
      <c r="G28">
        <v>17</v>
      </c>
      <c r="H28" s="9" t="s">
        <v>788</v>
      </c>
      <c r="I28" t="s">
        <v>12</v>
      </c>
      <c r="J28" t="s">
        <v>789</v>
      </c>
    </row>
    <row r="29" spans="2:11" x14ac:dyDescent="0.3">
      <c r="B29" t="s">
        <v>793</v>
      </c>
      <c r="C29" t="s">
        <v>794</v>
      </c>
      <c r="D29" s="9" t="s">
        <v>795</v>
      </c>
      <c r="E29" t="s">
        <v>23</v>
      </c>
      <c r="F29" s="8" t="s">
        <v>796</v>
      </c>
      <c r="G29">
        <v>82</v>
      </c>
      <c r="H29" s="9" t="s">
        <v>797</v>
      </c>
      <c r="I29" t="s">
        <v>13</v>
      </c>
      <c r="J29" t="s">
        <v>520</v>
      </c>
    </row>
    <row r="30" spans="2:11" x14ac:dyDescent="0.3">
      <c r="B30" t="s">
        <v>808</v>
      </c>
      <c r="C30" t="s">
        <v>809</v>
      </c>
      <c r="D30" s="9" t="s">
        <v>810</v>
      </c>
      <c r="E30" t="s">
        <v>23</v>
      </c>
      <c r="F30" s="8">
        <v>40823</v>
      </c>
      <c r="G30">
        <v>14</v>
      </c>
      <c r="H30" s="9" t="s">
        <v>811</v>
      </c>
      <c r="I30" t="s">
        <v>12</v>
      </c>
      <c r="J30" t="s">
        <v>486</v>
      </c>
    </row>
    <row r="31" spans="2:11" x14ac:dyDescent="0.3">
      <c r="B31" t="s">
        <v>826</v>
      </c>
      <c r="C31" t="s">
        <v>827</v>
      </c>
      <c r="D31" s="9" t="s">
        <v>828</v>
      </c>
      <c r="E31" t="s">
        <v>24</v>
      </c>
      <c r="F31" s="8" t="s">
        <v>829</v>
      </c>
      <c r="G31">
        <v>28</v>
      </c>
      <c r="H31" s="9" t="s">
        <v>830</v>
      </c>
      <c r="I31" t="s">
        <v>12</v>
      </c>
      <c r="J31" t="s">
        <v>831</v>
      </c>
    </row>
    <row r="32" spans="2:11" x14ac:dyDescent="0.3">
      <c r="B32" t="s">
        <v>844</v>
      </c>
      <c r="C32" t="s">
        <v>845</v>
      </c>
      <c r="D32" s="9" t="s">
        <v>846</v>
      </c>
      <c r="E32" t="s">
        <v>23</v>
      </c>
      <c r="F32" s="8" t="s">
        <v>847</v>
      </c>
      <c r="G32">
        <v>27</v>
      </c>
      <c r="H32" s="9" t="s">
        <v>848</v>
      </c>
      <c r="I32" t="s">
        <v>12</v>
      </c>
      <c r="J32" t="s">
        <v>849</v>
      </c>
    </row>
    <row r="33" spans="2:11" x14ac:dyDescent="0.3">
      <c r="B33" t="s">
        <v>861</v>
      </c>
      <c r="C33" t="s">
        <v>862</v>
      </c>
      <c r="D33" s="9" t="s">
        <v>863</v>
      </c>
      <c r="E33" t="s">
        <v>24</v>
      </c>
      <c r="F33" s="8" t="s">
        <v>864</v>
      </c>
      <c r="G33">
        <v>74</v>
      </c>
      <c r="H33" s="9" t="s">
        <v>865</v>
      </c>
      <c r="I33" t="s">
        <v>13</v>
      </c>
      <c r="J33" t="s">
        <v>866</v>
      </c>
    </row>
    <row r="34" spans="2:11" x14ac:dyDescent="0.3">
      <c r="B34" t="s">
        <v>887</v>
      </c>
      <c r="C34" t="s">
        <v>888</v>
      </c>
      <c r="D34" s="9" t="s">
        <v>889</v>
      </c>
      <c r="E34" t="s">
        <v>24</v>
      </c>
      <c r="F34" s="8" t="s">
        <v>890</v>
      </c>
      <c r="G34">
        <v>94</v>
      </c>
      <c r="H34" s="9" t="s">
        <v>891</v>
      </c>
      <c r="I34" t="s">
        <v>15</v>
      </c>
      <c r="J34" t="s">
        <v>866</v>
      </c>
      <c r="K34" t="s">
        <v>573</v>
      </c>
    </row>
    <row r="35" spans="2:11" x14ac:dyDescent="0.3">
      <c r="B35" t="s">
        <v>904</v>
      </c>
      <c r="C35" t="s">
        <v>905</v>
      </c>
      <c r="D35" s="9" t="s">
        <v>906</v>
      </c>
      <c r="E35" t="s">
        <v>24</v>
      </c>
      <c r="F35" s="8" t="s">
        <v>907</v>
      </c>
      <c r="G35">
        <v>58</v>
      </c>
      <c r="H35" s="9" t="s">
        <v>908</v>
      </c>
      <c r="I35" t="s">
        <v>12</v>
      </c>
      <c r="J35" t="s">
        <v>866</v>
      </c>
      <c r="K35" t="s">
        <v>573</v>
      </c>
    </row>
    <row r="36" spans="2:11" x14ac:dyDescent="0.3">
      <c r="B36" t="s">
        <v>922</v>
      </c>
      <c r="C36" t="s">
        <v>923</v>
      </c>
      <c r="D36" s="9" t="s">
        <v>924</v>
      </c>
      <c r="E36" t="s">
        <v>23</v>
      </c>
      <c r="F36" s="8" t="s">
        <v>925</v>
      </c>
      <c r="G36">
        <v>17</v>
      </c>
      <c r="H36" s="9" t="s">
        <v>926</v>
      </c>
      <c r="I36" t="s">
        <v>12</v>
      </c>
      <c r="J36" t="s">
        <v>486</v>
      </c>
      <c r="K36" t="s">
        <v>573</v>
      </c>
    </row>
    <row r="37" spans="2:11" x14ac:dyDescent="0.3">
      <c r="B37" t="s">
        <v>956</v>
      </c>
      <c r="C37" t="s">
        <v>957</v>
      </c>
      <c r="D37" s="9" t="s">
        <v>958</v>
      </c>
      <c r="E37" t="s">
        <v>24</v>
      </c>
      <c r="F37" s="8" t="s">
        <v>959</v>
      </c>
      <c r="G37">
        <v>5</v>
      </c>
      <c r="H37" s="9" t="s">
        <v>960</v>
      </c>
      <c r="I37" t="s">
        <v>12</v>
      </c>
    </row>
    <row r="38" spans="2:11" x14ac:dyDescent="0.3">
      <c r="B38" t="s">
        <v>962</v>
      </c>
      <c r="C38" t="s">
        <v>963</v>
      </c>
      <c r="D38" s="9" t="s">
        <v>964</v>
      </c>
      <c r="E38" t="s">
        <v>23</v>
      </c>
      <c r="F38" s="8">
        <v>26218</v>
      </c>
      <c r="G38">
        <v>54</v>
      </c>
      <c r="H38" s="9" t="s">
        <v>778</v>
      </c>
      <c r="I38" t="s">
        <v>13</v>
      </c>
    </row>
    <row r="39" spans="2:11" x14ac:dyDescent="0.3">
      <c r="B39" t="s">
        <v>965</v>
      </c>
      <c r="C39" t="s">
        <v>966</v>
      </c>
      <c r="D39" s="9" t="s">
        <v>967</v>
      </c>
      <c r="E39" t="s">
        <v>23</v>
      </c>
      <c r="F39" s="8">
        <v>41096</v>
      </c>
      <c r="G39">
        <v>13</v>
      </c>
      <c r="H39" s="9" t="s">
        <v>713</v>
      </c>
      <c r="I39" t="s">
        <v>12</v>
      </c>
      <c r="J39" t="s">
        <v>486</v>
      </c>
    </row>
    <row r="40" spans="2:11" x14ac:dyDescent="0.3">
      <c r="B40" t="s">
        <v>968</v>
      </c>
      <c r="C40" t="s">
        <v>982</v>
      </c>
      <c r="D40" s="9" t="s">
        <v>969</v>
      </c>
      <c r="E40" t="s">
        <v>23</v>
      </c>
      <c r="F40" s="8">
        <v>31541</v>
      </c>
      <c r="G40">
        <v>39</v>
      </c>
      <c r="H40" s="9" t="s">
        <v>970</v>
      </c>
      <c r="I40" t="s">
        <v>12</v>
      </c>
      <c r="J40" t="s">
        <v>971</v>
      </c>
      <c r="K40" t="s">
        <v>573</v>
      </c>
    </row>
    <row r="41" spans="2:11" x14ac:dyDescent="0.3">
      <c r="B41" t="s">
        <v>985</v>
      </c>
      <c r="C41" t="s">
        <v>986</v>
      </c>
      <c r="D41" s="9" t="s">
        <v>987</v>
      </c>
      <c r="E41" t="s">
        <v>24</v>
      </c>
      <c r="F41" s="8" t="s">
        <v>988</v>
      </c>
      <c r="G41">
        <v>67</v>
      </c>
      <c r="H41" s="9" t="s">
        <v>989</v>
      </c>
      <c r="J41" t="s">
        <v>866</v>
      </c>
    </row>
    <row r="42" spans="2:11" x14ac:dyDescent="0.3">
      <c r="B42" t="s">
        <v>1011</v>
      </c>
      <c r="C42" t="s">
        <v>1012</v>
      </c>
      <c r="D42" s="9" t="s">
        <v>1013</v>
      </c>
      <c r="E42" t="s">
        <v>23</v>
      </c>
      <c r="F42" s="8" t="s">
        <v>1014</v>
      </c>
      <c r="G42">
        <v>77</v>
      </c>
      <c r="H42" s="9" t="s">
        <v>1015</v>
      </c>
      <c r="I42" t="s">
        <v>13</v>
      </c>
      <c r="J42" t="s">
        <v>1016</v>
      </c>
    </row>
    <row r="43" spans="2:11" x14ac:dyDescent="0.3">
      <c r="B43" t="s">
        <v>1034</v>
      </c>
      <c r="C43" t="s">
        <v>1039</v>
      </c>
      <c r="D43" s="9" t="s">
        <v>1035</v>
      </c>
      <c r="E43" t="s">
        <v>23</v>
      </c>
      <c r="F43" s="8">
        <v>38355</v>
      </c>
      <c r="G43">
        <v>21</v>
      </c>
      <c r="H43" s="9" t="s">
        <v>1036</v>
      </c>
      <c r="I43" t="s">
        <v>12</v>
      </c>
      <c r="J43" t="s">
        <v>1037</v>
      </c>
      <c r="K43" t="s">
        <v>1038</v>
      </c>
    </row>
    <row r="44" spans="2:11" x14ac:dyDescent="0.3">
      <c r="B44" t="s">
        <v>1051</v>
      </c>
      <c r="C44" t="s">
        <v>1052</v>
      </c>
      <c r="D44" s="9" t="s">
        <v>1053</v>
      </c>
      <c r="E44" t="s">
        <v>24</v>
      </c>
      <c r="F44" s="8" t="s">
        <v>1054</v>
      </c>
      <c r="G44">
        <v>18</v>
      </c>
      <c r="H44" s="9" t="s">
        <v>1055</v>
      </c>
      <c r="I44" t="s">
        <v>12</v>
      </c>
      <c r="J44" t="s">
        <v>486</v>
      </c>
      <c r="K44" t="s">
        <v>1056</v>
      </c>
    </row>
    <row r="45" spans="2:11" x14ac:dyDescent="0.3">
      <c r="B45" t="s">
        <v>1057</v>
      </c>
      <c r="C45" t="s">
        <v>1058</v>
      </c>
      <c r="D45" s="9" t="s">
        <v>1059</v>
      </c>
      <c r="E45" t="s">
        <v>23</v>
      </c>
      <c r="F45" s="8">
        <v>27399</v>
      </c>
      <c r="G45">
        <v>50</v>
      </c>
      <c r="H45" s="9" t="s">
        <v>1060</v>
      </c>
      <c r="I45" t="s">
        <v>13</v>
      </c>
      <c r="J45" t="s">
        <v>1061</v>
      </c>
      <c r="K45" t="s">
        <v>573</v>
      </c>
    </row>
    <row r="46" spans="2:11" x14ac:dyDescent="0.3">
      <c r="B46" t="s">
        <v>1084</v>
      </c>
      <c r="C46" t="s">
        <v>1085</v>
      </c>
      <c r="D46" s="9" t="s">
        <v>1086</v>
      </c>
      <c r="E46" t="s">
        <v>23</v>
      </c>
      <c r="F46" s="8" t="s">
        <v>1087</v>
      </c>
      <c r="G46">
        <v>55</v>
      </c>
      <c r="H46" s="9" t="s">
        <v>1088</v>
      </c>
      <c r="I46" t="s">
        <v>12</v>
      </c>
      <c r="J46" t="s">
        <v>639</v>
      </c>
      <c r="K46" t="s">
        <v>573</v>
      </c>
    </row>
    <row r="47" spans="2:11" x14ac:dyDescent="0.3">
      <c r="B47" t="s">
        <v>1106</v>
      </c>
      <c r="C47" t="s">
        <v>1107</v>
      </c>
      <c r="D47" s="9" t="s">
        <v>1108</v>
      </c>
      <c r="E47" t="s">
        <v>23</v>
      </c>
      <c r="F47" s="8" t="s">
        <v>1109</v>
      </c>
      <c r="G47">
        <v>20</v>
      </c>
      <c r="H47" s="9" t="s">
        <v>1110</v>
      </c>
      <c r="I47" t="s">
        <v>12</v>
      </c>
      <c r="J47" t="s">
        <v>486</v>
      </c>
      <c r="K47" t="s">
        <v>573</v>
      </c>
    </row>
    <row r="48" spans="2:11" x14ac:dyDescent="0.3">
      <c r="B48" t="s">
        <v>1126</v>
      </c>
      <c r="C48" t="s">
        <v>1127</v>
      </c>
      <c r="D48" s="9" t="s">
        <v>1128</v>
      </c>
      <c r="E48" t="s">
        <v>23</v>
      </c>
      <c r="F48" s="8">
        <v>38778</v>
      </c>
      <c r="G48">
        <v>19</v>
      </c>
      <c r="H48" s="9" t="s">
        <v>1129</v>
      </c>
      <c r="I48" t="s">
        <v>12</v>
      </c>
      <c r="J48" t="s">
        <v>486</v>
      </c>
      <c r="K48" t="s">
        <v>573</v>
      </c>
    </row>
    <row r="49" spans="2:11" x14ac:dyDescent="0.3">
      <c r="B49" t="s">
        <v>1134</v>
      </c>
      <c r="C49" t="s">
        <v>1135</v>
      </c>
      <c r="D49" s="9" t="s">
        <v>1136</v>
      </c>
      <c r="E49" t="s">
        <v>24</v>
      </c>
      <c r="F49" s="8" t="s">
        <v>1137</v>
      </c>
      <c r="G49">
        <v>18</v>
      </c>
      <c r="H49" s="9" t="s">
        <v>1138</v>
      </c>
      <c r="I49" t="s">
        <v>12</v>
      </c>
      <c r="J49" t="s">
        <v>486</v>
      </c>
    </row>
    <row r="50" spans="2:11" x14ac:dyDescent="0.3">
      <c r="B50" t="s">
        <v>1139</v>
      </c>
      <c r="C50" t="s">
        <v>1140</v>
      </c>
      <c r="D50" s="9" t="s">
        <v>1141</v>
      </c>
      <c r="E50" t="s">
        <v>24</v>
      </c>
      <c r="F50" s="8" t="s">
        <v>1142</v>
      </c>
      <c r="G50">
        <v>18</v>
      </c>
      <c r="H50" s="9" t="s">
        <v>1152</v>
      </c>
      <c r="I50" t="s">
        <v>12</v>
      </c>
      <c r="J50" t="s">
        <v>486</v>
      </c>
      <c r="K50" t="s">
        <v>573</v>
      </c>
    </row>
    <row r="51" spans="2:11" x14ac:dyDescent="0.3">
      <c r="B51" t="s">
        <v>1153</v>
      </c>
      <c r="C51" t="s">
        <v>1154</v>
      </c>
      <c r="D51" s="9" t="s">
        <v>1155</v>
      </c>
      <c r="E51" t="s">
        <v>23</v>
      </c>
      <c r="F51" s="8" t="s">
        <v>1156</v>
      </c>
      <c r="G51">
        <v>20</v>
      </c>
      <c r="H51" s="9" t="s">
        <v>1157</v>
      </c>
      <c r="I51" t="s">
        <v>12</v>
      </c>
      <c r="J51" t="s">
        <v>486</v>
      </c>
      <c r="K51" t="s">
        <v>573</v>
      </c>
    </row>
    <row r="52" spans="2:11" x14ac:dyDescent="0.3">
      <c r="B52" t="s">
        <v>1170</v>
      </c>
      <c r="C52" t="s">
        <v>1171</v>
      </c>
      <c r="D52" s="9" t="s">
        <v>1172</v>
      </c>
      <c r="E52" t="s">
        <v>23</v>
      </c>
      <c r="F52" s="8" t="s">
        <v>1173</v>
      </c>
      <c r="G52">
        <v>50</v>
      </c>
      <c r="H52" s="9" t="s">
        <v>778</v>
      </c>
      <c r="I52" t="s">
        <v>14</v>
      </c>
      <c r="J52" t="s">
        <v>1174</v>
      </c>
      <c r="K52" t="s">
        <v>573</v>
      </c>
    </row>
    <row r="53" spans="2:11" x14ac:dyDescent="0.3">
      <c r="B53" t="s">
        <v>1187</v>
      </c>
      <c r="C53" t="s">
        <v>1188</v>
      </c>
      <c r="D53" s="9" t="s">
        <v>1189</v>
      </c>
      <c r="E53" t="s">
        <v>24</v>
      </c>
      <c r="F53" s="8">
        <v>22739</v>
      </c>
      <c r="G53">
        <v>63</v>
      </c>
      <c r="H53" s="9" t="s">
        <v>1190</v>
      </c>
      <c r="I53" t="s">
        <v>13</v>
      </c>
      <c r="K53" t="s">
        <v>573</v>
      </c>
    </row>
    <row r="54" spans="2:11" x14ac:dyDescent="0.3">
      <c r="B54" t="s">
        <v>1206</v>
      </c>
      <c r="C54" t="s">
        <v>1207</v>
      </c>
      <c r="D54" s="9" t="s">
        <v>1208</v>
      </c>
      <c r="E54" t="s">
        <v>23</v>
      </c>
      <c r="F54" s="8" t="s">
        <v>1209</v>
      </c>
      <c r="G54">
        <v>19</v>
      </c>
      <c r="H54" s="9" t="s">
        <v>1210</v>
      </c>
      <c r="I54" t="s">
        <v>12</v>
      </c>
      <c r="J54" t="s">
        <v>1211</v>
      </c>
    </row>
    <row r="55" spans="2:11" x14ac:dyDescent="0.3">
      <c r="B55" t="s">
        <v>1212</v>
      </c>
      <c r="C55" t="s">
        <v>1213</v>
      </c>
      <c r="D55" s="9" t="s">
        <v>1214</v>
      </c>
      <c r="E55" t="s">
        <v>24</v>
      </c>
      <c r="F55" s="8" t="s">
        <v>1215</v>
      </c>
      <c r="G55">
        <v>11</v>
      </c>
      <c r="H55" s="9" t="s">
        <v>1216</v>
      </c>
      <c r="I55" t="s">
        <v>12</v>
      </c>
      <c r="J55" t="s">
        <v>486</v>
      </c>
    </row>
    <row r="56" spans="2:11" x14ac:dyDescent="0.3">
      <c r="B56" t="s">
        <v>1217</v>
      </c>
      <c r="C56" t="s">
        <v>1218</v>
      </c>
      <c r="D56" s="9" t="s">
        <v>1219</v>
      </c>
      <c r="E56" t="s">
        <v>23</v>
      </c>
      <c r="F56" s="8">
        <v>40608</v>
      </c>
      <c r="G56">
        <v>14</v>
      </c>
      <c r="H56" s="9" t="s">
        <v>1216</v>
      </c>
      <c r="I56" t="s">
        <v>12</v>
      </c>
      <c r="J56" t="s">
        <v>486</v>
      </c>
    </row>
    <row r="57" spans="2:11" x14ac:dyDescent="0.3">
      <c r="B57" t="s">
        <v>1220</v>
      </c>
      <c r="C57" t="s">
        <v>1224</v>
      </c>
      <c r="D57" s="9" t="s">
        <v>1221</v>
      </c>
      <c r="E57" t="s">
        <v>23</v>
      </c>
      <c r="F57" s="8" t="s">
        <v>1222</v>
      </c>
      <c r="G57">
        <v>23</v>
      </c>
      <c r="H57" s="9" t="s">
        <v>778</v>
      </c>
      <c r="I57" t="s">
        <v>12</v>
      </c>
      <c r="J57" t="s">
        <v>1223</v>
      </c>
      <c r="K57" t="s">
        <v>573</v>
      </c>
    </row>
    <row r="58" spans="2:11" x14ac:dyDescent="0.3">
      <c r="B58" t="s">
        <v>1241</v>
      </c>
      <c r="C58" t="s">
        <v>1242</v>
      </c>
      <c r="D58" s="9" t="s">
        <v>1243</v>
      </c>
      <c r="E58" t="s">
        <v>23</v>
      </c>
      <c r="F58" s="8">
        <v>26911</v>
      </c>
      <c r="G58">
        <v>52</v>
      </c>
      <c r="H58" s="9" t="s">
        <v>1244</v>
      </c>
      <c r="I58" t="s">
        <v>13</v>
      </c>
      <c r="J58" t="s">
        <v>614</v>
      </c>
      <c r="K58" t="s">
        <v>573</v>
      </c>
    </row>
    <row r="59" spans="2:11" x14ac:dyDescent="0.3">
      <c r="B59" t="s">
        <v>1258</v>
      </c>
      <c r="C59" t="s">
        <v>1259</v>
      </c>
      <c r="D59" s="9" t="s">
        <v>1260</v>
      </c>
      <c r="E59" t="s">
        <v>23</v>
      </c>
      <c r="F59" s="8" t="s">
        <v>1261</v>
      </c>
      <c r="G59">
        <v>69</v>
      </c>
      <c r="H59" s="9" t="s">
        <v>1262</v>
      </c>
      <c r="I59" t="s">
        <v>13</v>
      </c>
    </row>
    <row r="60" spans="2:11" x14ac:dyDescent="0.3">
      <c r="B60" t="s">
        <v>1263</v>
      </c>
      <c r="C60" t="s">
        <v>1264</v>
      </c>
      <c r="D60" s="9" t="s">
        <v>1265</v>
      </c>
      <c r="E60" t="s">
        <v>24</v>
      </c>
      <c r="F60" s="8">
        <v>37874</v>
      </c>
      <c r="G60">
        <v>22</v>
      </c>
      <c r="H60" s="9" t="s">
        <v>1266</v>
      </c>
      <c r="I60" t="s">
        <v>12</v>
      </c>
      <c r="J60" t="s">
        <v>486</v>
      </c>
    </row>
    <row r="61" spans="2:11" x14ac:dyDescent="0.3">
      <c r="B61" t="s">
        <v>1278</v>
      </c>
      <c r="C61" t="s">
        <v>1279</v>
      </c>
      <c r="D61" s="9" t="s">
        <v>1280</v>
      </c>
      <c r="E61" t="s">
        <v>23</v>
      </c>
      <c r="F61" s="8" t="s">
        <v>1281</v>
      </c>
      <c r="G61">
        <v>66</v>
      </c>
      <c r="H61" s="9" t="s">
        <v>1282</v>
      </c>
      <c r="I61" t="s">
        <v>13</v>
      </c>
      <c r="J61" t="s">
        <v>520</v>
      </c>
    </row>
    <row r="62" spans="2:11" x14ac:dyDescent="0.3">
      <c r="B62" t="s">
        <v>1296</v>
      </c>
      <c r="C62" t="s">
        <v>1297</v>
      </c>
      <c r="D62" s="9" t="s">
        <v>1298</v>
      </c>
      <c r="E62" t="s">
        <v>23</v>
      </c>
      <c r="F62" s="8">
        <v>30812</v>
      </c>
      <c r="G62">
        <v>41</v>
      </c>
      <c r="H62" s="9" t="s">
        <v>1299</v>
      </c>
      <c r="I62" t="s">
        <v>13</v>
      </c>
      <c r="J62" t="s">
        <v>639</v>
      </c>
      <c r="K62" t="s">
        <v>1300</v>
      </c>
    </row>
    <row r="63" spans="2:11" x14ac:dyDescent="0.3">
      <c r="B63" t="s">
        <v>1301</v>
      </c>
      <c r="C63" t="s">
        <v>1302</v>
      </c>
      <c r="D63" s="9" t="s">
        <v>1303</v>
      </c>
      <c r="E63" t="s">
        <v>23</v>
      </c>
      <c r="F63" s="8" t="s">
        <v>1304</v>
      </c>
      <c r="G63">
        <v>30</v>
      </c>
      <c r="H63" s="9" t="s">
        <v>1305</v>
      </c>
      <c r="I63" t="s">
        <v>12</v>
      </c>
      <c r="J63" t="s">
        <v>1306</v>
      </c>
      <c r="K63" t="s">
        <v>521</v>
      </c>
    </row>
    <row r="64" spans="2:11" x14ac:dyDescent="0.3">
      <c r="B64" t="s">
        <v>1315</v>
      </c>
      <c r="C64" t="s">
        <v>1316</v>
      </c>
      <c r="D64" s="9" t="s">
        <v>1317</v>
      </c>
      <c r="E64" t="s">
        <v>23</v>
      </c>
      <c r="F64" s="8" t="s">
        <v>1318</v>
      </c>
      <c r="G64">
        <v>29</v>
      </c>
      <c r="H64" s="9" t="s">
        <v>778</v>
      </c>
      <c r="I64" t="s">
        <v>12</v>
      </c>
      <c r="J64" t="s">
        <v>1319</v>
      </c>
      <c r="K64" t="s">
        <v>573</v>
      </c>
    </row>
    <row r="65" spans="2:11" x14ac:dyDescent="0.3">
      <c r="B65" t="s">
        <v>1320</v>
      </c>
      <c r="C65" t="s">
        <v>1321</v>
      </c>
      <c r="D65" s="9" t="s">
        <v>1322</v>
      </c>
      <c r="E65" t="s">
        <v>23</v>
      </c>
      <c r="F65" s="8">
        <v>39181</v>
      </c>
      <c r="G65">
        <v>18</v>
      </c>
      <c r="H65" s="9" t="s">
        <v>1323</v>
      </c>
      <c r="I65" t="s">
        <v>12</v>
      </c>
      <c r="J65" t="s">
        <v>1306</v>
      </c>
      <c r="K65" t="s">
        <v>1038</v>
      </c>
    </row>
    <row r="66" spans="2:11" x14ac:dyDescent="0.3">
      <c r="B66" t="s">
        <v>1324</v>
      </c>
      <c r="C66" t="s">
        <v>1325</v>
      </c>
      <c r="D66" s="9" t="s">
        <v>1326</v>
      </c>
      <c r="E66" t="s">
        <v>23</v>
      </c>
      <c r="F66" s="8" t="s">
        <v>1327</v>
      </c>
      <c r="G66">
        <v>63</v>
      </c>
      <c r="H66" s="9" t="s">
        <v>1328</v>
      </c>
      <c r="I66" t="s">
        <v>13</v>
      </c>
      <c r="J66" t="s">
        <v>1329</v>
      </c>
    </row>
    <row r="67" spans="2:11" x14ac:dyDescent="0.3">
      <c r="B67" t="s">
        <v>1333</v>
      </c>
      <c r="C67" t="s">
        <v>1334</v>
      </c>
      <c r="D67" s="9" t="s">
        <v>1335</v>
      </c>
      <c r="E67" t="s">
        <v>24</v>
      </c>
      <c r="F67" s="8" t="s">
        <v>1336</v>
      </c>
      <c r="G67">
        <v>58</v>
      </c>
      <c r="H67" s="9" t="s">
        <v>778</v>
      </c>
      <c r="I67" t="s">
        <v>13</v>
      </c>
      <c r="J67" t="s">
        <v>1337</v>
      </c>
      <c r="K67" t="s">
        <v>1338</v>
      </c>
    </row>
    <row r="68" spans="2:11" x14ac:dyDescent="0.3">
      <c r="B68" t="s">
        <v>1347</v>
      </c>
      <c r="C68" t="s">
        <v>1348</v>
      </c>
      <c r="D68" s="9" t="s">
        <v>1349</v>
      </c>
      <c r="E68" t="s">
        <v>24</v>
      </c>
      <c r="F68" s="8" t="s">
        <v>1350</v>
      </c>
      <c r="G68">
        <v>80</v>
      </c>
      <c r="H68" s="9" t="s">
        <v>778</v>
      </c>
      <c r="I68" t="s">
        <v>15</v>
      </c>
      <c r="J68" t="s">
        <v>866</v>
      </c>
    </row>
    <row r="69" spans="2:11" x14ac:dyDescent="0.3">
      <c r="B69" t="s">
        <v>1351</v>
      </c>
      <c r="C69" t="s">
        <v>1352</v>
      </c>
      <c r="D69" s="9" t="s">
        <v>1353</v>
      </c>
      <c r="E69" t="s">
        <v>24</v>
      </c>
      <c r="F69" s="8">
        <v>39455</v>
      </c>
      <c r="G69">
        <v>17</v>
      </c>
      <c r="H69" s="9" t="s">
        <v>1354</v>
      </c>
      <c r="I69" t="s">
        <v>12</v>
      </c>
      <c r="J69" t="s">
        <v>486</v>
      </c>
    </row>
    <row r="70" spans="2:11" x14ac:dyDescent="0.3">
      <c r="B70" t="s">
        <v>1378</v>
      </c>
      <c r="C70" t="s">
        <v>1379</v>
      </c>
      <c r="D70" s="9" t="s">
        <v>1380</v>
      </c>
      <c r="E70" t="s">
        <v>23</v>
      </c>
      <c r="F70" s="8">
        <v>25144</v>
      </c>
      <c r="G70">
        <v>57</v>
      </c>
      <c r="H70" s="9" t="s">
        <v>778</v>
      </c>
      <c r="I70" t="s">
        <v>13</v>
      </c>
      <c r="J70" t="s">
        <v>1306</v>
      </c>
      <c r="K70" t="s">
        <v>1381</v>
      </c>
    </row>
    <row r="71" spans="2:11" x14ac:dyDescent="0.3">
      <c r="B71" t="s">
        <v>1384</v>
      </c>
      <c r="C71" t="s">
        <v>1385</v>
      </c>
      <c r="D71" s="9" t="s">
        <v>1386</v>
      </c>
      <c r="E71" t="s">
        <v>23</v>
      </c>
      <c r="F71" s="8">
        <v>29109</v>
      </c>
      <c r="G71">
        <v>46</v>
      </c>
      <c r="H71" s="9" t="s">
        <v>1387</v>
      </c>
      <c r="I71" t="s">
        <v>13</v>
      </c>
      <c r="J71" t="s">
        <v>1388</v>
      </c>
    </row>
    <row r="72" spans="2:11" x14ac:dyDescent="0.3">
      <c r="B72" t="s">
        <v>1403</v>
      </c>
      <c r="C72" t="s">
        <v>1404</v>
      </c>
      <c r="D72" s="9" t="s">
        <v>1405</v>
      </c>
      <c r="E72" t="s">
        <v>23</v>
      </c>
      <c r="F72" s="8" t="s">
        <v>1406</v>
      </c>
      <c r="G72">
        <v>24</v>
      </c>
      <c r="H72" s="9" t="s">
        <v>1407</v>
      </c>
      <c r="I72" t="s">
        <v>12</v>
      </c>
      <c r="J72" t="s">
        <v>1408</v>
      </c>
    </row>
    <row r="73" spans="2:11" x14ac:dyDescent="0.3">
      <c r="B73" t="s">
        <v>1409</v>
      </c>
      <c r="C73" t="s">
        <v>1410</v>
      </c>
      <c r="D73" s="9" t="s">
        <v>1411</v>
      </c>
      <c r="E73" t="s">
        <v>23</v>
      </c>
      <c r="F73" s="8" t="s">
        <v>1412</v>
      </c>
      <c r="G73">
        <v>44</v>
      </c>
      <c r="H73" s="9" t="s">
        <v>1413</v>
      </c>
      <c r="I73" t="s">
        <v>14</v>
      </c>
      <c r="K73" t="s">
        <v>1414</v>
      </c>
    </row>
    <row r="74" spans="2:11" x14ac:dyDescent="0.3">
      <c r="B74" t="s">
        <v>1415</v>
      </c>
      <c r="C74" t="s">
        <v>1416</v>
      </c>
      <c r="D74" s="9" t="s">
        <v>1417</v>
      </c>
      <c r="E74" t="s">
        <v>23</v>
      </c>
      <c r="F74" s="8" t="s">
        <v>1418</v>
      </c>
      <c r="G74">
        <v>18</v>
      </c>
      <c r="H74" s="9" t="s">
        <v>1419</v>
      </c>
      <c r="I74" t="s">
        <v>12</v>
      </c>
      <c r="J74" t="s">
        <v>486</v>
      </c>
    </row>
    <row r="75" spans="2:11" x14ac:dyDescent="0.3">
      <c r="B75" t="s">
        <v>1431</v>
      </c>
      <c r="C75" t="s">
        <v>1432</v>
      </c>
      <c r="D75" s="9" t="s">
        <v>1433</v>
      </c>
      <c r="E75" t="s">
        <v>23</v>
      </c>
      <c r="F75" s="8" t="s">
        <v>1434</v>
      </c>
      <c r="G75">
        <v>18</v>
      </c>
      <c r="H75" s="9" t="s">
        <v>1435</v>
      </c>
      <c r="I75" t="s">
        <v>12</v>
      </c>
      <c r="J75" t="s">
        <v>486</v>
      </c>
      <c r="K75" t="s">
        <v>1436</v>
      </c>
    </row>
    <row r="76" spans="2:11" x14ac:dyDescent="0.3">
      <c r="B76" t="s">
        <v>1452</v>
      </c>
      <c r="C76" t="s">
        <v>1453</v>
      </c>
      <c r="D76" s="9" t="s">
        <v>1454</v>
      </c>
      <c r="E76" t="s">
        <v>24</v>
      </c>
      <c r="F76" s="8" t="s">
        <v>1455</v>
      </c>
      <c r="G76">
        <v>33</v>
      </c>
      <c r="H76" s="9" t="s">
        <v>778</v>
      </c>
      <c r="I76" t="s">
        <v>13</v>
      </c>
      <c r="J76" t="s">
        <v>866</v>
      </c>
      <c r="K76" t="s">
        <v>1456</v>
      </c>
    </row>
    <row r="77" spans="2:11" x14ac:dyDescent="0.3">
      <c r="B77" t="s">
        <v>1457</v>
      </c>
      <c r="C77" t="s">
        <v>1458</v>
      </c>
      <c r="D77" s="9" t="s">
        <v>1459</v>
      </c>
      <c r="E77" t="s">
        <v>24</v>
      </c>
      <c r="F77" s="8" t="s">
        <v>1460</v>
      </c>
      <c r="G77">
        <v>45</v>
      </c>
      <c r="H77" s="9" t="s">
        <v>788</v>
      </c>
      <c r="I77" t="s">
        <v>13</v>
      </c>
      <c r="J77" t="s">
        <v>1461</v>
      </c>
      <c r="K77" t="s">
        <v>573</v>
      </c>
    </row>
    <row r="78" spans="2:11" x14ac:dyDescent="0.3">
      <c r="B78" t="s">
        <v>1474</v>
      </c>
      <c r="C78" t="s">
        <v>1475</v>
      </c>
      <c r="D78" s="9"/>
      <c r="E78" t="s">
        <v>23</v>
      </c>
      <c r="F78" s="8"/>
      <c r="H78" s="9" t="s">
        <v>1476</v>
      </c>
      <c r="I78" t="s">
        <v>13</v>
      </c>
      <c r="J78" t="s">
        <v>1174</v>
      </c>
      <c r="K78" t="s">
        <v>573</v>
      </c>
    </row>
    <row r="79" spans="2:11" x14ac:dyDescent="0.3">
      <c r="B79" t="s">
        <v>1486</v>
      </c>
      <c r="C79" t="s">
        <v>1487</v>
      </c>
      <c r="D79" s="9" t="s">
        <v>1488</v>
      </c>
      <c r="E79" t="s">
        <v>24</v>
      </c>
      <c r="F79" s="8" t="s">
        <v>1489</v>
      </c>
      <c r="G79">
        <v>10</v>
      </c>
      <c r="H79" s="9" t="s">
        <v>1503</v>
      </c>
      <c r="I79" t="s">
        <v>12</v>
      </c>
      <c r="J79" t="s">
        <v>486</v>
      </c>
    </row>
    <row r="80" spans="2:11" x14ac:dyDescent="0.3">
      <c r="B80" t="s">
        <v>1506</v>
      </c>
      <c r="C80" t="s">
        <v>1507</v>
      </c>
      <c r="D80" s="9" t="s">
        <v>1508</v>
      </c>
      <c r="E80" t="s">
        <v>24</v>
      </c>
      <c r="F80" s="8" t="s">
        <v>1509</v>
      </c>
      <c r="G80">
        <v>72</v>
      </c>
      <c r="H80" s="9" t="s">
        <v>1510</v>
      </c>
      <c r="I80" t="s">
        <v>15</v>
      </c>
      <c r="J80" t="s">
        <v>866</v>
      </c>
      <c r="K80" t="s">
        <v>573</v>
      </c>
    </row>
    <row r="81" spans="2:11" x14ac:dyDescent="0.3">
      <c r="B81" t="s">
        <v>1514</v>
      </c>
      <c r="C81" t="s">
        <v>1515</v>
      </c>
      <c r="D81" s="9" t="s">
        <v>1516</v>
      </c>
      <c r="E81" t="s">
        <v>23</v>
      </c>
      <c r="F81" s="8" t="s">
        <v>1517</v>
      </c>
      <c r="G81">
        <v>27</v>
      </c>
      <c r="H81" s="9" t="s">
        <v>1518</v>
      </c>
      <c r="I81" t="s">
        <v>13</v>
      </c>
      <c r="J81" t="s">
        <v>614</v>
      </c>
    </row>
    <row r="82" spans="2:11" x14ac:dyDescent="0.3">
      <c r="B82" t="s">
        <v>1519</v>
      </c>
      <c r="C82" t="s">
        <v>1520</v>
      </c>
      <c r="D82" s="9" t="s">
        <v>1521</v>
      </c>
      <c r="E82" t="s">
        <v>23</v>
      </c>
      <c r="F82" s="8">
        <v>36011</v>
      </c>
      <c r="G82">
        <v>27</v>
      </c>
      <c r="H82" s="9" t="s">
        <v>1522</v>
      </c>
      <c r="I82" t="s">
        <v>12</v>
      </c>
      <c r="J82" t="s">
        <v>1306</v>
      </c>
    </row>
    <row r="83" spans="2:11" x14ac:dyDescent="0.3">
      <c r="B83" t="s">
        <v>1529</v>
      </c>
      <c r="C83" t="s">
        <v>1530</v>
      </c>
      <c r="D83" s="9" t="s">
        <v>1531</v>
      </c>
      <c r="E83" t="s">
        <v>24</v>
      </c>
      <c r="F83" s="8">
        <v>43166</v>
      </c>
      <c r="G83">
        <v>7</v>
      </c>
      <c r="H83" s="9" t="s">
        <v>1532</v>
      </c>
      <c r="I83" t="s">
        <v>12</v>
      </c>
      <c r="J83" t="s">
        <v>486</v>
      </c>
      <c r="K83" t="s">
        <v>573</v>
      </c>
    </row>
    <row r="84" spans="2:11" x14ac:dyDescent="0.3">
      <c r="B84" t="s">
        <v>1544</v>
      </c>
      <c r="C84" t="s">
        <v>1545</v>
      </c>
      <c r="D84" s="9" t="s">
        <v>1546</v>
      </c>
      <c r="E84" t="s">
        <v>24</v>
      </c>
      <c r="F84" s="8">
        <v>37844</v>
      </c>
      <c r="G84">
        <v>22</v>
      </c>
      <c r="H84" s="9" t="s">
        <v>1547</v>
      </c>
      <c r="I84" t="s">
        <v>12</v>
      </c>
      <c r="J84" t="s">
        <v>486</v>
      </c>
    </row>
    <row r="85" spans="2:11" x14ac:dyDescent="0.3">
      <c r="B85" t="s">
        <v>1548</v>
      </c>
      <c r="C85" t="s">
        <v>1549</v>
      </c>
      <c r="D85" s="9" t="s">
        <v>1550</v>
      </c>
      <c r="E85" t="s">
        <v>23</v>
      </c>
      <c r="F85" s="8">
        <v>32485</v>
      </c>
      <c r="G85">
        <v>37</v>
      </c>
      <c r="H85" s="9" t="s">
        <v>1551</v>
      </c>
      <c r="I85" t="s">
        <v>13</v>
      </c>
      <c r="J85" t="s">
        <v>1552</v>
      </c>
      <c r="K85" t="s">
        <v>1553</v>
      </c>
    </row>
    <row r="86" spans="2:11" x14ac:dyDescent="0.3">
      <c r="B86" t="s">
        <v>1590</v>
      </c>
      <c r="C86" t="s">
        <v>1591</v>
      </c>
      <c r="D86" s="9" t="s">
        <v>1592</v>
      </c>
      <c r="E86" t="s">
        <v>24</v>
      </c>
      <c r="F86" s="8">
        <v>35769</v>
      </c>
      <c r="G86">
        <v>28</v>
      </c>
      <c r="H86" s="9" t="s">
        <v>778</v>
      </c>
      <c r="I86" t="s">
        <v>12</v>
      </c>
      <c r="J86" t="s">
        <v>1461</v>
      </c>
    </row>
    <row r="87" spans="2:11" x14ac:dyDescent="0.3">
      <c r="B87" t="s">
        <v>1593</v>
      </c>
      <c r="C87" t="s">
        <v>1594</v>
      </c>
      <c r="D87" s="9" t="s">
        <v>1595</v>
      </c>
      <c r="E87" t="s">
        <v>23</v>
      </c>
      <c r="F87" s="8">
        <v>28796</v>
      </c>
      <c r="G87">
        <v>48</v>
      </c>
      <c r="H87" s="9" t="s">
        <v>1596</v>
      </c>
      <c r="I87" t="s">
        <v>13</v>
      </c>
      <c r="J87" t="s">
        <v>1174</v>
      </c>
    </row>
    <row r="88" spans="2:11" x14ac:dyDescent="0.3">
      <c r="B88" t="s">
        <v>1597</v>
      </c>
      <c r="C88" t="s">
        <v>1598</v>
      </c>
      <c r="D88" s="9" t="s">
        <v>1599</v>
      </c>
      <c r="E88" t="s">
        <v>24</v>
      </c>
      <c r="F88" s="8">
        <v>28494</v>
      </c>
      <c r="G88">
        <v>47</v>
      </c>
      <c r="H88" s="9" t="s">
        <v>778</v>
      </c>
      <c r="I88" t="s">
        <v>13</v>
      </c>
      <c r="J88" t="s">
        <v>1461</v>
      </c>
    </row>
    <row r="89" spans="2:11" x14ac:dyDescent="0.3">
      <c r="B89" t="s">
        <v>1626</v>
      </c>
      <c r="C89" t="s">
        <v>1627</v>
      </c>
      <c r="D89" s="9" t="s">
        <v>1628</v>
      </c>
      <c r="E89" t="s">
        <v>23</v>
      </c>
      <c r="F89" s="8">
        <v>27307</v>
      </c>
      <c r="G89">
        <v>51</v>
      </c>
      <c r="H89" s="9" t="s">
        <v>1629</v>
      </c>
      <c r="I89" t="s">
        <v>13</v>
      </c>
      <c r="J89" t="s">
        <v>1630</v>
      </c>
    </row>
    <row r="90" spans="2:11" x14ac:dyDescent="0.3">
      <c r="B90" t="s">
        <v>1640</v>
      </c>
      <c r="C90" t="s">
        <v>1641</v>
      </c>
      <c r="D90" s="9" t="s">
        <v>1642</v>
      </c>
      <c r="E90" t="s">
        <v>23</v>
      </c>
      <c r="F90" s="8" t="s">
        <v>1643</v>
      </c>
      <c r="G90">
        <v>30</v>
      </c>
      <c r="H90" s="9" t="s">
        <v>1644</v>
      </c>
      <c r="I90" t="s">
        <v>12</v>
      </c>
    </row>
    <row r="91" spans="2:11" x14ac:dyDescent="0.3">
      <c r="B91" t="s">
        <v>1651</v>
      </c>
      <c r="C91" t="s">
        <v>1652</v>
      </c>
      <c r="D91" s="9" t="s">
        <v>1653</v>
      </c>
      <c r="E91" t="s">
        <v>23</v>
      </c>
      <c r="F91" s="8" t="s">
        <v>1654</v>
      </c>
      <c r="G91">
        <v>29</v>
      </c>
      <c r="H91" s="9" t="s">
        <v>778</v>
      </c>
      <c r="I91" t="s">
        <v>13</v>
      </c>
      <c r="J91" t="s">
        <v>639</v>
      </c>
      <c r="K91" t="s">
        <v>573</v>
      </c>
    </row>
    <row r="92" spans="2:11" x14ac:dyDescent="0.3">
      <c r="B92" t="s">
        <v>1668</v>
      </c>
      <c r="C92" t="s">
        <v>1669</v>
      </c>
      <c r="D92" s="9" t="s">
        <v>1670</v>
      </c>
      <c r="E92" t="s">
        <v>24</v>
      </c>
      <c r="F92" s="8" t="s">
        <v>1671</v>
      </c>
      <c r="G92">
        <v>54</v>
      </c>
      <c r="H92" s="9" t="s">
        <v>1672</v>
      </c>
      <c r="I92" t="s">
        <v>12</v>
      </c>
    </row>
    <row r="93" spans="2:11" x14ac:dyDescent="0.3">
      <c r="B93" t="s">
        <v>1680</v>
      </c>
      <c r="C93" t="s">
        <v>1681</v>
      </c>
      <c r="D93" s="9" t="s">
        <v>1682</v>
      </c>
      <c r="E93" t="s">
        <v>23</v>
      </c>
      <c r="F93" s="8" t="s">
        <v>1683</v>
      </c>
      <c r="G93">
        <v>10</v>
      </c>
      <c r="H93" s="9" t="s">
        <v>1684</v>
      </c>
      <c r="I93" t="s">
        <v>12</v>
      </c>
      <c r="J93" t="s">
        <v>486</v>
      </c>
    </row>
    <row r="94" spans="2:11" x14ac:dyDescent="0.3">
      <c r="B94" t="s">
        <v>1685</v>
      </c>
      <c r="C94" t="s">
        <v>1686</v>
      </c>
      <c r="D94" s="9" t="s">
        <v>1687</v>
      </c>
      <c r="E94" t="s">
        <v>23</v>
      </c>
      <c r="F94" s="8">
        <v>39783</v>
      </c>
      <c r="G94">
        <v>18</v>
      </c>
      <c r="H94" s="9" t="s">
        <v>1688</v>
      </c>
      <c r="I94" t="s">
        <v>12</v>
      </c>
      <c r="J94" t="s">
        <v>486</v>
      </c>
    </row>
    <row r="95" spans="2:11" x14ac:dyDescent="0.3">
      <c r="B95" t="s">
        <v>1699</v>
      </c>
      <c r="C95" t="s">
        <v>1700</v>
      </c>
      <c r="D95" s="9" t="s">
        <v>1701</v>
      </c>
      <c r="E95" t="s">
        <v>24</v>
      </c>
      <c r="F95" s="8">
        <v>39696</v>
      </c>
      <c r="G95">
        <v>17</v>
      </c>
      <c r="H95" s="9" t="s">
        <v>1702</v>
      </c>
      <c r="I95" t="s">
        <v>12</v>
      </c>
      <c r="J95" t="s">
        <v>486</v>
      </c>
    </row>
    <row r="96" spans="2:11" x14ac:dyDescent="0.3">
      <c r="B96" t="s">
        <v>1703</v>
      </c>
      <c r="C96" t="s">
        <v>1704</v>
      </c>
      <c r="D96" s="9" t="s">
        <v>1705</v>
      </c>
      <c r="E96" t="s">
        <v>23</v>
      </c>
      <c r="F96" s="8">
        <v>42377</v>
      </c>
      <c r="G96">
        <v>9</v>
      </c>
      <c r="H96" s="9" t="s">
        <v>1706</v>
      </c>
      <c r="I96" t="s">
        <v>12</v>
      </c>
      <c r="J96" t="s">
        <v>486</v>
      </c>
    </row>
    <row r="97" spans="2:11" x14ac:dyDescent="0.3">
      <c r="B97" t="s">
        <v>1707</v>
      </c>
      <c r="C97" t="s">
        <v>1708</v>
      </c>
      <c r="D97" s="9" t="s">
        <v>1709</v>
      </c>
      <c r="E97" t="s">
        <v>24</v>
      </c>
      <c r="F97" s="8">
        <v>37811</v>
      </c>
      <c r="G97">
        <v>22</v>
      </c>
      <c r="H97" s="9" t="s">
        <v>1710</v>
      </c>
      <c r="I97" t="s">
        <v>12</v>
      </c>
      <c r="J97" t="s">
        <v>486</v>
      </c>
    </row>
    <row r="98" spans="2:11" x14ac:dyDescent="0.3">
      <c r="B98" t="s">
        <v>1744</v>
      </c>
      <c r="C98" t="s">
        <v>1745</v>
      </c>
      <c r="D98" s="9" t="s">
        <v>1746</v>
      </c>
      <c r="E98" t="s">
        <v>23</v>
      </c>
      <c r="F98" s="8">
        <v>35279</v>
      </c>
      <c r="G98">
        <v>30</v>
      </c>
      <c r="H98" s="9" t="s">
        <v>1747</v>
      </c>
      <c r="I98" t="s">
        <v>13</v>
      </c>
      <c r="J98" t="s">
        <v>1748</v>
      </c>
    </row>
    <row r="99" spans="2:11" x14ac:dyDescent="0.3">
      <c r="B99" t="s">
        <v>1757</v>
      </c>
      <c r="C99" t="s">
        <v>1758</v>
      </c>
      <c r="D99" s="9" t="s">
        <v>1759</v>
      </c>
      <c r="E99" t="s">
        <v>24</v>
      </c>
      <c r="F99" s="8" t="s">
        <v>1760</v>
      </c>
      <c r="G99">
        <v>25</v>
      </c>
      <c r="H99" s="9" t="s">
        <v>1761</v>
      </c>
      <c r="I99" t="s">
        <v>12</v>
      </c>
      <c r="J99" t="s">
        <v>1762</v>
      </c>
    </row>
    <row r="100" spans="2:11" x14ac:dyDescent="0.3">
      <c r="B100" t="s">
        <v>1772</v>
      </c>
      <c r="C100" t="s">
        <v>1773</v>
      </c>
      <c r="D100" s="9" t="s">
        <v>1774</v>
      </c>
      <c r="E100" t="s">
        <v>24</v>
      </c>
      <c r="F100" s="8" t="s">
        <v>1775</v>
      </c>
      <c r="G100">
        <v>22</v>
      </c>
      <c r="H100" s="9" t="s">
        <v>1776</v>
      </c>
      <c r="I100" t="s">
        <v>12</v>
      </c>
      <c r="J100" t="s">
        <v>1762</v>
      </c>
    </row>
    <row r="101" spans="2:11" x14ac:dyDescent="0.3">
      <c r="B101" t="s">
        <v>1795</v>
      </c>
      <c r="C101" t="s">
        <v>1796</v>
      </c>
      <c r="D101" s="9" t="s">
        <v>1797</v>
      </c>
      <c r="E101" t="s">
        <v>23</v>
      </c>
      <c r="F101" s="8">
        <v>35771</v>
      </c>
      <c r="G101">
        <v>28</v>
      </c>
      <c r="H101" s="9" t="s">
        <v>1798</v>
      </c>
      <c r="I101" t="s">
        <v>12</v>
      </c>
      <c r="J101" t="s">
        <v>1799</v>
      </c>
    </row>
    <row r="102" spans="2:11" x14ac:dyDescent="0.3">
      <c r="B102" t="s">
        <v>1810</v>
      </c>
      <c r="C102" t="s">
        <v>1811</v>
      </c>
      <c r="D102" s="9" t="s">
        <v>1812</v>
      </c>
      <c r="E102" t="s">
        <v>24</v>
      </c>
      <c r="F102" s="8">
        <v>34981</v>
      </c>
      <c r="G102">
        <v>30</v>
      </c>
      <c r="H102" s="9" t="s">
        <v>1532</v>
      </c>
      <c r="I102" t="s">
        <v>13</v>
      </c>
      <c r="J102" t="s">
        <v>1813</v>
      </c>
    </row>
    <row r="103" spans="2:11" x14ac:dyDescent="0.3">
      <c r="B103" t="s">
        <v>1824</v>
      </c>
      <c r="C103" t="s">
        <v>1825</v>
      </c>
      <c r="D103" s="9" t="s">
        <v>1826</v>
      </c>
      <c r="E103" t="s">
        <v>23</v>
      </c>
      <c r="F103" s="8">
        <v>27607</v>
      </c>
      <c r="G103">
        <v>51</v>
      </c>
      <c r="H103" s="9" t="s">
        <v>1827</v>
      </c>
      <c r="I103" t="s">
        <v>13</v>
      </c>
      <c r="J103" t="s">
        <v>1828</v>
      </c>
    </row>
    <row r="104" spans="2:11" x14ac:dyDescent="0.3">
      <c r="B104" t="s">
        <v>1838</v>
      </c>
      <c r="C104" t="s">
        <v>1839</v>
      </c>
      <c r="D104" s="9" t="s">
        <v>1840</v>
      </c>
      <c r="E104" t="s">
        <v>23</v>
      </c>
      <c r="F104" s="8" t="s">
        <v>1841</v>
      </c>
      <c r="G104">
        <v>50</v>
      </c>
      <c r="H104" s="9" t="s">
        <v>1842</v>
      </c>
      <c r="I104" t="s">
        <v>13</v>
      </c>
      <c r="J104" t="s">
        <v>614</v>
      </c>
      <c r="K104" t="s">
        <v>311</v>
      </c>
    </row>
    <row r="105" spans="2:11" x14ac:dyDescent="0.3">
      <c r="B105" t="s">
        <v>1843</v>
      </c>
      <c r="C105" t="s">
        <v>1844</v>
      </c>
      <c r="D105" s="9" t="s">
        <v>1845</v>
      </c>
      <c r="E105" t="s">
        <v>24</v>
      </c>
      <c r="F105" s="8">
        <v>28806</v>
      </c>
      <c r="G105">
        <v>47</v>
      </c>
      <c r="H105" s="9" t="s">
        <v>1842</v>
      </c>
      <c r="I105" t="s">
        <v>13</v>
      </c>
      <c r="J105" t="s">
        <v>866</v>
      </c>
      <c r="K105" t="s">
        <v>311</v>
      </c>
    </row>
    <row r="106" spans="2:11" x14ac:dyDescent="0.3">
      <c r="B106" t="s">
        <v>1846</v>
      </c>
      <c r="C106" t="s">
        <v>1847</v>
      </c>
      <c r="D106" s="9" t="s">
        <v>1848</v>
      </c>
      <c r="E106" t="s">
        <v>24</v>
      </c>
      <c r="F106" s="8" t="s">
        <v>1849</v>
      </c>
      <c r="G106">
        <v>18</v>
      </c>
      <c r="H106" s="9" t="s">
        <v>1850</v>
      </c>
      <c r="I106" t="s">
        <v>12</v>
      </c>
      <c r="J106" t="s">
        <v>486</v>
      </c>
    </row>
    <row r="107" spans="2:11" x14ac:dyDescent="0.3">
      <c r="B107" t="s">
        <v>1851</v>
      </c>
      <c r="C107" t="s">
        <v>1852</v>
      </c>
      <c r="D107" s="9" t="s">
        <v>1853</v>
      </c>
      <c r="E107" t="s">
        <v>23</v>
      </c>
      <c r="F107" s="8" t="s">
        <v>1854</v>
      </c>
      <c r="G107">
        <v>70</v>
      </c>
      <c r="H107" s="9" t="s">
        <v>1855</v>
      </c>
      <c r="I107" t="s">
        <v>13</v>
      </c>
      <c r="J107" t="s">
        <v>520</v>
      </c>
    </row>
    <row r="108" spans="2:11" x14ac:dyDescent="0.3">
      <c r="B108" t="s">
        <v>1869</v>
      </c>
      <c r="C108" t="s">
        <v>1870</v>
      </c>
      <c r="D108" s="9" t="s">
        <v>1871</v>
      </c>
      <c r="E108" t="s">
        <v>23</v>
      </c>
      <c r="F108" s="8" t="s">
        <v>1872</v>
      </c>
      <c r="G108">
        <v>63</v>
      </c>
      <c r="H108" s="9" t="s">
        <v>1873</v>
      </c>
      <c r="I108" t="s">
        <v>13</v>
      </c>
      <c r="J108" t="s">
        <v>1874</v>
      </c>
    </row>
    <row r="109" spans="2:11" x14ac:dyDescent="0.3">
      <c r="B109" t="s">
        <v>1875</v>
      </c>
      <c r="C109" t="s">
        <v>1876</v>
      </c>
      <c r="D109" s="9" t="s">
        <v>1877</v>
      </c>
      <c r="E109" t="s">
        <v>24</v>
      </c>
      <c r="F109" s="8" t="s">
        <v>1878</v>
      </c>
      <c r="G109">
        <v>54</v>
      </c>
      <c r="H109" s="9" t="s">
        <v>1879</v>
      </c>
      <c r="I109" t="s">
        <v>13</v>
      </c>
      <c r="J109" t="s">
        <v>1880</v>
      </c>
    </row>
    <row r="110" spans="2:11" x14ac:dyDescent="0.3">
      <c r="B110" t="s">
        <v>1881</v>
      </c>
      <c r="C110" t="s">
        <v>1882</v>
      </c>
      <c r="D110" s="9" t="s">
        <v>1883</v>
      </c>
      <c r="E110" t="s">
        <v>23</v>
      </c>
      <c r="F110" s="8" t="s">
        <v>1884</v>
      </c>
      <c r="G110">
        <v>16</v>
      </c>
      <c r="H110" s="9" t="s">
        <v>1885</v>
      </c>
      <c r="I110" t="s">
        <v>12</v>
      </c>
      <c r="J110" t="s">
        <v>486</v>
      </c>
    </row>
    <row r="111" spans="2:11" x14ac:dyDescent="0.3">
      <c r="B111" t="s">
        <v>1900</v>
      </c>
      <c r="C111" t="s">
        <v>1901</v>
      </c>
      <c r="D111" s="9" t="s">
        <v>1902</v>
      </c>
      <c r="E111" t="s">
        <v>24</v>
      </c>
      <c r="F111" s="8">
        <v>37539</v>
      </c>
      <c r="G111">
        <v>23</v>
      </c>
      <c r="H111" s="9" t="s">
        <v>1903</v>
      </c>
      <c r="I111" t="s">
        <v>12</v>
      </c>
      <c r="J111" t="s">
        <v>1904</v>
      </c>
      <c r="K111" t="s">
        <v>1456</v>
      </c>
    </row>
    <row r="112" spans="2:11" x14ac:dyDescent="0.3">
      <c r="B112" t="s">
        <v>1935</v>
      </c>
      <c r="C112" t="s">
        <v>1936</v>
      </c>
      <c r="D112" s="9" t="s">
        <v>1937</v>
      </c>
      <c r="E112" t="s">
        <v>23</v>
      </c>
      <c r="F112" s="8">
        <v>27800</v>
      </c>
      <c r="G112">
        <v>49</v>
      </c>
      <c r="H112" s="9" t="s">
        <v>1938</v>
      </c>
      <c r="I112" t="s">
        <v>12</v>
      </c>
      <c r="J112" t="s">
        <v>1630</v>
      </c>
      <c r="K112" t="s">
        <v>1456</v>
      </c>
    </row>
    <row r="113" spans="2:11" x14ac:dyDescent="0.3">
      <c r="B113" t="s">
        <v>1950</v>
      </c>
      <c r="C113" t="s">
        <v>1951</v>
      </c>
      <c r="D113" s="9" t="s">
        <v>1952</v>
      </c>
      <c r="E113" t="s">
        <v>23</v>
      </c>
      <c r="F113" s="8" t="s">
        <v>1953</v>
      </c>
      <c r="G113">
        <v>65</v>
      </c>
      <c r="H113" s="9" t="s">
        <v>1954</v>
      </c>
      <c r="I113" t="s">
        <v>13</v>
      </c>
      <c r="J113" t="s">
        <v>614</v>
      </c>
    </row>
    <row r="114" spans="2:11" x14ac:dyDescent="0.3">
      <c r="B114" t="s">
        <v>1970</v>
      </c>
      <c r="C114" t="s">
        <v>1971</v>
      </c>
      <c r="D114" s="9" t="s">
        <v>1972</v>
      </c>
      <c r="E114" t="s">
        <v>23</v>
      </c>
      <c r="F114" s="8">
        <v>28312</v>
      </c>
      <c r="G114">
        <v>48</v>
      </c>
      <c r="H114" s="9" t="s">
        <v>1973</v>
      </c>
      <c r="I114" t="s">
        <v>13</v>
      </c>
      <c r="J114" t="s">
        <v>520</v>
      </c>
      <c r="K114" t="s">
        <v>1974</v>
      </c>
    </row>
    <row r="115" spans="2:11" x14ac:dyDescent="0.3">
      <c r="B115" t="s">
        <v>1984</v>
      </c>
      <c r="C115" t="s">
        <v>1985</v>
      </c>
      <c r="D115" s="9" t="s">
        <v>1986</v>
      </c>
      <c r="E115" t="s">
        <v>24</v>
      </c>
      <c r="F115" s="8">
        <v>32786</v>
      </c>
      <c r="G115">
        <v>36</v>
      </c>
      <c r="H115" s="9" t="s">
        <v>1987</v>
      </c>
      <c r="I115" t="s">
        <v>13</v>
      </c>
      <c r="J115" t="s">
        <v>866</v>
      </c>
      <c r="K115" t="s">
        <v>573</v>
      </c>
    </row>
    <row r="116" spans="2:11" x14ac:dyDescent="0.3">
      <c r="B116" t="s">
        <v>1988</v>
      </c>
      <c r="C116" t="s">
        <v>1989</v>
      </c>
      <c r="D116" s="9" t="s">
        <v>1990</v>
      </c>
      <c r="E116" t="s">
        <v>24</v>
      </c>
      <c r="F116" s="8" t="s">
        <v>1991</v>
      </c>
      <c r="G116">
        <v>58</v>
      </c>
      <c r="H116" s="9" t="s">
        <v>1992</v>
      </c>
      <c r="I116" t="s">
        <v>13</v>
      </c>
      <c r="J116" t="s">
        <v>866</v>
      </c>
      <c r="K116" t="s">
        <v>1572</v>
      </c>
    </row>
    <row r="117" spans="2:11" x14ac:dyDescent="0.3">
      <c r="B117" t="s">
        <v>2019</v>
      </c>
      <c r="C117" t="s">
        <v>2020</v>
      </c>
      <c r="D117" s="9" t="s">
        <v>2021</v>
      </c>
      <c r="E117" t="s">
        <v>23</v>
      </c>
      <c r="F117" s="8">
        <v>39116</v>
      </c>
      <c r="G117">
        <v>18</v>
      </c>
      <c r="H117" s="9" t="s">
        <v>2022</v>
      </c>
      <c r="I117" t="s">
        <v>12</v>
      </c>
      <c r="J117" t="s">
        <v>486</v>
      </c>
    </row>
    <row r="118" spans="2:11" x14ac:dyDescent="0.3">
      <c r="B118" t="s">
        <v>2028</v>
      </c>
      <c r="C118" t="s">
        <v>2029</v>
      </c>
      <c r="D118" s="9" t="s">
        <v>2030</v>
      </c>
      <c r="E118" t="s">
        <v>24</v>
      </c>
      <c r="F118" s="8">
        <v>32054</v>
      </c>
      <c r="G118">
        <v>38</v>
      </c>
      <c r="H118" s="9" t="s">
        <v>2031</v>
      </c>
      <c r="I118" t="s">
        <v>12</v>
      </c>
      <c r="J118" t="s">
        <v>866</v>
      </c>
      <c r="K118" t="s">
        <v>2032</v>
      </c>
    </row>
    <row r="119" spans="2:11" x14ac:dyDescent="0.3">
      <c r="B119" t="s">
        <v>2033</v>
      </c>
      <c r="C119" t="s">
        <v>2034</v>
      </c>
      <c r="D119" s="9" t="s">
        <v>2035</v>
      </c>
      <c r="E119" t="s">
        <v>24</v>
      </c>
      <c r="F119" s="8">
        <v>34006</v>
      </c>
      <c r="G119">
        <v>32</v>
      </c>
      <c r="H119" s="9" t="s">
        <v>2036</v>
      </c>
      <c r="I119" t="s">
        <v>12</v>
      </c>
      <c r="J119" t="s">
        <v>1337</v>
      </c>
      <c r="K119" t="s">
        <v>573</v>
      </c>
    </row>
    <row r="120" spans="2:11" x14ac:dyDescent="0.3">
      <c r="B120" t="s">
        <v>2046</v>
      </c>
      <c r="C120" t="s">
        <v>2047</v>
      </c>
      <c r="D120" s="9" t="s">
        <v>2048</v>
      </c>
      <c r="E120" t="s">
        <v>23</v>
      </c>
      <c r="F120" s="8">
        <v>23719</v>
      </c>
      <c r="G120">
        <v>61</v>
      </c>
      <c r="H120" s="9" t="s">
        <v>2049</v>
      </c>
      <c r="I120" t="s">
        <v>13</v>
      </c>
      <c r="J120" t="s">
        <v>2050</v>
      </c>
    </row>
    <row r="121" spans="2:11" x14ac:dyDescent="0.3">
      <c r="B121" t="s">
        <v>2051</v>
      </c>
      <c r="C121" t="s">
        <v>2052</v>
      </c>
      <c r="D121" s="9" t="s">
        <v>2053</v>
      </c>
      <c r="E121" t="s">
        <v>24</v>
      </c>
      <c r="F121" s="8" t="s">
        <v>2054</v>
      </c>
      <c r="G121">
        <v>26</v>
      </c>
      <c r="H121" s="9" t="s">
        <v>2055</v>
      </c>
      <c r="I121" t="s">
        <v>12</v>
      </c>
      <c r="J121" t="s">
        <v>2056</v>
      </c>
    </row>
    <row r="122" spans="2:11" x14ac:dyDescent="0.3">
      <c r="B122" t="s">
        <v>2057</v>
      </c>
      <c r="C122" t="s">
        <v>2058</v>
      </c>
      <c r="D122" s="9" t="s">
        <v>2059</v>
      </c>
      <c r="E122" t="s">
        <v>23</v>
      </c>
      <c r="F122" s="8" t="s">
        <v>2060</v>
      </c>
      <c r="G122">
        <v>6</v>
      </c>
      <c r="H122" s="9" t="s">
        <v>2061</v>
      </c>
      <c r="I122" t="s">
        <v>12</v>
      </c>
      <c r="J122" t="s">
        <v>486</v>
      </c>
    </row>
    <row r="123" spans="2:11" x14ac:dyDescent="0.3">
      <c r="B123" t="s">
        <v>2062</v>
      </c>
      <c r="C123" t="s">
        <v>2063</v>
      </c>
      <c r="D123" s="9" t="s">
        <v>2064</v>
      </c>
      <c r="E123" t="s">
        <v>24</v>
      </c>
      <c r="F123" s="8" t="s">
        <v>2065</v>
      </c>
      <c r="G123">
        <v>41</v>
      </c>
      <c r="H123" s="9" t="s">
        <v>2066</v>
      </c>
      <c r="I123" t="s">
        <v>13</v>
      </c>
      <c r="K123" t="s">
        <v>1572</v>
      </c>
    </row>
    <row r="124" spans="2:11" x14ac:dyDescent="0.3">
      <c r="B124" t="s">
        <v>2067</v>
      </c>
      <c r="C124" t="s">
        <v>2068</v>
      </c>
      <c r="D124" s="9" t="s">
        <v>2069</v>
      </c>
      <c r="E124" t="s">
        <v>23</v>
      </c>
      <c r="F124" s="8" t="s">
        <v>2070</v>
      </c>
      <c r="G124">
        <v>66</v>
      </c>
      <c r="H124" s="9" t="s">
        <v>2071</v>
      </c>
      <c r="I124" t="s">
        <v>13</v>
      </c>
      <c r="J124" t="s">
        <v>520</v>
      </c>
    </row>
    <row r="125" spans="2:11" x14ac:dyDescent="0.3">
      <c r="B125" t="s">
        <v>2084</v>
      </c>
      <c r="C125" t="s">
        <v>2085</v>
      </c>
      <c r="D125" s="9" t="s">
        <v>2086</v>
      </c>
      <c r="E125" t="s">
        <v>24</v>
      </c>
      <c r="F125" s="8">
        <v>38444</v>
      </c>
      <c r="G125">
        <v>21</v>
      </c>
      <c r="H125" s="9" t="s">
        <v>2087</v>
      </c>
      <c r="I125" t="s">
        <v>12</v>
      </c>
      <c r="J125" t="s">
        <v>486</v>
      </c>
      <c r="K125" t="s">
        <v>2088</v>
      </c>
    </row>
    <row r="126" spans="2:11" x14ac:dyDescent="0.3">
      <c r="B126" t="s">
        <v>2099</v>
      </c>
      <c r="C126" t="s">
        <v>2100</v>
      </c>
      <c r="D126" s="9" t="s">
        <v>2101</v>
      </c>
      <c r="E126" t="s">
        <v>24</v>
      </c>
      <c r="F126" s="8" t="s">
        <v>2102</v>
      </c>
      <c r="G126">
        <v>56</v>
      </c>
      <c r="H126" s="9" t="s">
        <v>2103</v>
      </c>
      <c r="I126" t="s">
        <v>13</v>
      </c>
      <c r="K126" t="s">
        <v>311</v>
      </c>
    </row>
    <row r="127" spans="2:11" x14ac:dyDescent="0.3">
      <c r="B127" t="s">
        <v>2115</v>
      </c>
      <c r="C127" t="s">
        <v>2116</v>
      </c>
      <c r="D127" s="9" t="s">
        <v>2117</v>
      </c>
      <c r="E127" t="s">
        <v>24</v>
      </c>
      <c r="F127" s="8" t="s">
        <v>2118</v>
      </c>
      <c r="G127">
        <v>48</v>
      </c>
      <c r="H127" s="9" t="s">
        <v>2119</v>
      </c>
      <c r="I127" t="s">
        <v>13</v>
      </c>
      <c r="J127" t="s">
        <v>2120</v>
      </c>
      <c r="K127" t="s">
        <v>573</v>
      </c>
    </row>
    <row r="128" spans="2:11" x14ac:dyDescent="0.3">
      <c r="B128" t="s">
        <v>2135</v>
      </c>
      <c r="C128" t="s">
        <v>2136</v>
      </c>
      <c r="D128" s="9" t="s">
        <v>2137</v>
      </c>
      <c r="E128" t="s">
        <v>24</v>
      </c>
      <c r="F128" s="8" t="s">
        <v>2138</v>
      </c>
      <c r="G128">
        <v>19</v>
      </c>
      <c r="H128" s="9" t="s">
        <v>2139</v>
      </c>
      <c r="I128" t="s">
        <v>12</v>
      </c>
      <c r="J128" t="s">
        <v>486</v>
      </c>
      <c r="K128" t="s">
        <v>2140</v>
      </c>
    </row>
    <row r="129" spans="2:11" x14ac:dyDescent="0.3">
      <c r="B129" t="s">
        <v>2141</v>
      </c>
      <c r="C129" t="s">
        <v>2142</v>
      </c>
      <c r="D129" s="9" t="s">
        <v>2143</v>
      </c>
      <c r="E129" t="s">
        <v>23</v>
      </c>
      <c r="F129" s="8" t="s">
        <v>2144</v>
      </c>
      <c r="G129">
        <v>26</v>
      </c>
      <c r="H129" s="9" t="s">
        <v>2145</v>
      </c>
      <c r="I129" t="s">
        <v>12</v>
      </c>
      <c r="J129" t="s">
        <v>1748</v>
      </c>
      <c r="K129" t="s">
        <v>2140</v>
      </c>
    </row>
    <row r="130" spans="2:11" x14ac:dyDescent="0.3">
      <c r="B130" t="s">
        <v>2152</v>
      </c>
      <c r="C130" t="s">
        <v>2153</v>
      </c>
      <c r="D130" s="9" t="s">
        <v>2154</v>
      </c>
      <c r="E130" t="s">
        <v>23</v>
      </c>
      <c r="F130" s="8">
        <v>38725</v>
      </c>
      <c r="G130">
        <v>19</v>
      </c>
      <c r="H130" s="9" t="s">
        <v>778</v>
      </c>
      <c r="I130" t="s">
        <v>12</v>
      </c>
      <c r="J130" t="s">
        <v>486</v>
      </c>
      <c r="K130" t="s">
        <v>521</v>
      </c>
    </row>
    <row r="131" spans="2:11" x14ac:dyDescent="0.3">
      <c r="B131" t="s">
        <v>2167</v>
      </c>
      <c r="C131" t="s">
        <v>2168</v>
      </c>
      <c r="D131" s="9" t="s">
        <v>2169</v>
      </c>
      <c r="E131" t="s">
        <v>24</v>
      </c>
      <c r="F131" s="8" t="s">
        <v>2170</v>
      </c>
      <c r="G131">
        <v>49</v>
      </c>
      <c r="H131" s="9" t="s">
        <v>2171</v>
      </c>
      <c r="I131" t="s">
        <v>14</v>
      </c>
      <c r="J131" t="s">
        <v>1461</v>
      </c>
      <c r="K131" t="s">
        <v>1338</v>
      </c>
    </row>
    <row r="132" spans="2:11" x14ac:dyDescent="0.3">
      <c r="B132" t="s">
        <v>2172</v>
      </c>
      <c r="C132" t="s">
        <v>2173</v>
      </c>
      <c r="D132" s="9" t="s">
        <v>2174</v>
      </c>
      <c r="E132" t="s">
        <v>24</v>
      </c>
      <c r="F132" s="8" t="s">
        <v>2175</v>
      </c>
      <c r="G132">
        <v>71</v>
      </c>
      <c r="H132" s="9" t="s">
        <v>2171</v>
      </c>
      <c r="I132" t="s">
        <v>13</v>
      </c>
      <c r="J132" t="s">
        <v>866</v>
      </c>
      <c r="K132" t="s">
        <v>1338</v>
      </c>
    </row>
    <row r="133" spans="2:11" x14ac:dyDescent="0.3">
      <c r="B133" t="s">
        <v>2176</v>
      </c>
      <c r="C133" t="s">
        <v>2177</v>
      </c>
      <c r="D133" s="9" t="s">
        <v>2178</v>
      </c>
      <c r="E133" t="s">
        <v>24</v>
      </c>
      <c r="F133" s="8">
        <v>33545</v>
      </c>
      <c r="G133">
        <v>34</v>
      </c>
      <c r="H133" s="9" t="s">
        <v>2061</v>
      </c>
      <c r="I133" t="s">
        <v>13</v>
      </c>
      <c r="J133" t="s">
        <v>2179</v>
      </c>
    </row>
    <row r="134" spans="2:11" x14ac:dyDescent="0.3">
      <c r="B134" t="s">
        <v>2219</v>
      </c>
      <c r="C134" t="s">
        <v>2220</v>
      </c>
      <c r="D134" s="9" t="s">
        <v>2221</v>
      </c>
      <c r="E134" t="s">
        <v>23</v>
      </c>
      <c r="F134" s="8" t="s">
        <v>2222</v>
      </c>
      <c r="G134">
        <v>21</v>
      </c>
      <c r="H134" s="9" t="s">
        <v>2223</v>
      </c>
      <c r="I134" t="s">
        <v>12</v>
      </c>
      <c r="J134" t="s">
        <v>486</v>
      </c>
      <c r="K134" t="s">
        <v>573</v>
      </c>
    </row>
    <row r="135" spans="2:11" x14ac:dyDescent="0.3">
      <c r="B135" t="s">
        <v>2235</v>
      </c>
      <c r="C135" t="s">
        <v>2236</v>
      </c>
      <c r="D135" s="9" t="s">
        <v>2237</v>
      </c>
      <c r="E135" t="s">
        <v>24</v>
      </c>
      <c r="F135" s="8" t="s">
        <v>2238</v>
      </c>
      <c r="G135">
        <v>32</v>
      </c>
      <c r="H135" s="9" t="s">
        <v>2239</v>
      </c>
      <c r="I135" t="s">
        <v>12</v>
      </c>
      <c r="J135" t="s">
        <v>1461</v>
      </c>
      <c r="K135" t="s">
        <v>573</v>
      </c>
    </row>
    <row r="136" spans="2:11" x14ac:dyDescent="0.3">
      <c r="B136" t="s">
        <v>2244</v>
      </c>
      <c r="C136" t="s">
        <v>2245</v>
      </c>
      <c r="D136" s="9" t="s">
        <v>2246</v>
      </c>
      <c r="E136" t="s">
        <v>24</v>
      </c>
      <c r="F136" s="8" t="s">
        <v>2247</v>
      </c>
      <c r="G136">
        <v>15</v>
      </c>
      <c r="H136" s="9" t="s">
        <v>2248</v>
      </c>
      <c r="I136" t="s">
        <v>12</v>
      </c>
      <c r="J136" t="s">
        <v>486</v>
      </c>
      <c r="K136" t="s">
        <v>573</v>
      </c>
    </row>
    <row r="137" spans="2:11" x14ac:dyDescent="0.3">
      <c r="B137" t="s">
        <v>2250</v>
      </c>
      <c r="C137" t="s">
        <v>2251</v>
      </c>
      <c r="D137" s="9" t="s">
        <v>2252</v>
      </c>
      <c r="E137" t="s">
        <v>23</v>
      </c>
      <c r="F137" s="8" t="s">
        <v>2253</v>
      </c>
      <c r="G137">
        <v>22</v>
      </c>
      <c r="H137" s="9" t="s">
        <v>2254</v>
      </c>
      <c r="I137" t="s">
        <v>12</v>
      </c>
      <c r="J137" t="s">
        <v>2255</v>
      </c>
      <c r="K137" t="s">
        <v>2256</v>
      </c>
    </row>
    <row r="138" spans="2:11" x14ac:dyDescent="0.3">
      <c r="B138" t="s">
        <v>2274</v>
      </c>
      <c r="C138" t="s">
        <v>2275</v>
      </c>
      <c r="D138" s="9" t="s">
        <v>2276</v>
      </c>
      <c r="E138" t="s">
        <v>23</v>
      </c>
      <c r="F138" s="8">
        <v>38357</v>
      </c>
      <c r="G138">
        <v>20</v>
      </c>
      <c r="H138" s="9" t="s">
        <v>2277</v>
      </c>
      <c r="I138" t="s">
        <v>12</v>
      </c>
      <c r="J138" t="s">
        <v>486</v>
      </c>
      <c r="K138" t="s">
        <v>573</v>
      </c>
    </row>
    <row r="139" spans="2:11" x14ac:dyDescent="0.3">
      <c r="B139" t="s">
        <v>2287</v>
      </c>
      <c r="C139" t="s">
        <v>2288</v>
      </c>
      <c r="D139" s="9" t="s">
        <v>2289</v>
      </c>
      <c r="E139" t="s">
        <v>24</v>
      </c>
      <c r="F139" s="8" t="s">
        <v>2290</v>
      </c>
      <c r="G139">
        <v>19</v>
      </c>
      <c r="H139" s="9" t="s">
        <v>2291</v>
      </c>
      <c r="I139" t="s">
        <v>12</v>
      </c>
      <c r="J139" t="s">
        <v>486</v>
      </c>
      <c r="K139" t="s">
        <v>573</v>
      </c>
    </row>
    <row r="140" spans="2:11" x14ac:dyDescent="0.3">
      <c r="B140" t="s">
        <v>2296</v>
      </c>
      <c r="C140" t="s">
        <v>2297</v>
      </c>
      <c r="D140" s="9" t="s">
        <v>2298</v>
      </c>
      <c r="E140" t="s">
        <v>24</v>
      </c>
      <c r="F140" s="8" t="s">
        <v>2299</v>
      </c>
      <c r="G140">
        <v>43</v>
      </c>
      <c r="H140" s="9" t="s">
        <v>2291</v>
      </c>
      <c r="I140" t="s">
        <v>14</v>
      </c>
      <c r="J140" t="s">
        <v>2300</v>
      </c>
      <c r="K140" t="s">
        <v>573</v>
      </c>
    </row>
    <row r="141" spans="2:11" x14ac:dyDescent="0.3">
      <c r="B141" t="s">
        <v>2301</v>
      </c>
      <c r="C141" t="s">
        <v>2302</v>
      </c>
      <c r="D141" s="9" t="s">
        <v>2303</v>
      </c>
      <c r="E141" t="s">
        <v>24</v>
      </c>
      <c r="F141" s="8">
        <v>41947</v>
      </c>
      <c r="G141">
        <v>11</v>
      </c>
      <c r="H141" s="9" t="s">
        <v>2291</v>
      </c>
      <c r="I141" t="s">
        <v>13</v>
      </c>
      <c r="J141" t="s">
        <v>486</v>
      </c>
      <c r="K141" t="s">
        <v>573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88419-8991-4BD2-A647-DD4D60765613}">
  <sheetPr codeName="Hoja6"/>
  <dimension ref="N14:Q25"/>
  <sheetViews>
    <sheetView showGridLines="0" tabSelected="1" workbookViewId="0">
      <selection activeCell="M33" sqref="M33"/>
    </sheetView>
  </sheetViews>
  <sheetFormatPr baseColWidth="10" defaultRowHeight="14.4" x14ac:dyDescent="0.3"/>
  <sheetData>
    <row r="14" spans="14:14" x14ac:dyDescent="0.3">
      <c r="N14" t="s">
        <v>146</v>
      </c>
    </row>
    <row r="18" spans="15:17" x14ac:dyDescent="0.3">
      <c r="Q18" t="s">
        <v>146</v>
      </c>
    </row>
    <row r="19" spans="15:17" x14ac:dyDescent="0.3">
      <c r="Q19" t="s">
        <v>146</v>
      </c>
    </row>
    <row r="20" spans="15:17" x14ac:dyDescent="0.3">
      <c r="O20" t="s">
        <v>146</v>
      </c>
    </row>
    <row r="25" spans="15:17" x14ac:dyDescent="0.3">
      <c r="O25" t="s">
        <v>195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0B7C0-101F-4A29-9A4C-56EE7AE35A19}">
  <sheetPr codeName="Hoja5"/>
  <dimension ref="C3:EQ120"/>
  <sheetViews>
    <sheetView workbookViewId="0">
      <selection activeCell="A9" sqref="A6:XFD9"/>
    </sheetView>
  </sheetViews>
  <sheetFormatPr baseColWidth="10" defaultRowHeight="14.4" x14ac:dyDescent="0.3"/>
  <cols>
    <col min="3" max="4" width="14" customWidth="1"/>
    <col min="6" max="6" width="18.44140625" customWidth="1"/>
    <col min="143" max="144" width="71.33203125" bestFit="1" customWidth="1"/>
    <col min="145" max="145" width="20.33203125" bestFit="1" customWidth="1"/>
    <col min="146" max="146" width="22.88671875" bestFit="1" customWidth="1"/>
    <col min="147" max="147" width="22.6640625" bestFit="1" customWidth="1"/>
  </cols>
  <sheetData>
    <row r="3" spans="3:147" x14ac:dyDescent="0.3">
      <c r="D3">
        <v>1</v>
      </c>
      <c r="E3">
        <v>2</v>
      </c>
      <c r="F3">
        <v>3</v>
      </c>
      <c r="G3" s="1">
        <v>4</v>
      </c>
      <c r="H3">
        <v>5</v>
      </c>
      <c r="I3">
        <v>6</v>
      </c>
      <c r="J3">
        <v>7</v>
      </c>
      <c r="K3">
        <v>8</v>
      </c>
      <c r="L3">
        <v>9</v>
      </c>
      <c r="M3">
        <v>10</v>
      </c>
      <c r="N3">
        <v>11</v>
      </c>
      <c r="O3">
        <v>12</v>
      </c>
      <c r="P3">
        <v>13</v>
      </c>
      <c r="Q3">
        <v>14</v>
      </c>
      <c r="R3">
        <v>15</v>
      </c>
      <c r="S3">
        <v>16</v>
      </c>
      <c r="T3">
        <v>17</v>
      </c>
      <c r="U3">
        <v>18</v>
      </c>
      <c r="V3">
        <v>19</v>
      </c>
      <c r="W3">
        <v>20</v>
      </c>
      <c r="X3">
        <v>21</v>
      </c>
      <c r="Y3">
        <v>22</v>
      </c>
      <c r="Z3">
        <v>23</v>
      </c>
      <c r="AA3">
        <v>24</v>
      </c>
      <c r="AB3">
        <v>25</v>
      </c>
      <c r="AC3">
        <v>26</v>
      </c>
      <c r="AD3">
        <v>27</v>
      </c>
      <c r="AE3">
        <v>28</v>
      </c>
      <c r="AF3">
        <v>29</v>
      </c>
      <c r="AG3">
        <v>30</v>
      </c>
      <c r="AH3">
        <v>31</v>
      </c>
      <c r="AI3">
        <v>32</v>
      </c>
      <c r="AJ3">
        <v>33</v>
      </c>
      <c r="AK3">
        <v>34</v>
      </c>
      <c r="AL3">
        <v>35</v>
      </c>
      <c r="AM3">
        <v>36</v>
      </c>
      <c r="AN3">
        <v>37</v>
      </c>
      <c r="AO3">
        <v>38</v>
      </c>
      <c r="AP3">
        <v>39</v>
      </c>
      <c r="AQ3">
        <v>40</v>
      </c>
      <c r="AR3">
        <v>41</v>
      </c>
      <c r="AS3">
        <v>42</v>
      </c>
      <c r="AT3">
        <v>43</v>
      </c>
      <c r="AU3">
        <v>44</v>
      </c>
      <c r="AV3">
        <v>45</v>
      </c>
      <c r="AW3">
        <v>46</v>
      </c>
      <c r="AX3">
        <v>47</v>
      </c>
      <c r="AY3">
        <v>48</v>
      </c>
      <c r="AZ3">
        <v>49</v>
      </c>
      <c r="BA3">
        <v>50</v>
      </c>
      <c r="BB3">
        <v>51</v>
      </c>
      <c r="BC3">
        <v>52</v>
      </c>
      <c r="BD3">
        <v>53</v>
      </c>
      <c r="BE3">
        <v>54</v>
      </c>
      <c r="BF3">
        <v>55</v>
      </c>
      <c r="BG3">
        <v>56</v>
      </c>
      <c r="BH3">
        <v>57</v>
      </c>
      <c r="BI3">
        <v>58</v>
      </c>
      <c r="BJ3">
        <v>59</v>
      </c>
      <c r="BK3">
        <v>60</v>
      </c>
      <c r="BL3">
        <v>61</v>
      </c>
      <c r="BM3">
        <v>62</v>
      </c>
      <c r="BN3">
        <v>63</v>
      </c>
      <c r="BO3">
        <v>64</v>
      </c>
      <c r="BP3">
        <v>65</v>
      </c>
      <c r="BQ3">
        <v>66</v>
      </c>
      <c r="BR3">
        <v>67</v>
      </c>
      <c r="BS3">
        <v>68</v>
      </c>
      <c r="BT3">
        <v>69</v>
      </c>
      <c r="BU3">
        <v>70</v>
      </c>
      <c r="BV3">
        <v>71</v>
      </c>
      <c r="BW3">
        <v>72</v>
      </c>
      <c r="BX3">
        <v>73</v>
      </c>
      <c r="BY3">
        <v>74</v>
      </c>
      <c r="BZ3">
        <v>75</v>
      </c>
      <c r="CA3">
        <v>76</v>
      </c>
      <c r="CB3">
        <v>77</v>
      </c>
      <c r="CC3">
        <v>78</v>
      </c>
      <c r="CD3">
        <v>79</v>
      </c>
      <c r="CE3">
        <v>80</v>
      </c>
      <c r="CF3">
        <v>81</v>
      </c>
      <c r="CG3">
        <v>82</v>
      </c>
      <c r="CH3">
        <v>83</v>
      </c>
      <c r="CI3">
        <v>84</v>
      </c>
      <c r="CJ3">
        <v>85</v>
      </c>
      <c r="CK3">
        <v>86</v>
      </c>
      <c r="CL3">
        <v>87</v>
      </c>
      <c r="CM3">
        <v>88</v>
      </c>
      <c r="CN3">
        <v>89</v>
      </c>
      <c r="CO3">
        <v>90</v>
      </c>
      <c r="CP3">
        <v>91</v>
      </c>
      <c r="CQ3">
        <v>92</v>
      </c>
      <c r="CR3">
        <v>93</v>
      </c>
      <c r="CS3">
        <v>94</v>
      </c>
      <c r="CT3">
        <v>95</v>
      </c>
      <c r="CU3">
        <v>96</v>
      </c>
      <c r="CV3">
        <v>97</v>
      </c>
      <c r="CW3">
        <v>98</v>
      </c>
      <c r="CX3">
        <v>99</v>
      </c>
      <c r="CY3">
        <v>100</v>
      </c>
      <c r="CZ3">
        <v>101</v>
      </c>
      <c r="DA3">
        <v>102</v>
      </c>
      <c r="DB3">
        <v>103</v>
      </c>
      <c r="DC3">
        <v>104</v>
      </c>
      <c r="DD3">
        <v>105</v>
      </c>
      <c r="DE3">
        <v>106</v>
      </c>
      <c r="DF3">
        <v>107</v>
      </c>
      <c r="DG3">
        <v>108</v>
      </c>
      <c r="DH3">
        <v>109</v>
      </c>
      <c r="DI3">
        <v>110</v>
      </c>
      <c r="DJ3">
        <v>111</v>
      </c>
      <c r="DK3">
        <v>112</v>
      </c>
      <c r="DL3">
        <v>113</v>
      </c>
      <c r="DM3">
        <v>114</v>
      </c>
      <c r="DN3">
        <v>115</v>
      </c>
      <c r="DO3">
        <v>116</v>
      </c>
      <c r="DP3" s="1">
        <v>117</v>
      </c>
      <c r="DQ3">
        <v>118</v>
      </c>
      <c r="DR3">
        <v>119</v>
      </c>
      <c r="DS3">
        <v>120</v>
      </c>
      <c r="DT3">
        <v>121</v>
      </c>
      <c r="DU3">
        <v>122</v>
      </c>
      <c r="DV3">
        <v>123</v>
      </c>
      <c r="DW3">
        <v>124</v>
      </c>
      <c r="DX3">
        <v>125</v>
      </c>
      <c r="DY3">
        <v>126</v>
      </c>
      <c r="DZ3">
        <v>127</v>
      </c>
      <c r="EA3">
        <v>128</v>
      </c>
      <c r="EB3">
        <v>129</v>
      </c>
      <c r="EC3">
        <v>130</v>
      </c>
      <c r="ED3">
        <v>131</v>
      </c>
      <c r="EE3">
        <v>132</v>
      </c>
      <c r="EF3">
        <v>133</v>
      </c>
      <c r="EG3">
        <v>134</v>
      </c>
      <c r="EH3">
        <v>135</v>
      </c>
      <c r="EI3">
        <v>136</v>
      </c>
      <c r="EJ3" s="1">
        <v>137</v>
      </c>
      <c r="EK3">
        <v>138</v>
      </c>
      <c r="EL3">
        <v>139</v>
      </c>
      <c r="EM3">
        <v>140</v>
      </c>
      <c r="EN3" s="1">
        <v>141</v>
      </c>
      <c r="EO3">
        <v>142</v>
      </c>
      <c r="EP3" s="1">
        <v>143</v>
      </c>
      <c r="EQ3">
        <v>144</v>
      </c>
    </row>
    <row r="4" spans="3:147" x14ac:dyDescent="0.3">
      <c r="C4" s="29" t="s">
        <v>28</v>
      </c>
      <c r="D4" s="29" t="s">
        <v>29</v>
      </c>
      <c r="E4" s="29" t="s">
        <v>30</v>
      </c>
      <c r="F4" s="29" t="s">
        <v>31</v>
      </c>
      <c r="G4" s="29" t="s">
        <v>32</v>
      </c>
      <c r="H4" s="29" t="s">
        <v>33</v>
      </c>
      <c r="I4" s="29" t="s">
        <v>34</v>
      </c>
      <c r="J4" s="29" t="s">
        <v>35</v>
      </c>
      <c r="K4" s="29" t="s">
        <v>36</v>
      </c>
      <c r="L4" s="29" t="s">
        <v>37</v>
      </c>
      <c r="M4" s="29" t="s">
        <v>38</v>
      </c>
      <c r="N4" s="29" t="s">
        <v>39</v>
      </c>
      <c r="O4" s="29" t="s">
        <v>40</v>
      </c>
      <c r="P4" s="29" t="s">
        <v>41</v>
      </c>
      <c r="Q4" s="29" t="s">
        <v>42</v>
      </c>
      <c r="R4" s="29" t="s">
        <v>43</v>
      </c>
      <c r="S4" s="29" t="s">
        <v>44</v>
      </c>
      <c r="T4" s="29" t="s">
        <v>45</v>
      </c>
      <c r="U4" s="29" t="s">
        <v>46</v>
      </c>
      <c r="V4" s="29" t="s">
        <v>47</v>
      </c>
      <c r="W4" s="29" t="s">
        <v>48</v>
      </c>
      <c r="X4" s="29" t="s">
        <v>49</v>
      </c>
      <c r="Y4" s="29" t="s">
        <v>50</v>
      </c>
      <c r="Z4" s="29" t="s">
        <v>51</v>
      </c>
      <c r="AA4" s="29" t="s">
        <v>52</v>
      </c>
      <c r="AB4" s="29" t="s">
        <v>53</v>
      </c>
      <c r="AC4" s="29" t="s">
        <v>54</v>
      </c>
      <c r="AD4" s="29" t="s">
        <v>55</v>
      </c>
      <c r="AE4" s="29" t="s">
        <v>56</v>
      </c>
      <c r="AF4" s="29" t="s">
        <v>57</v>
      </c>
      <c r="AG4" s="29" t="s">
        <v>58</v>
      </c>
      <c r="AH4" s="29" t="s">
        <v>59</v>
      </c>
      <c r="AI4" s="29" t="s">
        <v>60</v>
      </c>
      <c r="AJ4" s="29" t="s">
        <v>61</v>
      </c>
      <c r="AK4" s="29" t="s">
        <v>62</v>
      </c>
      <c r="AL4" s="29" t="s">
        <v>63</v>
      </c>
      <c r="AM4" s="29" t="s">
        <v>64</v>
      </c>
      <c r="AN4" s="29" t="s">
        <v>65</v>
      </c>
      <c r="AO4" s="29" t="s">
        <v>66</v>
      </c>
      <c r="AP4" s="29" t="s">
        <v>67</v>
      </c>
      <c r="AQ4" s="29" t="s">
        <v>68</v>
      </c>
      <c r="AR4" s="29" t="s">
        <v>69</v>
      </c>
      <c r="AS4" s="29" t="s">
        <v>70</v>
      </c>
      <c r="AT4" s="29" t="s">
        <v>71</v>
      </c>
      <c r="AU4" s="29" t="s">
        <v>72</v>
      </c>
      <c r="AV4" s="29" t="s">
        <v>73</v>
      </c>
      <c r="AW4" s="29" t="s">
        <v>74</v>
      </c>
      <c r="AX4" s="29" t="s">
        <v>75</v>
      </c>
      <c r="AY4" s="29" t="s">
        <v>76</v>
      </c>
      <c r="AZ4" s="29" t="s">
        <v>77</v>
      </c>
      <c r="BA4" s="29" t="s">
        <v>78</v>
      </c>
      <c r="BB4" s="29" t="s">
        <v>79</v>
      </c>
      <c r="BC4" s="29" t="s">
        <v>80</v>
      </c>
      <c r="BD4" s="29" t="s">
        <v>81</v>
      </c>
      <c r="BE4" s="29" t="s">
        <v>82</v>
      </c>
      <c r="BF4" s="29" t="s">
        <v>83</v>
      </c>
      <c r="BG4" s="29" t="s">
        <v>84</v>
      </c>
      <c r="BH4" s="29" t="s">
        <v>85</v>
      </c>
      <c r="BI4" s="29" t="s">
        <v>86</v>
      </c>
      <c r="BJ4" s="29" t="s">
        <v>87</v>
      </c>
      <c r="BK4" s="29" t="s">
        <v>88</v>
      </c>
      <c r="BL4" s="29" t="s">
        <v>89</v>
      </c>
      <c r="BM4" s="29" t="s">
        <v>90</v>
      </c>
      <c r="BN4" s="29" t="s">
        <v>91</v>
      </c>
      <c r="BO4" s="29" t="s">
        <v>92</v>
      </c>
      <c r="BP4" s="29" t="s">
        <v>93</v>
      </c>
      <c r="BQ4" s="29" t="s">
        <v>94</v>
      </c>
      <c r="BR4" s="29" t="s">
        <v>95</v>
      </c>
      <c r="BS4" s="29" t="s">
        <v>96</v>
      </c>
      <c r="BT4" s="29" t="s">
        <v>97</v>
      </c>
      <c r="BU4" s="29" t="s">
        <v>98</v>
      </c>
      <c r="BV4" s="29" t="s">
        <v>99</v>
      </c>
      <c r="BW4" s="29" t="s">
        <v>100</v>
      </c>
      <c r="BX4" s="29" t="s">
        <v>101</v>
      </c>
      <c r="BY4" s="29" t="s">
        <v>102</v>
      </c>
      <c r="BZ4" s="29" t="s">
        <v>103</v>
      </c>
      <c r="CA4" s="29" t="s">
        <v>104</v>
      </c>
      <c r="CB4" s="29" t="s">
        <v>105</v>
      </c>
      <c r="CC4" s="29" t="s">
        <v>106</v>
      </c>
      <c r="CD4" s="29" t="s">
        <v>107</v>
      </c>
      <c r="CE4" s="29" t="s">
        <v>108</v>
      </c>
      <c r="CF4" s="29" t="s">
        <v>109</v>
      </c>
      <c r="CG4" s="29" t="s">
        <v>110</v>
      </c>
      <c r="CH4" s="29" t="s">
        <v>111</v>
      </c>
      <c r="CI4" s="29" t="s">
        <v>112</v>
      </c>
      <c r="CJ4" s="29" t="s">
        <v>113</v>
      </c>
      <c r="CK4" s="29" t="s">
        <v>114</v>
      </c>
      <c r="CL4" s="29" t="s">
        <v>115</v>
      </c>
      <c r="CM4" s="29" t="s">
        <v>116</v>
      </c>
      <c r="CN4" s="29" t="s">
        <v>117</v>
      </c>
      <c r="CO4" s="29" t="s">
        <v>118</v>
      </c>
      <c r="CP4" s="29" t="s">
        <v>119</v>
      </c>
      <c r="CQ4" s="29" t="s">
        <v>120</v>
      </c>
      <c r="CR4" s="29" t="s">
        <v>121</v>
      </c>
      <c r="CS4" s="29" t="s">
        <v>122</v>
      </c>
      <c r="CT4" s="29" t="s">
        <v>123</v>
      </c>
      <c r="CU4" s="29" t="s">
        <v>124</v>
      </c>
      <c r="CV4" s="29" t="s">
        <v>125</v>
      </c>
      <c r="CW4" s="29" t="s">
        <v>126</v>
      </c>
      <c r="CX4" s="29" t="s">
        <v>127</v>
      </c>
      <c r="CY4" s="29" t="s">
        <v>128</v>
      </c>
      <c r="CZ4" s="29" t="s">
        <v>129</v>
      </c>
      <c r="DA4" s="29" t="s">
        <v>130</v>
      </c>
      <c r="DB4" s="29" t="s">
        <v>131</v>
      </c>
      <c r="DC4" s="29" t="s">
        <v>132</v>
      </c>
      <c r="DD4" s="29" t="s">
        <v>133</v>
      </c>
      <c r="DE4" s="29" t="s">
        <v>134</v>
      </c>
      <c r="DF4" s="29" t="s">
        <v>135</v>
      </c>
      <c r="DG4" s="29" t="s">
        <v>136</v>
      </c>
      <c r="DH4" s="29" t="s">
        <v>137</v>
      </c>
      <c r="DI4" s="29" t="s">
        <v>138</v>
      </c>
      <c r="DJ4" s="29" t="s">
        <v>139</v>
      </c>
      <c r="DK4" s="29" t="s">
        <v>140</v>
      </c>
      <c r="DL4" s="29" t="s">
        <v>141</v>
      </c>
      <c r="DM4" s="29" t="s">
        <v>142</v>
      </c>
      <c r="DN4" s="29" t="s">
        <v>143</v>
      </c>
      <c r="DO4" s="29" t="s">
        <v>144</v>
      </c>
      <c r="DP4" s="29" t="s">
        <v>175</v>
      </c>
      <c r="DQ4" s="29" t="s">
        <v>176</v>
      </c>
      <c r="DR4" s="29" t="s">
        <v>177</v>
      </c>
      <c r="DS4" s="29" t="s">
        <v>178</v>
      </c>
      <c r="DT4" s="29" t="s">
        <v>179</v>
      </c>
      <c r="DU4" s="29" t="s">
        <v>180</v>
      </c>
      <c r="DV4" s="29" t="s">
        <v>181</v>
      </c>
      <c r="DW4" s="29" t="s">
        <v>182</v>
      </c>
      <c r="DX4" s="29" t="s">
        <v>183</v>
      </c>
      <c r="DY4" s="29" t="s">
        <v>184</v>
      </c>
      <c r="DZ4" s="29" t="s">
        <v>185</v>
      </c>
      <c r="EA4" s="29" t="s">
        <v>186</v>
      </c>
      <c r="EB4" s="29" t="s">
        <v>187</v>
      </c>
      <c r="EC4" s="29" t="s">
        <v>188</v>
      </c>
      <c r="ED4" s="29" t="s">
        <v>189</v>
      </c>
      <c r="EE4" s="29" t="s">
        <v>190</v>
      </c>
      <c r="EF4" s="29" t="s">
        <v>191</v>
      </c>
      <c r="EG4" s="29" t="s">
        <v>192</v>
      </c>
      <c r="EH4" s="29" t="s">
        <v>193</v>
      </c>
      <c r="EI4" s="29" t="s">
        <v>194</v>
      </c>
      <c r="EJ4" t="s">
        <v>261</v>
      </c>
      <c r="EK4" t="s">
        <v>195</v>
      </c>
      <c r="EL4" t="s">
        <v>197</v>
      </c>
      <c r="EM4" t="s">
        <v>199</v>
      </c>
      <c r="EN4" t="s">
        <v>200</v>
      </c>
      <c r="EO4" t="s">
        <v>202</v>
      </c>
      <c r="EP4" t="s">
        <v>203</v>
      </c>
      <c r="EQ4" t="s">
        <v>204</v>
      </c>
    </row>
    <row r="5" spans="3:147" x14ac:dyDescent="0.3">
      <c r="E5" s="8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</row>
    <row r="6" spans="3:147" x14ac:dyDescent="0.3">
      <c r="C6" t="s">
        <v>305</v>
      </c>
      <c r="D6" t="s">
        <v>286</v>
      </c>
      <c r="E6" s="8">
        <v>46027</v>
      </c>
      <c r="F6" t="s">
        <v>306</v>
      </c>
      <c r="G6" s="9" t="s">
        <v>308</v>
      </c>
      <c r="H6" s="9" t="s">
        <v>308</v>
      </c>
      <c r="I6" s="9" t="s">
        <v>308</v>
      </c>
      <c r="J6" s="9" t="s">
        <v>309</v>
      </c>
      <c r="K6" s="9" t="s">
        <v>310</v>
      </c>
      <c r="L6" s="9" t="s">
        <v>311</v>
      </c>
      <c r="M6" s="9" t="s">
        <v>312</v>
      </c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 t="s">
        <v>313</v>
      </c>
      <c r="AQ6" s="9" t="s">
        <v>314</v>
      </c>
      <c r="AR6" s="9" t="s">
        <v>315</v>
      </c>
      <c r="AS6" s="9"/>
      <c r="AT6" s="9" t="s">
        <v>313</v>
      </c>
      <c r="AU6" s="9" t="s">
        <v>314</v>
      </c>
      <c r="AV6" s="9" t="s">
        <v>316</v>
      </c>
      <c r="AW6" s="9"/>
      <c r="AX6" s="9"/>
      <c r="AY6" s="9"/>
      <c r="AZ6" s="9"/>
      <c r="BA6" s="9"/>
      <c r="BB6" s="9"/>
      <c r="BC6" s="9"/>
      <c r="BD6" s="9"/>
      <c r="BE6" s="9"/>
      <c r="BF6" s="9" t="s">
        <v>317</v>
      </c>
      <c r="BG6" s="9" t="s">
        <v>318</v>
      </c>
      <c r="BH6" s="9" t="s">
        <v>319</v>
      </c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 t="s">
        <v>320</v>
      </c>
      <c r="DI6" s="9" t="s">
        <v>321</v>
      </c>
      <c r="DJ6" s="9" t="s">
        <v>38</v>
      </c>
      <c r="DK6" s="9"/>
      <c r="DL6" s="9" t="s">
        <v>313</v>
      </c>
      <c r="DM6" s="9" t="s">
        <v>322</v>
      </c>
      <c r="DN6" s="9" t="s">
        <v>316</v>
      </c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 t="s">
        <v>323</v>
      </c>
      <c r="EE6" s="9" t="s">
        <v>324</v>
      </c>
      <c r="EF6" s="9" t="s">
        <v>319</v>
      </c>
      <c r="EG6" s="9" t="s">
        <v>325</v>
      </c>
      <c r="EH6" s="9" t="s">
        <v>326</v>
      </c>
      <c r="EI6" s="9"/>
      <c r="EJ6" t="s">
        <v>276</v>
      </c>
      <c r="EN6" t="s">
        <v>328</v>
      </c>
      <c r="EO6" t="s">
        <v>450</v>
      </c>
    </row>
    <row r="7" spans="3:147" x14ac:dyDescent="0.3">
      <c r="C7" t="s">
        <v>329</v>
      </c>
      <c r="D7" t="s">
        <v>283</v>
      </c>
      <c r="E7" s="8">
        <v>46027</v>
      </c>
      <c r="F7" t="s">
        <v>330</v>
      </c>
      <c r="G7" s="9" t="s">
        <v>308</v>
      </c>
      <c r="H7" s="9" t="s">
        <v>308</v>
      </c>
      <c r="I7" s="9" t="s">
        <v>308</v>
      </c>
      <c r="J7" s="9" t="s">
        <v>309</v>
      </c>
      <c r="K7" s="9" t="s">
        <v>331</v>
      </c>
      <c r="L7" s="9" t="s">
        <v>332</v>
      </c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 t="s">
        <v>333</v>
      </c>
      <c r="AQ7" s="9" t="s">
        <v>314</v>
      </c>
      <c r="AR7" s="9" t="s">
        <v>121</v>
      </c>
      <c r="AS7" s="9" t="s">
        <v>334</v>
      </c>
      <c r="AT7" s="9" t="s">
        <v>333</v>
      </c>
      <c r="AU7" s="9" t="s">
        <v>335</v>
      </c>
      <c r="AV7" s="9" t="s">
        <v>121</v>
      </c>
      <c r="AW7" s="9" t="s">
        <v>334</v>
      </c>
      <c r="AX7" s="9"/>
      <c r="AY7" s="9"/>
      <c r="AZ7" s="9"/>
      <c r="BA7" s="9"/>
      <c r="BB7" s="9"/>
      <c r="BC7" s="9"/>
      <c r="BD7" s="9"/>
      <c r="BE7" s="9"/>
      <c r="BF7" s="9" t="s">
        <v>336</v>
      </c>
      <c r="BG7" s="9" t="s">
        <v>337</v>
      </c>
      <c r="BH7" s="9" t="s">
        <v>338</v>
      </c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 t="s">
        <v>339</v>
      </c>
      <c r="DI7" s="9" t="s">
        <v>340</v>
      </c>
      <c r="DJ7" s="9" t="s">
        <v>121</v>
      </c>
      <c r="DK7" s="9" t="s">
        <v>341</v>
      </c>
      <c r="DL7" s="9" t="s">
        <v>342</v>
      </c>
      <c r="DM7" s="9" t="s">
        <v>340</v>
      </c>
      <c r="DN7" s="9" t="s">
        <v>116</v>
      </c>
      <c r="DO7" s="9" t="s">
        <v>341</v>
      </c>
      <c r="DP7" s="9"/>
      <c r="DQ7" s="9"/>
      <c r="DR7" s="9" t="s">
        <v>62</v>
      </c>
      <c r="DS7" s="9" t="s">
        <v>49</v>
      </c>
      <c r="DT7" s="9"/>
      <c r="DU7" s="9"/>
      <c r="DV7" s="9"/>
      <c r="DW7" s="9"/>
      <c r="DX7" s="9" t="s">
        <v>62</v>
      </c>
      <c r="DY7" s="9" t="s">
        <v>49</v>
      </c>
      <c r="DZ7" s="9"/>
      <c r="EA7" s="9"/>
      <c r="EB7" s="9"/>
      <c r="EC7" s="9"/>
      <c r="ED7" s="9" t="s">
        <v>729</v>
      </c>
      <c r="EE7" s="9" t="s">
        <v>492</v>
      </c>
      <c r="EF7" s="9" t="s">
        <v>493</v>
      </c>
      <c r="EG7" s="9" t="s">
        <v>343</v>
      </c>
      <c r="EH7" s="9" t="s">
        <v>324</v>
      </c>
      <c r="EI7" s="9" t="s">
        <v>743</v>
      </c>
      <c r="EJ7" t="s">
        <v>744</v>
      </c>
      <c r="EN7" t="s">
        <v>745</v>
      </c>
      <c r="EO7" t="s">
        <v>450</v>
      </c>
    </row>
    <row r="8" spans="3:147" x14ac:dyDescent="0.3">
      <c r="C8" t="s">
        <v>349</v>
      </c>
      <c r="D8" t="s">
        <v>346</v>
      </c>
      <c r="E8" s="8">
        <v>46027</v>
      </c>
      <c r="F8" t="s">
        <v>350</v>
      </c>
      <c r="G8" s="9"/>
      <c r="H8" s="9"/>
      <c r="I8" s="9"/>
      <c r="J8" s="9" t="s">
        <v>351</v>
      </c>
      <c r="K8" s="9" t="s">
        <v>352</v>
      </c>
      <c r="L8" s="9" t="s">
        <v>353</v>
      </c>
      <c r="M8" s="9" t="s">
        <v>354</v>
      </c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 t="s">
        <v>314</v>
      </c>
      <c r="DI8" s="9" t="s">
        <v>355</v>
      </c>
      <c r="DJ8" s="9" t="s">
        <v>96</v>
      </c>
      <c r="DK8" s="9"/>
      <c r="DL8" s="9" t="s">
        <v>321</v>
      </c>
      <c r="DM8" s="9" t="s">
        <v>355</v>
      </c>
      <c r="DN8" s="9" t="s">
        <v>356</v>
      </c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 t="s">
        <v>360</v>
      </c>
      <c r="EE8" s="9" t="s">
        <v>357</v>
      </c>
      <c r="EF8" s="9" t="s">
        <v>367</v>
      </c>
      <c r="EG8" s="9" t="s">
        <v>358</v>
      </c>
      <c r="EH8" s="9" t="s">
        <v>359</v>
      </c>
      <c r="EI8" s="9"/>
      <c r="EJ8" t="s">
        <v>381</v>
      </c>
      <c r="EN8" t="s">
        <v>382</v>
      </c>
      <c r="EO8" t="s">
        <v>450</v>
      </c>
    </row>
    <row r="9" spans="3:147" x14ac:dyDescent="0.3">
      <c r="C9" t="s">
        <v>393</v>
      </c>
      <c r="D9" t="s">
        <v>371</v>
      </c>
      <c r="E9" s="8">
        <v>46028</v>
      </c>
      <c r="F9" t="s">
        <v>394</v>
      </c>
      <c r="G9" s="9" t="s">
        <v>308</v>
      </c>
      <c r="H9" s="9" t="s">
        <v>308</v>
      </c>
      <c r="I9" s="9" t="s">
        <v>308</v>
      </c>
      <c r="J9" s="9" t="s">
        <v>309</v>
      </c>
      <c r="K9" s="9" t="s">
        <v>309</v>
      </c>
      <c r="L9" s="9" t="s">
        <v>395</v>
      </c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 t="s">
        <v>320</v>
      </c>
      <c r="DI9" s="9" t="s">
        <v>396</v>
      </c>
      <c r="DJ9" s="9" t="s">
        <v>41</v>
      </c>
      <c r="DK9" s="9"/>
      <c r="DL9" s="9" t="s">
        <v>320</v>
      </c>
      <c r="DM9" s="9" t="s">
        <v>397</v>
      </c>
      <c r="DN9" s="9" t="s">
        <v>398</v>
      </c>
      <c r="DO9" s="9"/>
      <c r="DP9" s="9"/>
      <c r="DQ9" s="9"/>
      <c r="DR9" s="9"/>
      <c r="DS9" s="9"/>
      <c r="DT9" s="9" t="s">
        <v>399</v>
      </c>
      <c r="DU9" s="9"/>
      <c r="DV9" s="9"/>
      <c r="DW9" s="9"/>
      <c r="DX9" s="9"/>
      <c r="DY9" s="9"/>
      <c r="DZ9" s="9" t="s">
        <v>399</v>
      </c>
      <c r="EA9" s="9"/>
      <c r="EB9" s="9" t="s">
        <v>400</v>
      </c>
      <c r="EC9" s="9"/>
      <c r="ED9" s="9" t="s">
        <v>401</v>
      </c>
      <c r="EE9" s="9" t="s">
        <v>402</v>
      </c>
      <c r="EF9" s="9" t="s">
        <v>367</v>
      </c>
      <c r="EG9" s="9" t="s">
        <v>403</v>
      </c>
      <c r="EH9" s="9"/>
      <c r="EI9" s="9"/>
      <c r="EJ9" t="s">
        <v>404</v>
      </c>
      <c r="EN9" t="s">
        <v>405</v>
      </c>
      <c r="EO9" t="s">
        <v>450</v>
      </c>
    </row>
    <row r="10" spans="3:147" x14ac:dyDescent="0.3">
      <c r="C10" t="s">
        <v>406</v>
      </c>
      <c r="D10" t="s">
        <v>362</v>
      </c>
      <c r="E10" s="8">
        <v>46028</v>
      </c>
      <c r="F10" t="s">
        <v>407</v>
      </c>
      <c r="G10" s="9" t="s">
        <v>308</v>
      </c>
      <c r="H10" s="9" t="s">
        <v>308</v>
      </c>
      <c r="I10" s="9" t="s">
        <v>308</v>
      </c>
      <c r="J10" s="9" t="s">
        <v>309</v>
      </c>
      <c r="K10" s="9" t="s">
        <v>309</v>
      </c>
      <c r="L10" s="9" t="s">
        <v>407</v>
      </c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t="s">
        <v>408</v>
      </c>
      <c r="EN10" t="s">
        <v>409</v>
      </c>
      <c r="EO10" t="s">
        <v>450</v>
      </c>
    </row>
    <row r="11" spans="3:147" x14ac:dyDescent="0.3">
      <c r="C11" t="s">
        <v>426</v>
      </c>
      <c r="D11" t="s">
        <v>421</v>
      </c>
      <c r="E11" s="8">
        <v>46028</v>
      </c>
      <c r="F11" t="s">
        <v>394</v>
      </c>
      <c r="G11" s="9" t="s">
        <v>308</v>
      </c>
      <c r="H11" s="9" t="s">
        <v>308</v>
      </c>
      <c r="I11" s="9" t="s">
        <v>308</v>
      </c>
      <c r="J11" s="9" t="s">
        <v>308</v>
      </c>
      <c r="K11" s="9" t="s">
        <v>309</v>
      </c>
      <c r="L11" s="9" t="s">
        <v>394</v>
      </c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 t="s">
        <v>313</v>
      </c>
      <c r="DI11" s="9" t="s">
        <v>340</v>
      </c>
      <c r="DJ11" s="9" t="s">
        <v>315</v>
      </c>
      <c r="DK11" s="9"/>
      <c r="DL11" s="9" t="s">
        <v>333</v>
      </c>
      <c r="DM11" s="9" t="s">
        <v>322</v>
      </c>
      <c r="DN11" s="9" t="s">
        <v>427</v>
      </c>
      <c r="DO11" s="9"/>
      <c r="DP11" s="9"/>
      <c r="DQ11" s="9"/>
      <c r="DR11" s="9"/>
      <c r="DS11" s="9"/>
      <c r="DT11" s="9" t="s">
        <v>428</v>
      </c>
      <c r="DU11" s="9" t="s">
        <v>429</v>
      </c>
      <c r="DV11" s="9"/>
      <c r="DW11" s="9"/>
      <c r="DX11" s="9"/>
      <c r="DY11" s="9"/>
      <c r="DZ11" s="9" t="s">
        <v>430</v>
      </c>
      <c r="EA11" s="9" t="s">
        <v>431</v>
      </c>
      <c r="EB11" s="9" t="s">
        <v>429</v>
      </c>
      <c r="EC11" s="9"/>
      <c r="ED11" s="9" t="s">
        <v>433</v>
      </c>
      <c r="EE11" s="9" t="s">
        <v>402</v>
      </c>
      <c r="EF11" s="9" t="s">
        <v>367</v>
      </c>
      <c r="EG11" s="9" t="s">
        <v>432</v>
      </c>
      <c r="EH11" s="9"/>
      <c r="EI11" s="9" t="s">
        <v>434</v>
      </c>
      <c r="EJ11" t="s">
        <v>435</v>
      </c>
      <c r="EN11" t="s">
        <v>436</v>
      </c>
      <c r="EO11" t="s">
        <v>450</v>
      </c>
    </row>
    <row r="12" spans="3:147" x14ac:dyDescent="0.3">
      <c r="C12" t="s">
        <v>454</v>
      </c>
      <c r="D12" t="s">
        <v>451</v>
      </c>
      <c r="E12" s="8">
        <v>46028</v>
      </c>
      <c r="F12" t="s">
        <v>455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 t="s">
        <v>456</v>
      </c>
      <c r="EJ12" t="s">
        <v>460</v>
      </c>
      <c r="EN12" t="s">
        <v>461</v>
      </c>
      <c r="EO12" t="s">
        <v>450</v>
      </c>
    </row>
    <row r="13" spans="3:147" x14ac:dyDescent="0.3">
      <c r="C13" t="s">
        <v>465</v>
      </c>
      <c r="D13" t="s">
        <v>462</v>
      </c>
      <c r="E13" s="8">
        <v>46028</v>
      </c>
      <c r="F13" t="s">
        <v>466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 t="s">
        <v>467</v>
      </c>
      <c r="EJ13" t="s">
        <v>468</v>
      </c>
      <c r="EN13" t="s">
        <v>469</v>
      </c>
      <c r="EO13" t="s">
        <v>368</v>
      </c>
    </row>
    <row r="14" spans="3:147" x14ac:dyDescent="0.3">
      <c r="C14" t="s">
        <v>487</v>
      </c>
      <c r="D14" t="s">
        <v>470</v>
      </c>
      <c r="E14" s="8">
        <v>46028</v>
      </c>
      <c r="F14" t="s">
        <v>488</v>
      </c>
      <c r="G14" s="9" t="s">
        <v>308</v>
      </c>
      <c r="H14" s="9" t="s">
        <v>308</v>
      </c>
      <c r="I14" s="9" t="s">
        <v>308</v>
      </c>
      <c r="J14" s="9" t="s">
        <v>308</v>
      </c>
      <c r="K14" s="9" t="s">
        <v>309</v>
      </c>
      <c r="L14" s="9" t="s">
        <v>394</v>
      </c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 t="s">
        <v>314</v>
      </c>
      <c r="DI14" s="9" t="s">
        <v>320</v>
      </c>
      <c r="DJ14" s="9" t="s">
        <v>91</v>
      </c>
      <c r="DK14" s="9"/>
      <c r="DL14" s="9" t="s">
        <v>340</v>
      </c>
      <c r="DM14" s="9" t="s">
        <v>340</v>
      </c>
      <c r="DN14" s="9" t="s">
        <v>127</v>
      </c>
      <c r="DO14" s="9"/>
      <c r="DP14" s="9"/>
      <c r="DQ14" s="9"/>
      <c r="DR14" s="9" t="s">
        <v>61</v>
      </c>
      <c r="DS14" s="9"/>
      <c r="DT14" s="9" t="s">
        <v>489</v>
      </c>
      <c r="DU14" s="9" t="s">
        <v>490</v>
      </c>
      <c r="DV14" s="9"/>
      <c r="DW14" s="9"/>
      <c r="DX14" s="9" t="s">
        <v>61</v>
      </c>
      <c r="DY14" s="9"/>
      <c r="DZ14" s="9" t="s">
        <v>489</v>
      </c>
      <c r="EA14" s="9" t="s">
        <v>490</v>
      </c>
      <c r="EB14" s="9"/>
      <c r="EC14" s="9"/>
      <c r="ED14" s="9" t="s">
        <v>491</v>
      </c>
      <c r="EE14" s="9" t="s">
        <v>492</v>
      </c>
      <c r="EF14" s="9" t="s">
        <v>493</v>
      </c>
      <c r="EG14" s="9" t="s">
        <v>403</v>
      </c>
      <c r="EH14" s="9" t="s">
        <v>324</v>
      </c>
      <c r="EI14" s="9"/>
      <c r="EJ14" t="s">
        <v>501</v>
      </c>
      <c r="EN14" t="s">
        <v>502</v>
      </c>
      <c r="EO14" t="s">
        <v>450</v>
      </c>
    </row>
    <row r="15" spans="3:147" x14ac:dyDescent="0.3">
      <c r="C15" t="s">
        <v>494</v>
      </c>
      <c r="D15" t="s">
        <v>481</v>
      </c>
      <c r="E15" s="8">
        <v>46029</v>
      </c>
      <c r="F15" t="s">
        <v>311</v>
      </c>
      <c r="G15" s="9" t="s">
        <v>308</v>
      </c>
      <c r="H15" s="9" t="s">
        <v>308</v>
      </c>
      <c r="I15" s="9" t="s">
        <v>308</v>
      </c>
      <c r="J15" s="9" t="s">
        <v>308</v>
      </c>
      <c r="K15" s="9" t="s">
        <v>309</v>
      </c>
      <c r="L15" s="9" t="s">
        <v>495</v>
      </c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 t="s">
        <v>313</v>
      </c>
      <c r="DI15" s="9" t="s">
        <v>314</v>
      </c>
      <c r="DJ15" s="9" t="s">
        <v>36</v>
      </c>
      <c r="DK15" s="9"/>
      <c r="DL15" s="9" t="s">
        <v>313</v>
      </c>
      <c r="DM15" s="9" t="s">
        <v>340</v>
      </c>
      <c r="DN15" s="9" t="s">
        <v>37</v>
      </c>
      <c r="DO15" s="9"/>
      <c r="DP15" s="9"/>
      <c r="DQ15" s="9"/>
      <c r="DR15" s="9" t="s">
        <v>60</v>
      </c>
      <c r="DS15" s="9"/>
      <c r="DT15" s="9" t="s">
        <v>496</v>
      </c>
      <c r="DU15" s="9" t="s">
        <v>429</v>
      </c>
      <c r="DV15" s="9"/>
      <c r="DW15" s="9"/>
      <c r="DX15" s="9" t="s">
        <v>60</v>
      </c>
      <c r="DY15" s="9"/>
      <c r="DZ15" s="9" t="s">
        <v>496</v>
      </c>
      <c r="EA15" s="9" t="s">
        <v>429</v>
      </c>
      <c r="EB15" s="9"/>
      <c r="EC15" s="9"/>
      <c r="ED15" s="9" t="s">
        <v>497</v>
      </c>
      <c r="EE15" s="9" t="s">
        <v>498</v>
      </c>
      <c r="EF15" s="9" t="s">
        <v>499</v>
      </c>
      <c r="EG15" s="9" t="s">
        <v>500</v>
      </c>
      <c r="EH15" s="9" t="s">
        <v>324</v>
      </c>
      <c r="EI15" s="9"/>
      <c r="EJ15" t="s">
        <v>503</v>
      </c>
      <c r="EN15" t="s">
        <v>504</v>
      </c>
      <c r="EO15" t="s">
        <v>450</v>
      </c>
    </row>
    <row r="16" spans="3:147" x14ac:dyDescent="0.3">
      <c r="C16" t="s">
        <v>506</v>
      </c>
      <c r="D16" t="s">
        <v>475</v>
      </c>
      <c r="E16" s="8">
        <v>46029</v>
      </c>
      <c r="F16" t="s">
        <v>507</v>
      </c>
      <c r="G16" s="9" t="s">
        <v>308</v>
      </c>
      <c r="H16" s="9" t="s">
        <v>308</v>
      </c>
      <c r="I16" s="9" t="s">
        <v>308</v>
      </c>
      <c r="J16" s="9" t="s">
        <v>308</v>
      </c>
      <c r="K16" s="9" t="s">
        <v>308</v>
      </c>
      <c r="L16" s="9" t="s">
        <v>394</v>
      </c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 t="s">
        <v>508</v>
      </c>
      <c r="DI16" s="9" t="s">
        <v>335</v>
      </c>
      <c r="DJ16" s="9" t="s">
        <v>398</v>
      </c>
      <c r="DK16" s="9"/>
      <c r="DL16" s="9" t="s">
        <v>313</v>
      </c>
      <c r="DM16" s="9" t="s">
        <v>355</v>
      </c>
      <c r="DN16" s="9" t="s">
        <v>509</v>
      </c>
      <c r="DO16" s="9"/>
      <c r="DP16" s="9"/>
      <c r="DQ16" s="9"/>
      <c r="DR16" s="9" t="s">
        <v>510</v>
      </c>
      <c r="DS16" s="9"/>
      <c r="DT16" s="9" t="s">
        <v>511</v>
      </c>
      <c r="DU16" s="9" t="s">
        <v>429</v>
      </c>
      <c r="DV16" s="9"/>
      <c r="DW16" s="9"/>
      <c r="DX16" s="9" t="s">
        <v>510</v>
      </c>
      <c r="DY16" s="9"/>
      <c r="DZ16" s="9" t="s">
        <v>512</v>
      </c>
      <c r="EA16" s="9" t="s">
        <v>429</v>
      </c>
      <c r="EB16" s="9"/>
      <c r="EC16" s="9"/>
      <c r="ED16" s="9" t="s">
        <v>513</v>
      </c>
      <c r="EE16" s="9" t="s">
        <v>498</v>
      </c>
      <c r="EF16" s="9" t="s">
        <v>499</v>
      </c>
      <c r="EG16" s="9" t="s">
        <v>514</v>
      </c>
      <c r="EH16" s="9" t="s">
        <v>402</v>
      </c>
      <c r="EI16" s="9"/>
      <c r="EJ16" t="s">
        <v>545</v>
      </c>
      <c r="EN16" t="s">
        <v>546</v>
      </c>
      <c r="EO16" t="s">
        <v>450</v>
      </c>
    </row>
    <row r="17" spans="3:145" x14ac:dyDescent="0.3">
      <c r="C17" t="s">
        <v>522</v>
      </c>
      <c r="D17" t="s">
        <v>515</v>
      </c>
      <c r="E17" s="8">
        <v>46029</v>
      </c>
      <c r="F17" t="s">
        <v>523</v>
      </c>
      <c r="G17" s="9" t="s">
        <v>308</v>
      </c>
      <c r="H17" s="9" t="s">
        <v>524</v>
      </c>
      <c r="I17" s="9" t="s">
        <v>308</v>
      </c>
      <c r="J17" s="9" t="s">
        <v>525</v>
      </c>
      <c r="K17" s="9" t="s">
        <v>526</v>
      </c>
      <c r="L17" s="9" t="s">
        <v>353</v>
      </c>
      <c r="M17" s="9" t="s">
        <v>527</v>
      </c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 t="s">
        <v>528</v>
      </c>
      <c r="DU17" s="9"/>
      <c r="DV17" s="9"/>
      <c r="DW17" s="9"/>
      <c r="DX17" s="9"/>
      <c r="DY17" s="9"/>
      <c r="DZ17" s="9" t="s">
        <v>529</v>
      </c>
      <c r="EA17" s="9"/>
      <c r="EB17" s="9" t="s">
        <v>530</v>
      </c>
      <c r="EC17" s="9"/>
      <c r="ED17" s="9"/>
      <c r="EE17" s="9"/>
      <c r="EF17" s="9"/>
      <c r="EG17" s="9"/>
      <c r="EH17" s="9" t="s">
        <v>531</v>
      </c>
      <c r="EI17" s="9" t="s">
        <v>309</v>
      </c>
      <c r="EJ17" t="s">
        <v>2249</v>
      </c>
      <c r="EO17" t="s">
        <v>307</v>
      </c>
    </row>
    <row r="18" spans="3:145" x14ac:dyDescent="0.3">
      <c r="C18" t="s">
        <v>563</v>
      </c>
      <c r="D18" t="s">
        <v>558</v>
      </c>
      <c r="E18" s="8">
        <v>46029</v>
      </c>
      <c r="F18" t="s">
        <v>311</v>
      </c>
      <c r="G18" s="9" t="s">
        <v>564</v>
      </c>
      <c r="H18" s="9" t="s">
        <v>308</v>
      </c>
      <c r="I18" s="9" t="s">
        <v>308</v>
      </c>
      <c r="J18" s="9" t="s">
        <v>565</v>
      </c>
      <c r="K18" s="9" t="s">
        <v>566</v>
      </c>
      <c r="L18" s="9" t="s">
        <v>567</v>
      </c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 t="s">
        <v>313</v>
      </c>
      <c r="DI18" s="9" t="s">
        <v>568</v>
      </c>
      <c r="DJ18" s="9" t="s">
        <v>41</v>
      </c>
      <c r="DK18" s="9"/>
      <c r="DL18" s="9" t="s">
        <v>313</v>
      </c>
      <c r="DM18" s="9" t="s">
        <v>568</v>
      </c>
      <c r="DN18" s="9" t="s">
        <v>569</v>
      </c>
      <c r="DO18" s="9"/>
      <c r="DP18" s="9"/>
      <c r="DQ18" s="9"/>
      <c r="DR18" s="9" t="s">
        <v>621</v>
      </c>
      <c r="DS18" s="9"/>
      <c r="DT18" s="9" t="s">
        <v>399</v>
      </c>
      <c r="DU18" s="9"/>
      <c r="DV18" s="9"/>
      <c r="DW18" s="9"/>
      <c r="DX18" s="9" t="s">
        <v>621</v>
      </c>
      <c r="DY18" s="9"/>
      <c r="DZ18" s="9" t="s">
        <v>570</v>
      </c>
      <c r="EA18" s="9"/>
      <c r="EB18" s="9" t="s">
        <v>429</v>
      </c>
      <c r="EC18" s="9"/>
      <c r="ED18" s="9" t="s">
        <v>574</v>
      </c>
      <c r="EE18" s="9" t="s">
        <v>498</v>
      </c>
      <c r="EF18" s="9" t="s">
        <v>575</v>
      </c>
      <c r="EG18" s="9" t="s">
        <v>571</v>
      </c>
      <c r="EH18" s="9" t="s">
        <v>572</v>
      </c>
      <c r="EI18" s="9" t="s">
        <v>573</v>
      </c>
      <c r="EJ18" t="s">
        <v>708</v>
      </c>
      <c r="EN18" t="s">
        <v>709</v>
      </c>
      <c r="EO18" t="s">
        <v>450</v>
      </c>
    </row>
    <row r="19" spans="3:145" x14ac:dyDescent="0.3">
      <c r="C19" t="s">
        <v>589</v>
      </c>
      <c r="D19" t="s">
        <v>584</v>
      </c>
      <c r="E19" s="8">
        <v>46030</v>
      </c>
      <c r="F19" t="s">
        <v>394</v>
      </c>
      <c r="G19" s="9" t="s">
        <v>308</v>
      </c>
      <c r="H19" s="9" t="s">
        <v>308</v>
      </c>
      <c r="I19" s="9" t="s">
        <v>308</v>
      </c>
      <c r="J19" s="9" t="s">
        <v>308</v>
      </c>
      <c r="K19" s="9" t="s">
        <v>309</v>
      </c>
      <c r="L19" s="9" t="s">
        <v>590</v>
      </c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 t="s">
        <v>320</v>
      </c>
      <c r="DI19" s="9" t="s">
        <v>314</v>
      </c>
      <c r="DJ19" s="9" t="s">
        <v>591</v>
      </c>
      <c r="DK19" s="9"/>
      <c r="DL19" s="9" t="s">
        <v>320</v>
      </c>
      <c r="DM19" s="9" t="s">
        <v>314</v>
      </c>
      <c r="DN19" s="9" t="s">
        <v>398</v>
      </c>
      <c r="DO19" s="9"/>
      <c r="DP19" s="9"/>
      <c r="DQ19" s="9"/>
      <c r="DR19" s="9" t="s">
        <v>592</v>
      </c>
      <c r="DS19" s="9"/>
      <c r="DT19" s="9"/>
      <c r="DU19" s="9"/>
      <c r="DV19" s="9"/>
      <c r="DW19" s="9"/>
      <c r="DX19" s="9" t="s">
        <v>592</v>
      </c>
      <c r="DY19" s="9"/>
      <c r="DZ19" s="9"/>
      <c r="EA19" s="9"/>
      <c r="EB19" s="9"/>
      <c r="EC19" s="9"/>
      <c r="ED19" s="9" t="s">
        <v>497</v>
      </c>
      <c r="EE19" s="9" t="s">
        <v>498</v>
      </c>
      <c r="EF19" s="9" t="s">
        <v>493</v>
      </c>
      <c r="EG19" s="9" t="s">
        <v>403</v>
      </c>
      <c r="EH19" s="9"/>
      <c r="EI19" s="9" t="s">
        <v>593</v>
      </c>
      <c r="EJ19" t="s">
        <v>600</v>
      </c>
      <c r="EN19" t="s">
        <v>601</v>
      </c>
      <c r="EO19" t="s">
        <v>450</v>
      </c>
    </row>
    <row r="20" spans="3:145" x14ac:dyDescent="0.3">
      <c r="C20" t="s">
        <v>607</v>
      </c>
      <c r="D20" t="s">
        <v>602</v>
      </c>
      <c r="E20" s="8">
        <v>46030</v>
      </c>
      <c r="F20" t="s">
        <v>608</v>
      </c>
      <c r="G20" s="9" t="s">
        <v>308</v>
      </c>
      <c r="H20" s="9" t="s">
        <v>308</v>
      </c>
      <c r="I20" s="9" t="s">
        <v>309</v>
      </c>
      <c r="J20" s="9" t="s">
        <v>308</v>
      </c>
      <c r="K20" s="9" t="s">
        <v>308</v>
      </c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O20" t="s">
        <v>307</v>
      </c>
    </row>
    <row r="21" spans="3:145" x14ac:dyDescent="0.3">
      <c r="C21" t="s">
        <v>615</v>
      </c>
      <c r="D21" t="s">
        <v>610</v>
      </c>
      <c r="E21" s="8">
        <v>46030</v>
      </c>
      <c r="F21" t="s">
        <v>616</v>
      </c>
      <c r="G21" s="9" t="s">
        <v>617</v>
      </c>
      <c r="H21" s="9" t="s">
        <v>308</v>
      </c>
      <c r="I21" s="9" t="s">
        <v>618</v>
      </c>
      <c r="J21" s="9" t="s">
        <v>309</v>
      </c>
      <c r="K21" s="9" t="s">
        <v>309</v>
      </c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 t="s">
        <v>313</v>
      </c>
      <c r="DI21" s="9" t="s">
        <v>340</v>
      </c>
      <c r="DJ21" s="9" t="s">
        <v>356</v>
      </c>
      <c r="DK21" s="9"/>
      <c r="DL21" s="9" t="s">
        <v>342</v>
      </c>
      <c r="DM21" s="9" t="s">
        <v>619</v>
      </c>
      <c r="DN21" s="9" t="s">
        <v>315</v>
      </c>
      <c r="DO21" s="9"/>
      <c r="DP21" s="9"/>
      <c r="DQ21" s="9"/>
      <c r="DR21" s="9" t="s">
        <v>63</v>
      </c>
      <c r="DS21" s="9"/>
      <c r="DT21" s="9" t="s">
        <v>512</v>
      </c>
      <c r="DU21" s="9" t="s">
        <v>429</v>
      </c>
      <c r="DV21" s="9"/>
      <c r="DW21" s="9"/>
      <c r="DX21" s="9" t="s">
        <v>63</v>
      </c>
      <c r="DY21" s="9"/>
      <c r="DZ21" s="9" t="s">
        <v>489</v>
      </c>
      <c r="EA21" s="9" t="s">
        <v>620</v>
      </c>
      <c r="EB21" s="9"/>
      <c r="EC21" s="9"/>
      <c r="ED21" s="9" t="s">
        <v>574</v>
      </c>
      <c r="EE21" s="9" t="s">
        <v>622</v>
      </c>
      <c r="EF21" s="9" t="s">
        <v>493</v>
      </c>
      <c r="EG21" s="9" t="s">
        <v>623</v>
      </c>
      <c r="EH21" s="9" t="s">
        <v>624</v>
      </c>
      <c r="EI21" s="9" t="s">
        <v>625</v>
      </c>
      <c r="EJ21" t="s">
        <v>632</v>
      </c>
      <c r="EN21" t="s">
        <v>633</v>
      </c>
      <c r="EO21" t="s">
        <v>450</v>
      </c>
    </row>
    <row r="22" spans="3:145" x14ac:dyDescent="0.3">
      <c r="C22" t="s">
        <v>644</v>
      </c>
      <c r="D22" t="s">
        <v>634</v>
      </c>
      <c r="E22" s="8">
        <v>46030</v>
      </c>
      <c r="F22" t="s">
        <v>645</v>
      </c>
      <c r="G22" s="9" t="s">
        <v>524</v>
      </c>
      <c r="H22" s="9" t="s">
        <v>646</v>
      </c>
      <c r="I22" s="9" t="s">
        <v>308</v>
      </c>
      <c r="J22" s="9" t="s">
        <v>647</v>
      </c>
      <c r="K22" s="9" t="s">
        <v>648</v>
      </c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 t="s">
        <v>313</v>
      </c>
      <c r="DI22" s="9" t="s">
        <v>321</v>
      </c>
      <c r="DJ22" s="9" t="s">
        <v>70</v>
      </c>
      <c r="DK22" s="9" t="s">
        <v>341</v>
      </c>
      <c r="DL22" s="9" t="s">
        <v>619</v>
      </c>
      <c r="DM22" s="9" t="s">
        <v>340</v>
      </c>
      <c r="DN22" s="9" t="s">
        <v>649</v>
      </c>
      <c r="DO22" s="9" t="s">
        <v>341</v>
      </c>
      <c r="DP22" s="9"/>
      <c r="DQ22" s="9"/>
      <c r="DR22" s="9" t="s">
        <v>592</v>
      </c>
      <c r="DS22" s="9" t="s">
        <v>53</v>
      </c>
      <c r="DT22" s="9" t="s">
        <v>650</v>
      </c>
      <c r="DU22" s="9" t="s">
        <v>651</v>
      </c>
      <c r="DV22" s="9"/>
      <c r="DW22" s="9"/>
      <c r="DX22" s="9" t="s">
        <v>592</v>
      </c>
      <c r="DY22" s="9" t="s">
        <v>53</v>
      </c>
      <c r="DZ22" s="9" t="s">
        <v>652</v>
      </c>
      <c r="EA22" s="9" t="s">
        <v>496</v>
      </c>
      <c r="EB22" s="9" t="s">
        <v>653</v>
      </c>
      <c r="EC22" s="9"/>
      <c r="ED22" s="9" t="s">
        <v>654</v>
      </c>
      <c r="EE22" s="9" t="s">
        <v>498</v>
      </c>
      <c r="EF22" s="9" t="s">
        <v>575</v>
      </c>
      <c r="EG22" s="9" t="s">
        <v>655</v>
      </c>
      <c r="EH22" s="9" t="s">
        <v>324</v>
      </c>
      <c r="EI22" s="9" t="s">
        <v>656</v>
      </c>
      <c r="EJ22" t="s">
        <v>879</v>
      </c>
      <c r="EO22" t="s">
        <v>307</v>
      </c>
    </row>
    <row r="23" spans="3:145" x14ac:dyDescent="0.3">
      <c r="C23" t="s">
        <v>672</v>
      </c>
      <c r="D23" t="s">
        <v>667</v>
      </c>
      <c r="E23" s="8">
        <v>46031</v>
      </c>
      <c r="F23" t="s">
        <v>673</v>
      </c>
      <c r="G23" s="9" t="s">
        <v>308</v>
      </c>
      <c r="H23" s="9" t="s">
        <v>674</v>
      </c>
      <c r="I23" s="9" t="s">
        <v>308</v>
      </c>
      <c r="J23" s="9" t="s">
        <v>308</v>
      </c>
      <c r="K23" s="9" t="s">
        <v>308</v>
      </c>
      <c r="L23" s="9" t="s">
        <v>675</v>
      </c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 t="s">
        <v>340</v>
      </c>
      <c r="DI23" s="9" t="s">
        <v>321</v>
      </c>
      <c r="DJ23" s="9" t="s">
        <v>676</v>
      </c>
      <c r="DK23" s="9"/>
      <c r="DL23" s="9" t="s">
        <v>340</v>
      </c>
      <c r="DM23" s="9" t="s">
        <v>677</v>
      </c>
      <c r="DN23" s="9" t="s">
        <v>316</v>
      </c>
      <c r="DO23" s="9"/>
      <c r="DP23" s="9"/>
      <c r="DQ23" s="9"/>
      <c r="DR23" s="9"/>
      <c r="DS23" s="9"/>
      <c r="DT23" s="9" t="s">
        <v>650</v>
      </c>
      <c r="DU23" s="9" t="s">
        <v>678</v>
      </c>
      <c r="DV23" s="9"/>
      <c r="DW23" s="9"/>
      <c r="DX23" s="9"/>
      <c r="DY23" s="9"/>
      <c r="DZ23" s="9" t="s">
        <v>650</v>
      </c>
      <c r="EA23" s="9" t="s">
        <v>678</v>
      </c>
      <c r="EB23" s="9"/>
      <c r="EC23" s="9"/>
      <c r="ED23" s="9" t="s">
        <v>679</v>
      </c>
      <c r="EE23" s="9" t="s">
        <v>492</v>
      </c>
      <c r="EF23" s="9" t="s">
        <v>493</v>
      </c>
      <c r="EG23" s="9" t="s">
        <v>358</v>
      </c>
      <c r="EH23" s="9" t="s">
        <v>311</v>
      </c>
      <c r="EI23" s="9" t="s">
        <v>680</v>
      </c>
      <c r="EJ23" t="s">
        <v>691</v>
      </c>
      <c r="EN23" t="s">
        <v>692</v>
      </c>
      <c r="EO23" t="s">
        <v>450</v>
      </c>
    </row>
    <row r="24" spans="3:145" x14ac:dyDescent="0.3">
      <c r="C24" t="s">
        <v>697</v>
      </c>
      <c r="D24" t="s">
        <v>693</v>
      </c>
      <c r="E24" s="8">
        <v>46031</v>
      </c>
      <c r="F24" t="s">
        <v>312</v>
      </c>
      <c r="G24" s="9" t="s">
        <v>698</v>
      </c>
      <c r="H24" s="9" t="s">
        <v>308</v>
      </c>
      <c r="I24" s="9" t="s">
        <v>309</v>
      </c>
      <c r="J24" s="9" t="s">
        <v>699</v>
      </c>
      <c r="K24" s="9" t="s">
        <v>700</v>
      </c>
      <c r="L24" s="9" t="s">
        <v>701</v>
      </c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 t="s">
        <v>619</v>
      </c>
      <c r="DI24" s="9" t="s">
        <v>321</v>
      </c>
      <c r="DJ24" s="9" t="s">
        <v>52</v>
      </c>
      <c r="DK24" s="9"/>
      <c r="DL24" s="9" t="s">
        <v>619</v>
      </c>
      <c r="DM24" s="9" t="s">
        <v>335</v>
      </c>
      <c r="DN24" s="9" t="s">
        <v>702</v>
      </c>
      <c r="DO24" s="9"/>
      <c r="DP24" s="9"/>
      <c r="DQ24" s="9"/>
      <c r="DR24" s="9" t="s">
        <v>510</v>
      </c>
      <c r="DS24" s="9"/>
      <c r="DT24" s="9" t="s">
        <v>652</v>
      </c>
      <c r="DU24" s="9" t="s">
        <v>429</v>
      </c>
      <c r="DV24" s="9"/>
      <c r="DW24" s="9"/>
      <c r="DX24" s="9" t="s">
        <v>510</v>
      </c>
      <c r="DY24" s="9"/>
      <c r="DZ24" s="9" t="s">
        <v>652</v>
      </c>
      <c r="EA24" s="9" t="s">
        <v>429</v>
      </c>
      <c r="EB24" s="9"/>
      <c r="EC24" s="9"/>
      <c r="ED24" s="9" t="s">
        <v>679</v>
      </c>
      <c r="EE24" s="9"/>
      <c r="EF24" s="9"/>
      <c r="EG24" s="9" t="s">
        <v>703</v>
      </c>
      <c r="EH24" s="9" t="s">
        <v>704</v>
      </c>
      <c r="EI24" s="9"/>
      <c r="EO24" t="s">
        <v>307</v>
      </c>
    </row>
    <row r="25" spans="3:145" x14ac:dyDescent="0.3">
      <c r="C25" t="s">
        <v>715</v>
      </c>
      <c r="D25" t="s">
        <v>710</v>
      </c>
      <c r="E25" s="8">
        <v>46031</v>
      </c>
      <c r="F25" t="s">
        <v>394</v>
      </c>
      <c r="G25" s="9" t="s">
        <v>716</v>
      </c>
      <c r="H25" s="9" t="s">
        <v>308</v>
      </c>
      <c r="I25" s="9" t="s">
        <v>309</v>
      </c>
      <c r="J25" s="9" t="s">
        <v>717</v>
      </c>
      <c r="K25" s="9" t="s">
        <v>718</v>
      </c>
      <c r="L25" s="9" t="s">
        <v>719</v>
      </c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 t="s">
        <v>677</v>
      </c>
      <c r="DI25" s="9" t="s">
        <v>720</v>
      </c>
      <c r="DJ25" s="9" t="s">
        <v>46</v>
      </c>
      <c r="DK25" s="9" t="s">
        <v>339</v>
      </c>
      <c r="DL25" s="9" t="s">
        <v>314</v>
      </c>
      <c r="DM25" s="9" t="s">
        <v>677</v>
      </c>
      <c r="DN25" s="9" t="s">
        <v>721</v>
      </c>
      <c r="DO25" s="9" t="s">
        <v>339</v>
      </c>
      <c r="DP25" s="9"/>
      <c r="DQ25" s="9"/>
      <c r="DR25" s="9"/>
      <c r="DS25" s="9"/>
      <c r="DT25" s="9" t="s">
        <v>652</v>
      </c>
      <c r="DU25" s="9" t="s">
        <v>512</v>
      </c>
      <c r="DV25" s="9"/>
      <c r="DW25" s="9"/>
      <c r="DX25" s="9"/>
      <c r="DY25" s="9"/>
      <c r="DZ25" s="9" t="s">
        <v>570</v>
      </c>
      <c r="EA25" s="9" t="s">
        <v>722</v>
      </c>
      <c r="EB25" s="9"/>
      <c r="EC25" s="9"/>
      <c r="ED25" s="9" t="s">
        <v>654</v>
      </c>
      <c r="EE25" s="9" t="s">
        <v>498</v>
      </c>
      <c r="EF25" s="9" t="s">
        <v>575</v>
      </c>
      <c r="EG25" s="9" t="s">
        <v>723</v>
      </c>
      <c r="EH25" s="9" t="s">
        <v>402</v>
      </c>
      <c r="EI25" s="9" t="s">
        <v>746</v>
      </c>
      <c r="EJ25" t="s">
        <v>747</v>
      </c>
      <c r="EN25" t="s">
        <v>748</v>
      </c>
      <c r="EO25" t="s">
        <v>437</v>
      </c>
    </row>
    <row r="26" spans="3:145" x14ac:dyDescent="0.3">
      <c r="C26" t="s">
        <v>758</v>
      </c>
      <c r="D26" t="s">
        <v>752</v>
      </c>
      <c r="E26" s="8">
        <v>46032</v>
      </c>
      <c r="F26" t="s">
        <v>394</v>
      </c>
      <c r="G26" s="9" t="s">
        <v>308</v>
      </c>
      <c r="H26" s="9" t="s">
        <v>759</v>
      </c>
      <c r="I26" s="9" t="s">
        <v>308</v>
      </c>
      <c r="J26" s="9" t="s">
        <v>760</v>
      </c>
      <c r="K26" s="9" t="s">
        <v>309</v>
      </c>
      <c r="L26" s="9" t="s">
        <v>761</v>
      </c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 t="s">
        <v>355</v>
      </c>
      <c r="DI26" s="9" t="s">
        <v>355</v>
      </c>
      <c r="DJ26" s="9" t="s">
        <v>762</v>
      </c>
      <c r="DK26" s="9" t="s">
        <v>763</v>
      </c>
      <c r="DL26" s="9" t="s">
        <v>313</v>
      </c>
      <c r="DM26" s="9" t="s">
        <v>340</v>
      </c>
      <c r="DN26" s="9" t="s">
        <v>104</v>
      </c>
      <c r="DO26" s="9" t="s">
        <v>763</v>
      </c>
      <c r="DP26" s="9"/>
      <c r="DQ26" s="9"/>
      <c r="DR26" s="9" t="s">
        <v>61</v>
      </c>
      <c r="DS26" s="9" t="s">
        <v>47</v>
      </c>
      <c r="DT26" s="9" t="s">
        <v>764</v>
      </c>
      <c r="DU26" s="9" t="s">
        <v>429</v>
      </c>
      <c r="DV26" s="9"/>
      <c r="DW26" s="9"/>
      <c r="DX26" s="9" t="s">
        <v>61</v>
      </c>
      <c r="DY26" s="9" t="s">
        <v>47</v>
      </c>
      <c r="DZ26" s="9" t="s">
        <v>512</v>
      </c>
      <c r="EA26" s="9" t="s">
        <v>429</v>
      </c>
      <c r="EB26" s="9"/>
      <c r="EC26" s="9"/>
      <c r="ED26" s="9" t="s">
        <v>765</v>
      </c>
      <c r="EE26" s="9" t="s">
        <v>492</v>
      </c>
      <c r="EF26" s="9" t="s">
        <v>493</v>
      </c>
      <c r="EG26" s="9" t="s">
        <v>766</v>
      </c>
      <c r="EH26" s="9" t="s">
        <v>311</v>
      </c>
      <c r="EI26" s="9"/>
      <c r="EJ26" t="s">
        <v>791</v>
      </c>
      <c r="EN26" t="s">
        <v>792</v>
      </c>
      <c r="EO26" t="s">
        <v>368</v>
      </c>
    </row>
    <row r="27" spans="3:145" x14ac:dyDescent="0.3">
      <c r="C27" t="s">
        <v>798</v>
      </c>
      <c r="D27" t="s">
        <v>793</v>
      </c>
      <c r="E27" s="8">
        <v>46034</v>
      </c>
      <c r="F27" t="s">
        <v>312</v>
      </c>
      <c r="G27" s="9" t="s">
        <v>308</v>
      </c>
      <c r="H27" s="9" t="s">
        <v>308</v>
      </c>
      <c r="I27" s="9" t="s">
        <v>308</v>
      </c>
      <c r="J27" s="9" t="s">
        <v>308</v>
      </c>
      <c r="K27" s="9" t="s">
        <v>799</v>
      </c>
      <c r="L27" s="9" t="s">
        <v>800</v>
      </c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 t="s">
        <v>801</v>
      </c>
      <c r="AQ27" s="9" t="s">
        <v>802</v>
      </c>
      <c r="AR27" s="9" t="s">
        <v>41</v>
      </c>
      <c r="AS27" s="9" t="s">
        <v>803</v>
      </c>
      <c r="AT27" s="9" t="s">
        <v>801</v>
      </c>
      <c r="AU27" s="9" t="s">
        <v>677</v>
      </c>
      <c r="AV27" s="9" t="s">
        <v>37</v>
      </c>
      <c r="AW27" s="9" t="s">
        <v>803</v>
      </c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 t="s">
        <v>804</v>
      </c>
      <c r="DI27" s="9" t="s">
        <v>805</v>
      </c>
      <c r="DJ27" s="9" t="s">
        <v>41</v>
      </c>
      <c r="DK27" s="9" t="s">
        <v>341</v>
      </c>
      <c r="DL27" s="9" t="s">
        <v>806</v>
      </c>
      <c r="DM27" s="9" t="s">
        <v>807</v>
      </c>
      <c r="DN27" s="9" t="s">
        <v>41</v>
      </c>
      <c r="DO27" s="9" t="s">
        <v>341</v>
      </c>
      <c r="DP27" s="9"/>
      <c r="DQ27" s="9"/>
      <c r="DR27" s="9" t="s">
        <v>621</v>
      </c>
      <c r="DS27" s="9" t="s">
        <v>56</v>
      </c>
      <c r="DT27" s="9" t="s">
        <v>652</v>
      </c>
      <c r="DU27" s="9" t="s">
        <v>512</v>
      </c>
      <c r="DV27" s="9"/>
      <c r="DW27" s="9"/>
      <c r="DX27" s="9" t="s">
        <v>621</v>
      </c>
      <c r="DY27" s="9" t="s">
        <v>56</v>
      </c>
      <c r="DZ27" s="9" t="s">
        <v>652</v>
      </c>
      <c r="EA27" s="9" t="s">
        <v>512</v>
      </c>
      <c r="EB27" s="9" t="s">
        <v>512</v>
      </c>
      <c r="EC27" s="9"/>
      <c r="ED27" s="9" t="s">
        <v>930</v>
      </c>
      <c r="EE27" s="9" t="s">
        <v>498</v>
      </c>
      <c r="EF27" s="9" t="s">
        <v>575</v>
      </c>
      <c r="EG27" s="9" t="s">
        <v>931</v>
      </c>
      <c r="EH27" s="9" t="s">
        <v>704</v>
      </c>
      <c r="EI27" s="9" t="s">
        <v>932</v>
      </c>
      <c r="EJ27" t="s">
        <v>942</v>
      </c>
      <c r="EN27" t="s">
        <v>943</v>
      </c>
      <c r="EO27" t="s">
        <v>368</v>
      </c>
    </row>
    <row r="28" spans="3:145" x14ac:dyDescent="0.3">
      <c r="C28" t="s">
        <v>812</v>
      </c>
      <c r="D28" t="s">
        <v>808</v>
      </c>
      <c r="E28" s="8">
        <v>46035</v>
      </c>
      <c r="F28" t="s">
        <v>311</v>
      </c>
      <c r="G28" s="9" t="s">
        <v>308</v>
      </c>
      <c r="H28" s="9" t="s">
        <v>308</v>
      </c>
      <c r="I28" s="9" t="s">
        <v>308</v>
      </c>
      <c r="J28" s="9" t="s">
        <v>308</v>
      </c>
      <c r="K28" s="9" t="s">
        <v>813</v>
      </c>
      <c r="L28" s="9" t="s">
        <v>311</v>
      </c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 t="s">
        <v>763</v>
      </c>
      <c r="DI28" s="9" t="s">
        <v>814</v>
      </c>
      <c r="DJ28" s="9" t="s">
        <v>37</v>
      </c>
      <c r="DK28" s="9"/>
      <c r="DL28" s="9" t="s">
        <v>333</v>
      </c>
      <c r="DM28" s="9" t="s">
        <v>720</v>
      </c>
      <c r="DN28" s="9" t="s">
        <v>398</v>
      </c>
      <c r="DO28" s="9"/>
      <c r="DP28" s="9"/>
      <c r="DQ28" s="9"/>
      <c r="DR28" s="9" t="s">
        <v>94</v>
      </c>
      <c r="DS28" s="9"/>
      <c r="DT28" s="9" t="s">
        <v>399</v>
      </c>
      <c r="DU28" s="9" t="s">
        <v>722</v>
      </c>
      <c r="DV28" s="9"/>
      <c r="DW28" s="9"/>
      <c r="DX28" s="9"/>
      <c r="DY28" s="9"/>
      <c r="DZ28" s="9" t="s">
        <v>399</v>
      </c>
      <c r="EA28" s="9" t="s">
        <v>722</v>
      </c>
      <c r="EB28" s="9"/>
      <c r="EC28" s="9"/>
      <c r="ED28" s="9" t="s">
        <v>679</v>
      </c>
      <c r="EE28" s="9" t="s">
        <v>498</v>
      </c>
      <c r="EF28" s="9" t="s">
        <v>575</v>
      </c>
      <c r="EG28" s="9" t="s">
        <v>815</v>
      </c>
      <c r="EH28" s="9" t="s">
        <v>402</v>
      </c>
      <c r="EI28" s="9" t="s">
        <v>816</v>
      </c>
      <c r="EJ28" t="s">
        <v>817</v>
      </c>
      <c r="EN28" t="s">
        <v>818</v>
      </c>
      <c r="EO28" t="s">
        <v>368</v>
      </c>
    </row>
    <row r="29" spans="3:145" x14ac:dyDescent="0.3">
      <c r="C29" t="s">
        <v>832</v>
      </c>
      <c r="D29" t="s">
        <v>826</v>
      </c>
      <c r="E29" s="8">
        <v>46035</v>
      </c>
      <c r="F29" t="s">
        <v>312</v>
      </c>
      <c r="G29" s="9" t="s">
        <v>524</v>
      </c>
      <c r="H29" s="9" t="s">
        <v>308</v>
      </c>
      <c r="I29" s="9" t="s">
        <v>308</v>
      </c>
      <c r="J29" s="9" t="s">
        <v>308</v>
      </c>
      <c r="K29" s="9" t="s">
        <v>308</v>
      </c>
      <c r="L29" s="9" t="s">
        <v>312</v>
      </c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 t="s">
        <v>340</v>
      </c>
      <c r="DI29" s="9" t="s">
        <v>807</v>
      </c>
      <c r="DJ29" s="9" t="s">
        <v>833</v>
      </c>
      <c r="DK29" s="9"/>
      <c r="DL29" s="9" t="s">
        <v>313</v>
      </c>
      <c r="DM29" s="9" t="s">
        <v>396</v>
      </c>
      <c r="DN29" s="9" t="s">
        <v>41</v>
      </c>
      <c r="DO29" s="9"/>
      <c r="DP29" s="9"/>
      <c r="DQ29" s="9"/>
      <c r="DR29" s="9" t="s">
        <v>92</v>
      </c>
      <c r="DS29" s="9"/>
      <c r="DT29" s="9" t="s">
        <v>764</v>
      </c>
      <c r="DU29" s="9" t="s">
        <v>722</v>
      </c>
      <c r="DV29" s="9"/>
      <c r="DW29" s="9"/>
      <c r="DX29" s="9"/>
      <c r="DY29" s="9"/>
      <c r="DZ29" s="9" t="s">
        <v>489</v>
      </c>
      <c r="EA29" s="9" t="s">
        <v>834</v>
      </c>
      <c r="EB29" s="9"/>
      <c r="EC29" s="9"/>
      <c r="ED29" s="9" t="s">
        <v>679</v>
      </c>
      <c r="EE29" s="9" t="s">
        <v>498</v>
      </c>
      <c r="EF29" s="9" t="s">
        <v>493</v>
      </c>
      <c r="EG29" s="9" t="s">
        <v>835</v>
      </c>
      <c r="EH29" s="9" t="s">
        <v>324</v>
      </c>
      <c r="EI29" s="9" t="s">
        <v>836</v>
      </c>
      <c r="EJ29" t="s">
        <v>842</v>
      </c>
      <c r="EN29" t="s">
        <v>843</v>
      </c>
      <c r="EO29" t="s">
        <v>368</v>
      </c>
    </row>
    <row r="30" spans="3:145" x14ac:dyDescent="0.3">
      <c r="C30" t="s">
        <v>850</v>
      </c>
      <c r="D30" t="s">
        <v>844</v>
      </c>
      <c r="E30" s="8">
        <v>46035</v>
      </c>
      <c r="F30" t="s">
        <v>645</v>
      </c>
      <c r="G30" s="9" t="s">
        <v>308</v>
      </c>
      <c r="H30" s="9" t="s">
        <v>308</v>
      </c>
      <c r="I30" s="9" t="s">
        <v>308</v>
      </c>
      <c r="J30" s="9" t="s">
        <v>308</v>
      </c>
      <c r="K30" s="9" t="s">
        <v>308</v>
      </c>
      <c r="L30" s="9" t="s">
        <v>851</v>
      </c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 t="s">
        <v>340</v>
      </c>
      <c r="DI30" s="9" t="s">
        <v>340</v>
      </c>
      <c r="DJ30" s="9" t="s">
        <v>36</v>
      </c>
      <c r="DK30" s="9"/>
      <c r="DL30" s="9" t="s">
        <v>355</v>
      </c>
      <c r="DM30" s="9" t="s">
        <v>314</v>
      </c>
      <c r="DN30" s="9" t="s">
        <v>316</v>
      </c>
      <c r="DO30" s="9"/>
      <c r="DP30" s="9"/>
      <c r="DQ30" s="9"/>
      <c r="DR30" s="9" t="s">
        <v>92</v>
      </c>
      <c r="DS30" s="9"/>
      <c r="DT30" s="9" t="s">
        <v>764</v>
      </c>
      <c r="DU30" s="9" t="s">
        <v>429</v>
      </c>
      <c r="DV30" s="9"/>
      <c r="DW30" s="9"/>
      <c r="DX30" s="9"/>
      <c r="DY30" s="9"/>
      <c r="DZ30" s="9" t="s">
        <v>764</v>
      </c>
      <c r="EA30" s="9" t="s">
        <v>429</v>
      </c>
      <c r="EB30" s="9"/>
      <c r="EC30" s="9"/>
      <c r="ED30" s="9" t="s">
        <v>679</v>
      </c>
      <c r="EE30" s="9" t="s">
        <v>852</v>
      </c>
      <c r="EF30" s="9" t="s">
        <v>575</v>
      </c>
      <c r="EG30" s="9" t="s">
        <v>403</v>
      </c>
      <c r="EH30" s="9" t="s">
        <v>402</v>
      </c>
      <c r="EI30" s="9" t="s">
        <v>860</v>
      </c>
      <c r="EJ30" t="s">
        <v>880</v>
      </c>
      <c r="EN30" t="s">
        <v>884</v>
      </c>
      <c r="EO30" t="s">
        <v>368</v>
      </c>
    </row>
    <row r="31" spans="3:145" x14ac:dyDescent="0.3">
      <c r="C31" t="s">
        <v>867</v>
      </c>
      <c r="D31" t="s">
        <v>861</v>
      </c>
      <c r="E31" s="8">
        <v>46035</v>
      </c>
      <c r="F31" t="s">
        <v>868</v>
      </c>
      <c r="G31" s="9" t="s">
        <v>308</v>
      </c>
      <c r="H31" s="9" t="s">
        <v>869</v>
      </c>
      <c r="I31" s="9" t="s">
        <v>308</v>
      </c>
      <c r="J31" s="9" t="s">
        <v>308</v>
      </c>
      <c r="K31" s="9" t="s">
        <v>870</v>
      </c>
      <c r="L31" s="9" t="s">
        <v>353</v>
      </c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 t="s">
        <v>763</v>
      </c>
      <c r="DI31" s="9"/>
      <c r="DJ31" s="9"/>
      <c r="DK31" s="9" t="s">
        <v>341</v>
      </c>
      <c r="DL31" s="9" t="s">
        <v>339</v>
      </c>
      <c r="DM31" s="9"/>
      <c r="DN31" s="9"/>
      <c r="DO31" s="9" t="s">
        <v>341</v>
      </c>
      <c r="DP31" s="9"/>
      <c r="DQ31" s="9"/>
      <c r="DR31" s="9" t="s">
        <v>510</v>
      </c>
      <c r="DS31" s="9" t="s">
        <v>54</v>
      </c>
      <c r="DT31" s="9" t="s">
        <v>650</v>
      </c>
      <c r="DU31" s="9" t="s">
        <v>653</v>
      </c>
      <c r="DV31" s="9"/>
      <c r="DW31" s="9"/>
      <c r="DX31" s="9" t="s">
        <v>510</v>
      </c>
      <c r="DY31" s="9" t="s">
        <v>54</v>
      </c>
      <c r="DZ31" s="9" t="s">
        <v>650</v>
      </c>
      <c r="EA31" s="9" t="s">
        <v>653</v>
      </c>
      <c r="EB31" s="9"/>
      <c r="EC31" s="9"/>
      <c r="ED31" s="9" t="s">
        <v>654</v>
      </c>
      <c r="EE31" s="9" t="s">
        <v>498</v>
      </c>
      <c r="EF31" s="9" t="s">
        <v>493</v>
      </c>
      <c r="EG31" s="9" t="s">
        <v>871</v>
      </c>
      <c r="EH31" s="9" t="s">
        <v>311</v>
      </c>
      <c r="EI31" s="9" t="s">
        <v>872</v>
      </c>
      <c r="EJ31" t="s">
        <v>885</v>
      </c>
      <c r="EN31" t="s">
        <v>886</v>
      </c>
      <c r="EO31" t="s">
        <v>437</v>
      </c>
    </row>
    <row r="32" spans="3:145" x14ac:dyDescent="0.3">
      <c r="C32" t="s">
        <v>892</v>
      </c>
      <c r="D32" t="s">
        <v>887</v>
      </c>
      <c r="E32" s="8">
        <v>46035</v>
      </c>
      <c r="F32" t="s">
        <v>893</v>
      </c>
      <c r="G32" s="9" t="s">
        <v>894</v>
      </c>
      <c r="H32" s="9" t="s">
        <v>524</v>
      </c>
      <c r="I32" s="9" t="s">
        <v>308</v>
      </c>
      <c r="J32" s="9" t="s">
        <v>895</v>
      </c>
      <c r="K32" s="9" t="s">
        <v>896</v>
      </c>
      <c r="L32" s="9" t="s">
        <v>897</v>
      </c>
      <c r="M32" s="9" t="s">
        <v>898</v>
      </c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 t="s">
        <v>313</v>
      </c>
      <c r="DI32" s="9" t="s">
        <v>340</v>
      </c>
      <c r="DJ32" s="9" t="s">
        <v>91</v>
      </c>
      <c r="DK32" s="9"/>
      <c r="DL32" s="9" t="s">
        <v>313</v>
      </c>
      <c r="DM32" s="9" t="s">
        <v>321</v>
      </c>
      <c r="DN32" s="9" t="s">
        <v>143</v>
      </c>
      <c r="DO32" s="9"/>
      <c r="DP32" s="9"/>
      <c r="DQ32" s="9"/>
      <c r="DR32" s="9"/>
      <c r="DS32" s="9"/>
      <c r="DT32" s="9" t="s">
        <v>652</v>
      </c>
      <c r="DU32" s="9" t="s">
        <v>399</v>
      </c>
      <c r="DV32" s="9"/>
      <c r="DW32" s="9"/>
      <c r="DX32" s="9"/>
      <c r="DY32" s="9"/>
      <c r="DZ32" s="9" t="s">
        <v>652</v>
      </c>
      <c r="EA32" s="9" t="s">
        <v>399</v>
      </c>
      <c r="EB32" s="9"/>
      <c r="EC32" s="9"/>
      <c r="ED32" s="9" t="s">
        <v>679</v>
      </c>
      <c r="EE32" s="9" t="s">
        <v>944</v>
      </c>
      <c r="EF32" s="9" t="s">
        <v>493</v>
      </c>
      <c r="EG32" s="9" t="s">
        <v>571</v>
      </c>
      <c r="EH32" s="9" t="s">
        <v>311</v>
      </c>
      <c r="EI32" s="9" t="s">
        <v>945</v>
      </c>
      <c r="EJ32" t="s">
        <v>946</v>
      </c>
      <c r="EN32" t="s">
        <v>947</v>
      </c>
      <c r="EO32" t="s">
        <v>437</v>
      </c>
    </row>
    <row r="33" spans="3:145" x14ac:dyDescent="0.3">
      <c r="C33" t="s">
        <v>909</v>
      </c>
      <c r="D33" t="s">
        <v>904</v>
      </c>
      <c r="E33" s="8">
        <v>46035</v>
      </c>
      <c r="F33" t="s">
        <v>910</v>
      </c>
      <c r="G33" s="9" t="s">
        <v>308</v>
      </c>
      <c r="H33" s="9" t="s">
        <v>309</v>
      </c>
      <c r="I33" s="9" t="s">
        <v>308</v>
      </c>
      <c r="J33" s="9" t="s">
        <v>309</v>
      </c>
      <c r="K33" s="9" t="s">
        <v>911</v>
      </c>
      <c r="L33" s="9" t="s">
        <v>897</v>
      </c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 t="s">
        <v>912</v>
      </c>
      <c r="DI33" s="9" t="s">
        <v>314</v>
      </c>
      <c r="DJ33" s="9" t="s">
        <v>43</v>
      </c>
      <c r="DK33" s="9" t="s">
        <v>341</v>
      </c>
      <c r="DL33" s="9" t="s">
        <v>913</v>
      </c>
      <c r="DM33" s="9" t="s">
        <v>321</v>
      </c>
      <c r="DN33" s="9" t="s">
        <v>316</v>
      </c>
      <c r="DO33" s="9" t="s">
        <v>341</v>
      </c>
      <c r="DP33" s="9"/>
      <c r="DQ33" s="9"/>
      <c r="DR33" s="9" t="s">
        <v>88</v>
      </c>
      <c r="DS33" s="9" t="s">
        <v>57</v>
      </c>
      <c r="DT33" s="9"/>
      <c r="DU33" s="9"/>
      <c r="DV33" s="9"/>
      <c r="DW33" s="9"/>
      <c r="DX33" s="9" t="s">
        <v>88</v>
      </c>
      <c r="DY33" s="9" t="s">
        <v>57</v>
      </c>
      <c r="DZ33" s="9"/>
      <c r="EA33" s="9"/>
      <c r="EB33" s="9"/>
      <c r="EC33" s="9"/>
      <c r="ED33" s="9" t="s">
        <v>654</v>
      </c>
      <c r="EE33" s="9" t="s">
        <v>914</v>
      </c>
      <c r="EF33" s="9" t="s">
        <v>493</v>
      </c>
      <c r="EG33" s="9" t="s">
        <v>915</v>
      </c>
      <c r="EH33" s="9" t="s">
        <v>916</v>
      </c>
      <c r="EI33" s="9" t="s">
        <v>939</v>
      </c>
      <c r="EJ33" t="s">
        <v>940</v>
      </c>
      <c r="EN33" t="s">
        <v>941</v>
      </c>
      <c r="EO33" t="s">
        <v>368</v>
      </c>
    </row>
    <row r="34" spans="3:145" x14ac:dyDescent="0.3">
      <c r="C34" t="s">
        <v>927</v>
      </c>
      <c r="D34" t="s">
        <v>922</v>
      </c>
      <c r="E34" s="8">
        <v>46035</v>
      </c>
      <c r="F34" t="s">
        <v>466</v>
      </c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O34" t="s">
        <v>307</v>
      </c>
    </row>
    <row r="35" spans="3:145" x14ac:dyDescent="0.3">
      <c r="C35" t="s">
        <v>948</v>
      </c>
      <c r="D35" t="s">
        <v>774</v>
      </c>
      <c r="E35" s="8">
        <v>46032</v>
      </c>
      <c r="F35" t="s">
        <v>949</v>
      </c>
      <c r="G35" s="9" t="s">
        <v>308</v>
      </c>
      <c r="H35" s="9" t="s">
        <v>308</v>
      </c>
      <c r="I35" s="9" t="s">
        <v>308</v>
      </c>
      <c r="J35" s="9" t="s">
        <v>308</v>
      </c>
      <c r="K35" s="9" t="s">
        <v>309</v>
      </c>
      <c r="L35" s="9" t="s">
        <v>949</v>
      </c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 t="s">
        <v>313</v>
      </c>
      <c r="DI35" s="9" t="s">
        <v>340</v>
      </c>
      <c r="DJ35" s="9" t="s">
        <v>88</v>
      </c>
      <c r="DK35" s="9" t="s">
        <v>339</v>
      </c>
      <c r="DL35" s="9" t="s">
        <v>320</v>
      </c>
      <c r="DM35" s="9" t="s">
        <v>355</v>
      </c>
      <c r="DN35" s="9" t="s">
        <v>86</v>
      </c>
      <c r="DO35" s="9" t="s">
        <v>339</v>
      </c>
      <c r="DP35" s="9"/>
      <c r="DQ35" s="9"/>
      <c r="DR35" s="9" t="s">
        <v>61</v>
      </c>
      <c r="DS35" s="9"/>
      <c r="DT35" s="9"/>
      <c r="DU35" s="9"/>
      <c r="DV35" s="9"/>
      <c r="DW35" s="9"/>
      <c r="DX35" s="9" t="s">
        <v>61</v>
      </c>
      <c r="DY35" s="9"/>
      <c r="DZ35" s="9"/>
      <c r="EA35" s="9"/>
      <c r="EB35" s="9"/>
      <c r="EC35" s="9"/>
      <c r="ED35" s="9" t="s">
        <v>950</v>
      </c>
      <c r="EE35" s="9" t="s">
        <v>492</v>
      </c>
      <c r="EF35" s="9" t="s">
        <v>493</v>
      </c>
      <c r="EG35" s="9" t="s">
        <v>951</v>
      </c>
      <c r="EH35" s="9" t="s">
        <v>952</v>
      </c>
      <c r="EI35" s="9" t="s">
        <v>953</v>
      </c>
      <c r="EJ35" t="s">
        <v>954</v>
      </c>
      <c r="EN35" t="s">
        <v>955</v>
      </c>
      <c r="EO35" t="s">
        <v>437</v>
      </c>
    </row>
    <row r="36" spans="3:145" x14ac:dyDescent="0.3">
      <c r="C36" t="s">
        <v>961</v>
      </c>
      <c r="D36" t="s">
        <v>956</v>
      </c>
      <c r="E36" s="8">
        <v>46036</v>
      </c>
      <c r="F36" t="s">
        <v>330</v>
      </c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O36" t="s">
        <v>307</v>
      </c>
    </row>
    <row r="37" spans="3:145" x14ac:dyDescent="0.3">
      <c r="C37" t="s">
        <v>972</v>
      </c>
      <c r="D37" t="s">
        <v>968</v>
      </c>
      <c r="E37" s="8">
        <v>46038</v>
      </c>
      <c r="F37" t="s">
        <v>893</v>
      </c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 t="s">
        <v>973</v>
      </c>
      <c r="DI37" s="9" t="s">
        <v>807</v>
      </c>
      <c r="DJ37" s="9" t="s">
        <v>356</v>
      </c>
      <c r="DK37" s="9"/>
      <c r="DL37" s="9" t="s">
        <v>335</v>
      </c>
      <c r="DM37" s="9" t="s">
        <v>355</v>
      </c>
      <c r="DN37" s="9" t="s">
        <v>974</v>
      </c>
      <c r="DO37" s="9"/>
      <c r="DP37" s="9"/>
      <c r="DQ37" s="9"/>
      <c r="DR37" s="9" t="s">
        <v>89</v>
      </c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 t="s">
        <v>679</v>
      </c>
      <c r="EE37" s="9" t="s">
        <v>498</v>
      </c>
      <c r="EF37" s="9" t="s">
        <v>499</v>
      </c>
      <c r="EG37" s="9" t="s">
        <v>975</v>
      </c>
      <c r="EH37" s="9" t="s">
        <v>704</v>
      </c>
      <c r="EI37" s="9" t="s">
        <v>976</v>
      </c>
      <c r="EJ37" t="s">
        <v>983</v>
      </c>
      <c r="EN37" t="s">
        <v>984</v>
      </c>
      <c r="EO37" t="s">
        <v>368</v>
      </c>
    </row>
    <row r="38" spans="3:145" x14ac:dyDescent="0.3">
      <c r="C38" t="s">
        <v>990</v>
      </c>
      <c r="D38" t="s">
        <v>985</v>
      </c>
      <c r="E38" s="8">
        <v>46038</v>
      </c>
      <c r="F38" t="s">
        <v>394</v>
      </c>
      <c r="G38" s="9" t="s">
        <v>308</v>
      </c>
      <c r="H38" s="9" t="s">
        <v>308</v>
      </c>
      <c r="I38" s="9" t="s">
        <v>308</v>
      </c>
      <c r="J38" s="9" t="s">
        <v>991</v>
      </c>
      <c r="K38" s="9" t="s">
        <v>992</v>
      </c>
      <c r="L38" s="9" t="s">
        <v>394</v>
      </c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 t="s">
        <v>342</v>
      </c>
      <c r="DI38" s="9" t="s">
        <v>314</v>
      </c>
      <c r="DJ38" s="9" t="s">
        <v>993</v>
      </c>
      <c r="DK38" s="9" t="s">
        <v>341</v>
      </c>
      <c r="DL38" s="9" t="s">
        <v>814</v>
      </c>
      <c r="DM38" s="9" t="s">
        <v>321</v>
      </c>
      <c r="DN38" s="9" t="s">
        <v>51</v>
      </c>
      <c r="DO38" s="9" t="s">
        <v>341</v>
      </c>
      <c r="DP38" s="9"/>
      <c r="DQ38" s="9"/>
      <c r="DR38" s="9" t="s">
        <v>86</v>
      </c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 t="s">
        <v>679</v>
      </c>
      <c r="EE38" s="9" t="s">
        <v>994</v>
      </c>
      <c r="EF38" s="9" t="s">
        <v>1008</v>
      </c>
      <c r="EG38" s="9" t="s">
        <v>995</v>
      </c>
      <c r="EH38" s="9" t="s">
        <v>324</v>
      </c>
      <c r="EI38" s="9" t="s">
        <v>996</v>
      </c>
      <c r="EJ38" t="s">
        <v>1009</v>
      </c>
      <c r="EN38" t="s">
        <v>1010</v>
      </c>
      <c r="EO38" t="s">
        <v>368</v>
      </c>
    </row>
    <row r="39" spans="3:145" x14ac:dyDescent="0.3">
      <c r="C39" t="s">
        <v>1017</v>
      </c>
      <c r="D39" t="s">
        <v>1011</v>
      </c>
      <c r="E39" s="8">
        <v>46038</v>
      </c>
      <c r="F39" t="s">
        <v>851</v>
      </c>
      <c r="G39" s="9" t="s">
        <v>1018</v>
      </c>
      <c r="H39" s="9" t="s">
        <v>1019</v>
      </c>
      <c r="I39" s="9" t="s">
        <v>308</v>
      </c>
      <c r="J39" s="9" t="s">
        <v>1020</v>
      </c>
      <c r="K39" s="9" t="s">
        <v>1021</v>
      </c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 t="s">
        <v>314</v>
      </c>
      <c r="DI39" s="9" t="s">
        <v>355</v>
      </c>
      <c r="DJ39" s="9" t="s">
        <v>993</v>
      </c>
      <c r="DK39" s="9" t="s">
        <v>341</v>
      </c>
      <c r="DL39" s="9" t="s">
        <v>335</v>
      </c>
      <c r="DM39" s="9" t="s">
        <v>340</v>
      </c>
      <c r="DN39" s="9" t="s">
        <v>119</v>
      </c>
      <c r="DO39" s="9" t="s">
        <v>341</v>
      </c>
      <c r="DP39" s="9"/>
      <c r="DQ39" s="9"/>
      <c r="DR39" s="9" t="s">
        <v>95</v>
      </c>
      <c r="DS39" s="9" t="s">
        <v>56</v>
      </c>
      <c r="DT39" s="9" t="s">
        <v>764</v>
      </c>
      <c r="DU39" s="9" t="s">
        <v>678</v>
      </c>
      <c r="DV39" s="9"/>
      <c r="DW39" s="9"/>
      <c r="DX39" s="9" t="s">
        <v>95</v>
      </c>
      <c r="DY39" s="9" t="s">
        <v>56</v>
      </c>
      <c r="DZ39" s="9" t="s">
        <v>650</v>
      </c>
      <c r="EA39" s="9" t="s">
        <v>1022</v>
      </c>
      <c r="EB39" s="9" t="s">
        <v>678</v>
      </c>
      <c r="EC39" s="9"/>
      <c r="ED39" s="9" t="s">
        <v>1029</v>
      </c>
      <c r="EE39" s="9" t="s">
        <v>1030</v>
      </c>
      <c r="EF39" s="9" t="s">
        <v>575</v>
      </c>
      <c r="EG39" s="9" t="s">
        <v>1023</v>
      </c>
      <c r="EH39" s="9" t="s">
        <v>311</v>
      </c>
      <c r="EI39" s="9" t="s">
        <v>1031</v>
      </c>
      <c r="EJ39" t="s">
        <v>1032</v>
      </c>
      <c r="EN39" t="s">
        <v>1033</v>
      </c>
      <c r="EO39" t="s">
        <v>368</v>
      </c>
    </row>
    <row r="40" spans="3:145" x14ac:dyDescent="0.3">
      <c r="C40" t="s">
        <v>1040</v>
      </c>
      <c r="D40" t="s">
        <v>1034</v>
      </c>
      <c r="E40" s="8">
        <v>46039</v>
      </c>
      <c r="F40" t="s">
        <v>1041</v>
      </c>
      <c r="G40" s="9" t="s">
        <v>308</v>
      </c>
      <c r="H40" s="9" t="s">
        <v>308</v>
      </c>
      <c r="I40" s="9" t="s">
        <v>308</v>
      </c>
      <c r="J40" s="9" t="s">
        <v>308</v>
      </c>
      <c r="K40" s="9" t="s">
        <v>1042</v>
      </c>
      <c r="L40" s="9" t="s">
        <v>353</v>
      </c>
      <c r="M40" s="9" t="s">
        <v>1038</v>
      </c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 t="s">
        <v>1043</v>
      </c>
      <c r="DI40" s="9" t="s">
        <v>322</v>
      </c>
      <c r="DJ40" s="9" t="s">
        <v>37</v>
      </c>
      <c r="DK40" s="9"/>
      <c r="DL40" s="9" t="s">
        <v>342</v>
      </c>
      <c r="DM40" s="9" t="s">
        <v>340</v>
      </c>
      <c r="DN40" s="9" t="s">
        <v>398</v>
      </c>
      <c r="DO40" s="9"/>
      <c r="DP40" s="9"/>
      <c r="DQ40" s="9"/>
      <c r="DR40" s="9" t="s">
        <v>94</v>
      </c>
      <c r="DS40" s="9"/>
      <c r="DT40" s="9" t="s">
        <v>652</v>
      </c>
      <c r="DU40" s="9" t="s">
        <v>764</v>
      </c>
      <c r="DV40" s="9"/>
      <c r="DW40" s="9"/>
      <c r="DX40" s="9" t="s">
        <v>94</v>
      </c>
      <c r="DY40" s="9"/>
      <c r="DZ40" s="9" t="s">
        <v>496</v>
      </c>
      <c r="EA40" s="9" t="s">
        <v>651</v>
      </c>
      <c r="EB40" s="9"/>
      <c r="EC40" s="9"/>
      <c r="ED40" s="9" t="s">
        <v>679</v>
      </c>
      <c r="EE40" s="9" t="s">
        <v>1044</v>
      </c>
      <c r="EF40" s="9" t="s">
        <v>499</v>
      </c>
      <c r="EG40" s="9" t="s">
        <v>1045</v>
      </c>
      <c r="EH40" s="9" t="s">
        <v>916</v>
      </c>
      <c r="EI40" s="9"/>
      <c r="EJ40" t="s">
        <v>1080</v>
      </c>
      <c r="EN40" t="s">
        <v>1081</v>
      </c>
      <c r="EO40" t="s">
        <v>437</v>
      </c>
    </row>
    <row r="41" spans="3:145" x14ac:dyDescent="0.3">
      <c r="C41" t="s">
        <v>1062</v>
      </c>
      <c r="D41" t="s">
        <v>1051</v>
      </c>
      <c r="E41" s="8">
        <v>46039</v>
      </c>
      <c r="F41" t="s">
        <v>1063</v>
      </c>
      <c r="G41" s="9" t="s">
        <v>1064</v>
      </c>
      <c r="H41" s="9" t="s">
        <v>1065</v>
      </c>
      <c r="I41" s="9" t="s">
        <v>1066</v>
      </c>
      <c r="J41" s="9" t="s">
        <v>1067</v>
      </c>
      <c r="K41" s="9" t="s">
        <v>1068</v>
      </c>
      <c r="L41" s="9" t="s">
        <v>897</v>
      </c>
      <c r="M41" s="9" t="s">
        <v>311</v>
      </c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 t="s">
        <v>1069</v>
      </c>
      <c r="DI41" s="9" t="s">
        <v>677</v>
      </c>
      <c r="DJ41" s="9" t="s">
        <v>71</v>
      </c>
      <c r="DK41" s="9"/>
      <c r="DL41" s="9" t="s">
        <v>720</v>
      </c>
      <c r="DM41" s="9" t="s">
        <v>805</v>
      </c>
      <c r="DN41" s="9" t="s">
        <v>509</v>
      </c>
      <c r="DO41" s="9"/>
      <c r="DP41" s="9"/>
      <c r="DQ41" s="9"/>
      <c r="DR41" s="9" t="s">
        <v>84</v>
      </c>
      <c r="DS41" s="9"/>
      <c r="DT41" s="9" t="s">
        <v>652</v>
      </c>
      <c r="DU41" s="9" t="s">
        <v>512</v>
      </c>
      <c r="DV41" s="9"/>
      <c r="DW41" s="9"/>
      <c r="DX41" s="9"/>
      <c r="DY41" s="9"/>
      <c r="DZ41" s="9" t="s">
        <v>652</v>
      </c>
      <c r="EA41" s="9" t="s">
        <v>496</v>
      </c>
      <c r="EB41" s="9" t="s">
        <v>1070</v>
      </c>
      <c r="EC41" s="9"/>
      <c r="ED41" s="9" t="s">
        <v>679</v>
      </c>
      <c r="EE41" s="9" t="s">
        <v>499</v>
      </c>
      <c r="EF41" s="9" t="s">
        <v>1071</v>
      </c>
      <c r="EG41" s="9" t="s">
        <v>1072</v>
      </c>
      <c r="EH41" s="9" t="s">
        <v>1073</v>
      </c>
      <c r="EI41" s="9"/>
      <c r="EJ41" t="s">
        <v>1082</v>
      </c>
      <c r="EN41" t="s">
        <v>1083</v>
      </c>
      <c r="EO41" t="s">
        <v>368</v>
      </c>
    </row>
    <row r="42" spans="3:145" x14ac:dyDescent="0.3">
      <c r="C42" t="s">
        <v>1089</v>
      </c>
      <c r="D42" t="s">
        <v>1084</v>
      </c>
      <c r="E42" s="8">
        <v>46041</v>
      </c>
      <c r="F42" t="s">
        <v>897</v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 t="s">
        <v>1090</v>
      </c>
      <c r="DI42" s="9" t="s">
        <v>1091</v>
      </c>
      <c r="DJ42" s="9" t="s">
        <v>1092</v>
      </c>
      <c r="DK42" s="9"/>
      <c r="DL42" s="9" t="s">
        <v>355</v>
      </c>
      <c r="DM42" s="9" t="s">
        <v>322</v>
      </c>
      <c r="DN42" s="9" t="s">
        <v>116</v>
      </c>
      <c r="DO42" s="9"/>
      <c r="DP42" s="9"/>
      <c r="DQ42" s="9"/>
      <c r="DR42" s="9" t="s">
        <v>100</v>
      </c>
      <c r="DS42" s="9"/>
      <c r="DT42" s="9" t="s">
        <v>530</v>
      </c>
      <c r="DU42" s="9" t="s">
        <v>399</v>
      </c>
      <c r="DV42" s="9"/>
      <c r="DW42" s="9"/>
      <c r="DX42" s="9" t="s">
        <v>100</v>
      </c>
      <c r="DY42" s="9"/>
      <c r="DZ42" s="9" t="s">
        <v>570</v>
      </c>
      <c r="EA42" s="9" t="s">
        <v>512</v>
      </c>
      <c r="EB42" s="9" t="s">
        <v>512</v>
      </c>
      <c r="EC42" s="9"/>
      <c r="ED42" s="9" t="s">
        <v>679</v>
      </c>
      <c r="EE42" s="9" t="s">
        <v>1093</v>
      </c>
      <c r="EF42" s="9" t="s">
        <v>1094</v>
      </c>
      <c r="EG42" s="9" t="s">
        <v>1023</v>
      </c>
      <c r="EH42" s="9" t="s">
        <v>1095</v>
      </c>
      <c r="EI42" s="9" t="s">
        <v>1096</v>
      </c>
      <c r="EJ42" t="s">
        <v>1104</v>
      </c>
      <c r="EN42" t="s">
        <v>1105</v>
      </c>
      <c r="EO42" t="s">
        <v>437</v>
      </c>
    </row>
    <row r="43" spans="3:145" x14ac:dyDescent="0.3">
      <c r="C43" t="s">
        <v>1119</v>
      </c>
      <c r="D43" t="s">
        <v>1106</v>
      </c>
      <c r="E43" s="8">
        <v>46041</v>
      </c>
      <c r="F43" t="s">
        <v>1120</v>
      </c>
      <c r="G43" s="9" t="s">
        <v>308</v>
      </c>
      <c r="H43" s="9" t="s">
        <v>308</v>
      </c>
      <c r="I43" s="9" t="s">
        <v>308</v>
      </c>
      <c r="J43" s="9" t="s">
        <v>308</v>
      </c>
      <c r="K43" s="9" t="s">
        <v>1121</v>
      </c>
      <c r="L43" s="9" t="s">
        <v>1120</v>
      </c>
      <c r="M43" s="9" t="s">
        <v>573</v>
      </c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 t="s">
        <v>313</v>
      </c>
      <c r="DI43" s="9"/>
      <c r="DJ43" s="9"/>
      <c r="DK43" s="9"/>
      <c r="DL43" s="9" t="s">
        <v>313</v>
      </c>
      <c r="DM43" s="9"/>
      <c r="DN43" s="9"/>
      <c r="DO43" s="9"/>
      <c r="DP43" s="9"/>
      <c r="DQ43" s="9"/>
      <c r="DR43" s="9"/>
      <c r="DS43" s="9"/>
      <c r="DT43" s="9" t="s">
        <v>429</v>
      </c>
      <c r="DU43" s="9" t="s">
        <v>429</v>
      </c>
      <c r="DV43" s="9"/>
      <c r="DW43" s="9"/>
      <c r="DX43" s="9"/>
      <c r="DY43" s="9"/>
      <c r="DZ43" s="9" t="s">
        <v>429</v>
      </c>
      <c r="EA43" s="9" t="s">
        <v>429</v>
      </c>
      <c r="EB43" s="9"/>
      <c r="EC43" s="9"/>
      <c r="ED43" s="9" t="s">
        <v>679</v>
      </c>
      <c r="EE43" s="9" t="s">
        <v>914</v>
      </c>
      <c r="EF43" s="9" t="s">
        <v>493</v>
      </c>
      <c r="EG43" s="9" t="s">
        <v>1122</v>
      </c>
      <c r="EH43" s="9" t="s">
        <v>311</v>
      </c>
      <c r="EI43" s="9" t="s">
        <v>1123</v>
      </c>
      <c r="EJ43" t="s">
        <v>1124</v>
      </c>
      <c r="EN43" t="s">
        <v>1125</v>
      </c>
      <c r="EO43" t="s">
        <v>437</v>
      </c>
    </row>
    <row r="44" spans="3:145" x14ac:dyDescent="0.3">
      <c r="C44" t="s">
        <v>1130</v>
      </c>
      <c r="D44" t="s">
        <v>1126</v>
      </c>
      <c r="E44" s="8">
        <v>46041</v>
      </c>
      <c r="F44" t="s">
        <v>897</v>
      </c>
      <c r="G44" s="9" t="s">
        <v>1131</v>
      </c>
      <c r="H44" s="9" t="s">
        <v>1132</v>
      </c>
      <c r="I44" s="9" t="s">
        <v>309</v>
      </c>
      <c r="J44" s="9" t="s">
        <v>308</v>
      </c>
      <c r="K44" s="9" t="s">
        <v>1133</v>
      </c>
      <c r="L44" s="9" t="s">
        <v>897</v>
      </c>
      <c r="M44" s="9" t="s">
        <v>573</v>
      </c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 t="s">
        <v>508</v>
      </c>
      <c r="DI44" s="9" t="s">
        <v>973</v>
      </c>
      <c r="DJ44" s="9" t="s">
        <v>61</v>
      </c>
      <c r="DK44" s="9"/>
      <c r="DL44" s="9" t="s">
        <v>313</v>
      </c>
      <c r="DM44" s="9" t="s">
        <v>677</v>
      </c>
      <c r="DN44" s="9" t="s">
        <v>509</v>
      </c>
      <c r="DO44" s="9"/>
      <c r="DP44" s="9"/>
      <c r="DQ44" s="9"/>
      <c r="DR44" s="9" t="s">
        <v>91</v>
      </c>
      <c r="DS44" s="9"/>
      <c r="DT44" s="9" t="s">
        <v>489</v>
      </c>
      <c r="DU44" s="9" t="s">
        <v>496</v>
      </c>
      <c r="DV44" s="9"/>
      <c r="DW44" s="9"/>
      <c r="DX44" s="9" t="s">
        <v>91</v>
      </c>
      <c r="DY44" s="9"/>
      <c r="DZ44" s="9" t="s">
        <v>764</v>
      </c>
      <c r="EA44" s="9" t="s">
        <v>722</v>
      </c>
      <c r="EB44" s="9"/>
      <c r="EC44" s="9"/>
      <c r="ED44" s="9"/>
      <c r="EE44" s="9"/>
      <c r="EF44" s="9"/>
      <c r="EG44" s="9"/>
      <c r="EH44" s="9"/>
      <c r="EI44" s="9"/>
      <c r="EO44" t="s">
        <v>307</v>
      </c>
    </row>
    <row r="45" spans="3:145" x14ac:dyDescent="0.3">
      <c r="C45" t="s">
        <v>1143</v>
      </c>
      <c r="D45" t="s">
        <v>1139</v>
      </c>
      <c r="E45" s="8">
        <v>46043</v>
      </c>
      <c r="F45" t="s">
        <v>897</v>
      </c>
      <c r="G45" s="9" t="s">
        <v>308</v>
      </c>
      <c r="H45" s="9" t="s">
        <v>308</v>
      </c>
      <c r="I45" s="9" t="s">
        <v>308</v>
      </c>
      <c r="J45" s="9" t="s">
        <v>308</v>
      </c>
      <c r="K45" s="9" t="s">
        <v>1144</v>
      </c>
      <c r="L45" s="9" t="s">
        <v>353</v>
      </c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 t="s">
        <v>807</v>
      </c>
      <c r="DI45" s="9"/>
      <c r="DJ45" s="9"/>
      <c r="DK45" s="9"/>
      <c r="DL45" s="9" t="s">
        <v>321</v>
      </c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 t="s">
        <v>679</v>
      </c>
      <c r="EE45" s="9" t="s">
        <v>1044</v>
      </c>
      <c r="EF45" s="9" t="s">
        <v>493</v>
      </c>
      <c r="EG45" s="9" t="s">
        <v>1145</v>
      </c>
      <c r="EH45" s="9" t="s">
        <v>311</v>
      </c>
      <c r="EI45" s="9"/>
      <c r="EJ45" t="s">
        <v>1168</v>
      </c>
      <c r="EN45" t="s">
        <v>1169</v>
      </c>
      <c r="EO45" t="s">
        <v>368</v>
      </c>
    </row>
    <row r="46" spans="3:145" x14ac:dyDescent="0.3">
      <c r="C46" t="s">
        <v>1158</v>
      </c>
      <c r="D46" t="s">
        <v>1153</v>
      </c>
      <c r="E46" s="8">
        <v>46043</v>
      </c>
      <c r="F46" t="s">
        <v>897</v>
      </c>
      <c r="G46" s="9" t="s">
        <v>308</v>
      </c>
      <c r="H46" s="9" t="s">
        <v>308</v>
      </c>
      <c r="I46" s="9" t="s">
        <v>1159</v>
      </c>
      <c r="J46" s="9" t="s">
        <v>1160</v>
      </c>
      <c r="K46" s="9" t="s">
        <v>1161</v>
      </c>
      <c r="L46" s="9" t="s">
        <v>897</v>
      </c>
      <c r="M46" s="9" t="s">
        <v>573</v>
      </c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 t="s">
        <v>355</v>
      </c>
      <c r="DI46" s="9" t="s">
        <v>805</v>
      </c>
      <c r="DJ46" s="9" t="s">
        <v>39</v>
      </c>
      <c r="DK46" s="9"/>
      <c r="DL46" s="9" t="s">
        <v>320</v>
      </c>
      <c r="DM46" s="9" t="s">
        <v>677</v>
      </c>
      <c r="DN46" s="9" t="s">
        <v>591</v>
      </c>
      <c r="DO46" s="9"/>
      <c r="DP46" s="9"/>
      <c r="DQ46" s="9"/>
      <c r="DR46" s="9" t="s">
        <v>91</v>
      </c>
      <c r="DS46" s="9"/>
      <c r="DT46" s="9" t="s">
        <v>764</v>
      </c>
      <c r="DU46" s="9" t="s">
        <v>429</v>
      </c>
      <c r="DV46" s="9"/>
      <c r="DW46" s="9"/>
      <c r="DX46" s="9" t="s">
        <v>91</v>
      </c>
      <c r="DY46" s="9"/>
      <c r="DZ46" s="9" t="s">
        <v>764</v>
      </c>
      <c r="EA46" s="9" t="s">
        <v>429</v>
      </c>
      <c r="EB46" s="9" t="s">
        <v>429</v>
      </c>
      <c r="EC46" s="9"/>
      <c r="ED46" s="9" t="s">
        <v>679</v>
      </c>
      <c r="EE46" s="9" t="s">
        <v>914</v>
      </c>
      <c r="EF46" s="9" t="s">
        <v>493</v>
      </c>
      <c r="EG46" s="9" t="s">
        <v>1023</v>
      </c>
      <c r="EH46" s="9" t="s">
        <v>311</v>
      </c>
      <c r="EI46" s="9"/>
      <c r="EJ46" t="s">
        <v>1166</v>
      </c>
      <c r="EN46" t="s">
        <v>1167</v>
      </c>
      <c r="EO46" t="s">
        <v>368</v>
      </c>
    </row>
    <row r="47" spans="3:145" x14ac:dyDescent="0.3">
      <c r="C47" t="s">
        <v>1175</v>
      </c>
      <c r="D47" t="s">
        <v>1170</v>
      </c>
      <c r="E47" s="8">
        <v>46044</v>
      </c>
      <c r="F47" t="s">
        <v>897</v>
      </c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 t="s">
        <v>342</v>
      </c>
      <c r="DI47" s="9" t="s">
        <v>320</v>
      </c>
      <c r="DJ47" s="9" t="s">
        <v>316</v>
      </c>
      <c r="DK47" s="9" t="s">
        <v>803</v>
      </c>
      <c r="DL47" s="9" t="s">
        <v>313</v>
      </c>
      <c r="DM47" s="9" t="s">
        <v>320</v>
      </c>
      <c r="DN47" s="9" t="s">
        <v>1176</v>
      </c>
      <c r="DO47" s="9" t="s">
        <v>803</v>
      </c>
      <c r="DP47" s="9"/>
      <c r="DQ47" s="9"/>
      <c r="DR47" s="9" t="s">
        <v>96</v>
      </c>
      <c r="DS47" s="9" t="s">
        <v>55</v>
      </c>
      <c r="DT47" s="9" t="s">
        <v>722</v>
      </c>
      <c r="DU47" s="9" t="s">
        <v>429</v>
      </c>
      <c r="DV47" s="9"/>
      <c r="DW47" s="9"/>
      <c r="DX47" s="9" t="s">
        <v>96</v>
      </c>
      <c r="DY47" s="9" t="s">
        <v>55</v>
      </c>
      <c r="DZ47" s="9" t="s">
        <v>722</v>
      </c>
      <c r="EA47" s="9" t="s">
        <v>429</v>
      </c>
      <c r="EB47" s="9" t="s">
        <v>429</v>
      </c>
      <c r="EC47" s="9"/>
      <c r="ED47" s="9" t="s">
        <v>1029</v>
      </c>
      <c r="EE47" s="9" t="s">
        <v>1177</v>
      </c>
      <c r="EF47" s="9" t="s">
        <v>575</v>
      </c>
      <c r="EG47" s="9" t="s">
        <v>571</v>
      </c>
      <c r="EH47" s="9" t="s">
        <v>311</v>
      </c>
      <c r="EI47" s="9" t="s">
        <v>1184</v>
      </c>
      <c r="EJ47" t="s">
        <v>1185</v>
      </c>
      <c r="EN47" t="s">
        <v>1186</v>
      </c>
      <c r="EO47" t="s">
        <v>437</v>
      </c>
    </row>
    <row r="48" spans="3:145" x14ac:dyDescent="0.3">
      <c r="C48" t="s">
        <v>1191</v>
      </c>
      <c r="D48" t="s">
        <v>1187</v>
      </c>
      <c r="E48" s="8">
        <v>46045</v>
      </c>
      <c r="F48" t="s">
        <v>1192</v>
      </c>
      <c r="G48" s="9" t="s">
        <v>308</v>
      </c>
      <c r="H48" s="9" t="s">
        <v>1193</v>
      </c>
      <c r="I48" s="9" t="s">
        <v>309</v>
      </c>
      <c r="J48" s="9" t="s">
        <v>308</v>
      </c>
      <c r="K48" s="9" t="s">
        <v>1194</v>
      </c>
      <c r="L48" s="9" t="s">
        <v>1195</v>
      </c>
      <c r="M48" s="9" t="s">
        <v>573</v>
      </c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 t="s">
        <v>912</v>
      </c>
      <c r="DI48" s="9" t="s">
        <v>314</v>
      </c>
      <c r="DJ48" s="9" t="s">
        <v>1092</v>
      </c>
      <c r="DK48" s="9" t="s">
        <v>1196</v>
      </c>
      <c r="DL48" s="9" t="s">
        <v>912</v>
      </c>
      <c r="DM48" s="9" t="s">
        <v>314</v>
      </c>
      <c r="DN48" s="9" t="s">
        <v>81</v>
      </c>
      <c r="DO48" s="9" t="s">
        <v>1196</v>
      </c>
      <c r="DP48" s="9"/>
      <c r="DQ48" s="9"/>
      <c r="DR48" s="9" t="s">
        <v>92</v>
      </c>
      <c r="DS48" s="9" t="s">
        <v>61</v>
      </c>
      <c r="DT48" s="9" t="s">
        <v>764</v>
      </c>
      <c r="DU48" s="9" t="s">
        <v>429</v>
      </c>
      <c r="DV48" s="9"/>
      <c r="DW48" s="9"/>
      <c r="DX48" s="9" t="s">
        <v>92</v>
      </c>
      <c r="DY48" s="9" t="s">
        <v>61</v>
      </c>
      <c r="DZ48" s="9" t="s">
        <v>764</v>
      </c>
      <c r="EA48" s="9" t="s">
        <v>429</v>
      </c>
      <c r="EB48" s="9" t="s">
        <v>429</v>
      </c>
      <c r="EC48" s="9"/>
      <c r="ED48" s="9" t="s">
        <v>1029</v>
      </c>
      <c r="EE48" s="9" t="s">
        <v>492</v>
      </c>
      <c r="EF48" s="9" t="s">
        <v>493</v>
      </c>
      <c r="EG48" s="9" t="s">
        <v>815</v>
      </c>
      <c r="EH48" s="9" t="s">
        <v>311</v>
      </c>
      <c r="EI48" s="9" t="s">
        <v>1203</v>
      </c>
      <c r="EJ48" t="s">
        <v>1204</v>
      </c>
      <c r="EN48" t="s">
        <v>1205</v>
      </c>
      <c r="EO48" t="s">
        <v>437</v>
      </c>
    </row>
    <row r="49" spans="3:145" x14ac:dyDescent="0.3">
      <c r="C49" t="s">
        <v>1225</v>
      </c>
      <c r="D49" t="s">
        <v>1220</v>
      </c>
      <c r="E49" s="8">
        <v>46045</v>
      </c>
      <c r="F49" t="s">
        <v>311</v>
      </c>
      <c r="G49" s="9" t="s">
        <v>308</v>
      </c>
      <c r="H49" s="9" t="s">
        <v>308</v>
      </c>
      <c r="I49" s="9" t="s">
        <v>1226</v>
      </c>
      <c r="J49" s="9" t="s">
        <v>352</v>
      </c>
      <c r="K49" s="9" t="s">
        <v>1227</v>
      </c>
      <c r="L49" s="9" t="s">
        <v>897</v>
      </c>
      <c r="M49" s="9" t="s">
        <v>573</v>
      </c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 t="s">
        <v>313</v>
      </c>
      <c r="DI49" s="9" t="s">
        <v>677</v>
      </c>
      <c r="DJ49" s="9" t="s">
        <v>41</v>
      </c>
      <c r="DK49" s="9"/>
      <c r="DL49" s="9" t="s">
        <v>313</v>
      </c>
      <c r="DM49" s="9" t="s">
        <v>805</v>
      </c>
      <c r="DN49" s="9" t="s">
        <v>356</v>
      </c>
      <c r="DO49" s="9"/>
      <c r="DP49" s="9"/>
      <c r="DQ49" s="9"/>
      <c r="DR49" s="9"/>
      <c r="DS49" s="9"/>
      <c r="DT49" s="9" t="s">
        <v>764</v>
      </c>
      <c r="DU49" s="9" t="s">
        <v>429</v>
      </c>
      <c r="DV49" s="9"/>
      <c r="DW49" s="9"/>
      <c r="DX49" s="9"/>
      <c r="DY49" s="9"/>
      <c r="DZ49" s="9" t="s">
        <v>431</v>
      </c>
      <c r="EA49" s="9" t="s">
        <v>429</v>
      </c>
      <c r="EB49" s="9"/>
      <c r="EC49" s="9"/>
      <c r="ED49" s="9" t="s">
        <v>679</v>
      </c>
      <c r="EE49" s="9" t="s">
        <v>1228</v>
      </c>
      <c r="EF49" s="9" t="s">
        <v>493</v>
      </c>
      <c r="EG49" s="9" t="s">
        <v>1229</v>
      </c>
      <c r="EH49" s="9" t="s">
        <v>1230</v>
      </c>
      <c r="EI49" s="9" t="s">
        <v>1231</v>
      </c>
      <c r="EJ49" t="s">
        <v>1239</v>
      </c>
      <c r="EN49" t="s">
        <v>1240</v>
      </c>
      <c r="EO49" t="s">
        <v>437</v>
      </c>
    </row>
    <row r="50" spans="3:145" x14ac:dyDescent="0.3">
      <c r="C50" t="s">
        <v>1245</v>
      </c>
      <c r="D50" t="s">
        <v>1241</v>
      </c>
      <c r="E50" s="8">
        <v>46045</v>
      </c>
      <c r="F50" t="s">
        <v>1246</v>
      </c>
      <c r="G50" s="9" t="s">
        <v>308</v>
      </c>
      <c r="H50" s="9" t="s">
        <v>308</v>
      </c>
      <c r="I50" s="9" t="s">
        <v>309</v>
      </c>
      <c r="J50" s="9" t="s">
        <v>309</v>
      </c>
      <c r="K50" s="9" t="s">
        <v>1247</v>
      </c>
      <c r="L50" s="9" t="s">
        <v>1248</v>
      </c>
      <c r="M50" s="9" t="s">
        <v>573</v>
      </c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 t="s">
        <v>1250</v>
      </c>
      <c r="DI50" s="9"/>
      <c r="DJ50" s="9"/>
      <c r="DK50" s="9" t="s">
        <v>334</v>
      </c>
      <c r="DL50" s="9" t="s">
        <v>334</v>
      </c>
      <c r="DM50" s="9"/>
      <c r="DN50" s="9"/>
      <c r="DO50" s="9" t="s">
        <v>334</v>
      </c>
      <c r="DP50" s="9"/>
      <c r="DQ50" s="9"/>
      <c r="DR50" s="9" t="s">
        <v>93</v>
      </c>
      <c r="DS50" s="9"/>
      <c r="DT50" s="9" t="s">
        <v>429</v>
      </c>
      <c r="DU50" s="9" t="s">
        <v>429</v>
      </c>
      <c r="DV50" s="9"/>
      <c r="DW50" s="9"/>
      <c r="DX50" s="9" t="s">
        <v>93</v>
      </c>
      <c r="DY50" s="9"/>
      <c r="DZ50" s="9"/>
      <c r="EA50" s="9" t="s">
        <v>429</v>
      </c>
      <c r="EB50" s="9" t="s">
        <v>429</v>
      </c>
      <c r="EC50" s="9"/>
      <c r="ED50" s="9" t="s">
        <v>1251</v>
      </c>
      <c r="EE50" s="9" t="s">
        <v>914</v>
      </c>
      <c r="EF50" s="9" t="s">
        <v>493</v>
      </c>
      <c r="EG50" s="9" t="s">
        <v>1249</v>
      </c>
      <c r="EH50" s="9" t="s">
        <v>311</v>
      </c>
      <c r="EI50" s="9" t="s">
        <v>1252</v>
      </c>
      <c r="EO50" t="s">
        <v>307</v>
      </c>
    </row>
    <row r="51" spans="3:145" x14ac:dyDescent="0.3">
      <c r="C51" t="s">
        <v>1267</v>
      </c>
      <c r="D51" t="s">
        <v>1263</v>
      </c>
      <c r="E51" s="8">
        <v>46048</v>
      </c>
      <c r="F51" t="s">
        <v>394</v>
      </c>
      <c r="G51" s="9" t="s">
        <v>308</v>
      </c>
      <c r="H51" s="9" t="s">
        <v>308</v>
      </c>
      <c r="I51" s="9" t="s">
        <v>308</v>
      </c>
      <c r="J51" s="9" t="s">
        <v>308</v>
      </c>
      <c r="K51" s="9" t="s">
        <v>308</v>
      </c>
      <c r="L51" s="9" t="s">
        <v>1268</v>
      </c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 t="s">
        <v>313</v>
      </c>
      <c r="DI51" s="9" t="s">
        <v>355</v>
      </c>
      <c r="DJ51" s="9" t="s">
        <v>41</v>
      </c>
      <c r="DK51" s="9"/>
      <c r="DL51" s="9" t="s">
        <v>313</v>
      </c>
      <c r="DM51" s="9" t="s">
        <v>355</v>
      </c>
      <c r="DN51" s="9" t="s">
        <v>356</v>
      </c>
      <c r="DO51" s="9"/>
      <c r="DP51" s="9"/>
      <c r="DQ51" s="9"/>
      <c r="DR51" s="9" t="s">
        <v>62</v>
      </c>
      <c r="DS51" s="9"/>
      <c r="DT51" s="9" t="s">
        <v>512</v>
      </c>
      <c r="DU51" s="9" t="s">
        <v>429</v>
      </c>
      <c r="DV51" s="9"/>
      <c r="DW51" s="9"/>
      <c r="DX51" s="9" t="s">
        <v>62</v>
      </c>
      <c r="DY51" s="9"/>
      <c r="DZ51" s="9" t="s">
        <v>512</v>
      </c>
      <c r="EA51" s="9" t="s">
        <v>429</v>
      </c>
      <c r="EB51" s="9"/>
      <c r="EC51" s="9"/>
      <c r="ED51" s="9" t="s">
        <v>679</v>
      </c>
      <c r="EE51" s="9" t="s">
        <v>498</v>
      </c>
      <c r="EF51" s="9" t="s">
        <v>493</v>
      </c>
      <c r="EG51" s="9" t="s">
        <v>1269</v>
      </c>
      <c r="EH51" s="9" t="s">
        <v>324</v>
      </c>
      <c r="EI51" s="9" t="s">
        <v>1270</v>
      </c>
      <c r="EJ51" t="s">
        <v>1276</v>
      </c>
      <c r="EN51" t="s">
        <v>1277</v>
      </c>
      <c r="EO51" t="s">
        <v>368</v>
      </c>
    </row>
    <row r="52" spans="3:145" x14ac:dyDescent="0.3">
      <c r="C52" t="s">
        <v>1288</v>
      </c>
      <c r="D52" t="s">
        <v>1278</v>
      </c>
      <c r="E52" s="8">
        <v>46049</v>
      </c>
      <c r="F52" t="s">
        <v>353</v>
      </c>
      <c r="G52" s="9" t="s">
        <v>308</v>
      </c>
      <c r="H52" s="9" t="s">
        <v>308</v>
      </c>
      <c r="I52" s="9" t="s">
        <v>308</v>
      </c>
      <c r="J52" s="9" t="s">
        <v>308</v>
      </c>
      <c r="K52" s="9" t="s">
        <v>1289</v>
      </c>
      <c r="L52" s="9" t="s">
        <v>353</v>
      </c>
      <c r="M52" s="9" t="s">
        <v>1290</v>
      </c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 t="s">
        <v>912</v>
      </c>
      <c r="DI52" s="9" t="s">
        <v>355</v>
      </c>
      <c r="DJ52" s="9" t="s">
        <v>41</v>
      </c>
      <c r="DK52" s="9"/>
      <c r="DL52" s="9" t="s">
        <v>803</v>
      </c>
      <c r="DM52" s="9"/>
      <c r="DN52" s="9"/>
      <c r="DO52" s="9"/>
      <c r="DP52" s="9"/>
      <c r="DQ52" s="9"/>
      <c r="DR52" s="9" t="s">
        <v>95</v>
      </c>
      <c r="DS52" s="9"/>
      <c r="DT52" s="9" t="s">
        <v>650</v>
      </c>
      <c r="DU52" s="9" t="s">
        <v>512</v>
      </c>
      <c r="DV52" s="9"/>
      <c r="DW52" s="9"/>
      <c r="DX52" s="9" t="s">
        <v>95</v>
      </c>
      <c r="DY52" s="9"/>
      <c r="DZ52" s="9" t="s">
        <v>764</v>
      </c>
      <c r="EA52" s="9" t="s">
        <v>496</v>
      </c>
      <c r="EB52" s="9"/>
      <c r="EC52" s="9"/>
      <c r="ED52" s="9" t="s">
        <v>679</v>
      </c>
      <c r="EE52" s="9" t="s">
        <v>1093</v>
      </c>
      <c r="EF52" s="9" t="s">
        <v>493</v>
      </c>
      <c r="EG52" s="9" t="s">
        <v>1291</v>
      </c>
      <c r="EH52" s="9" t="s">
        <v>1292</v>
      </c>
      <c r="EI52" s="9" t="s">
        <v>1293</v>
      </c>
      <c r="EJ52" t="s">
        <v>1294</v>
      </c>
      <c r="EN52" t="s">
        <v>1295</v>
      </c>
      <c r="EO52" t="s">
        <v>368</v>
      </c>
    </row>
    <row r="53" spans="3:145" x14ac:dyDescent="0.3">
      <c r="C53" t="s">
        <v>1307</v>
      </c>
      <c r="D53" t="s">
        <v>1301</v>
      </c>
      <c r="E53" s="8">
        <v>46049</v>
      </c>
      <c r="F53" t="s">
        <v>1308</v>
      </c>
      <c r="G53" s="9" t="s">
        <v>308</v>
      </c>
      <c r="H53" s="9" t="s">
        <v>308</v>
      </c>
      <c r="I53" s="9" t="s">
        <v>308</v>
      </c>
      <c r="J53" s="9" t="s">
        <v>1309</v>
      </c>
      <c r="K53" s="9" t="s">
        <v>1310</v>
      </c>
      <c r="L53" s="9" t="s">
        <v>1311</v>
      </c>
      <c r="M53" s="9" t="s">
        <v>523</v>
      </c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 t="s">
        <v>619</v>
      </c>
      <c r="DI53" s="9" t="s">
        <v>1312</v>
      </c>
      <c r="DJ53" s="9" t="s">
        <v>61</v>
      </c>
      <c r="DK53" s="9"/>
      <c r="DL53" s="9" t="s">
        <v>321</v>
      </c>
      <c r="DM53" s="9" t="s">
        <v>1312</v>
      </c>
      <c r="DN53" s="9" t="s">
        <v>1313</v>
      </c>
      <c r="DO53" s="9"/>
      <c r="DP53" s="9"/>
      <c r="DQ53" s="9"/>
      <c r="DR53" s="9"/>
      <c r="DS53" s="9"/>
      <c r="DT53" s="9" t="s">
        <v>399</v>
      </c>
      <c r="DU53" s="9" t="s">
        <v>496</v>
      </c>
      <c r="DV53" s="9"/>
      <c r="DW53" s="9"/>
      <c r="DX53" s="9"/>
      <c r="DY53" s="9"/>
      <c r="DZ53" s="9" t="s">
        <v>399</v>
      </c>
      <c r="EA53" s="9" t="s">
        <v>1314</v>
      </c>
      <c r="EB53" s="9" t="s">
        <v>512</v>
      </c>
      <c r="EC53" s="9"/>
      <c r="ED53" s="9" t="s">
        <v>679</v>
      </c>
      <c r="EE53" s="9"/>
      <c r="EF53" s="9"/>
      <c r="EG53" s="9"/>
      <c r="EH53" s="9"/>
      <c r="EI53" s="9"/>
      <c r="EO53" t="s">
        <v>307</v>
      </c>
    </row>
    <row r="54" spans="3:145" x14ac:dyDescent="0.3">
      <c r="C54" t="s">
        <v>1330</v>
      </c>
      <c r="D54" t="s">
        <v>1324</v>
      </c>
      <c r="E54" s="8">
        <v>46050</v>
      </c>
      <c r="F54" t="s">
        <v>1331</v>
      </c>
      <c r="G54" s="9" t="s">
        <v>308</v>
      </c>
      <c r="H54" s="9" t="s">
        <v>308</v>
      </c>
      <c r="I54" s="9" t="s">
        <v>308</v>
      </c>
      <c r="J54" s="9" t="s">
        <v>308</v>
      </c>
      <c r="K54" s="9" t="s">
        <v>1332</v>
      </c>
      <c r="L54" s="9" t="s">
        <v>851</v>
      </c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O54" t="s">
        <v>307</v>
      </c>
    </row>
    <row r="55" spans="3:145" x14ac:dyDescent="0.3">
      <c r="C55" t="s">
        <v>1339</v>
      </c>
      <c r="D55" t="s">
        <v>1333</v>
      </c>
      <c r="E55" s="8">
        <v>46051</v>
      </c>
      <c r="F55" t="s">
        <v>1340</v>
      </c>
      <c r="G55" s="9" t="s">
        <v>308</v>
      </c>
      <c r="H55" s="9" t="s">
        <v>308</v>
      </c>
      <c r="I55" s="9" t="s">
        <v>308</v>
      </c>
      <c r="J55" s="9" t="s">
        <v>308</v>
      </c>
      <c r="K55" s="9" t="s">
        <v>308</v>
      </c>
      <c r="L55" s="9" t="s">
        <v>1341</v>
      </c>
      <c r="M55" s="9" t="s">
        <v>1338</v>
      </c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 t="s">
        <v>313</v>
      </c>
      <c r="DI55" s="9"/>
      <c r="DJ55" s="9"/>
      <c r="DK55" s="9"/>
      <c r="DL55" s="9" t="s">
        <v>313</v>
      </c>
      <c r="DM55" s="9"/>
      <c r="DN55" s="9"/>
      <c r="DO55" s="9"/>
      <c r="DP55" s="9"/>
      <c r="DQ55" s="9"/>
      <c r="DR55" s="9" t="s">
        <v>1342</v>
      </c>
      <c r="DS55" s="9"/>
      <c r="DT55" s="9"/>
      <c r="DU55" s="9"/>
      <c r="DV55" s="9"/>
      <c r="DW55" s="9"/>
      <c r="DX55" s="9" t="s">
        <v>1342</v>
      </c>
      <c r="DY55" s="9"/>
      <c r="DZ55" s="9"/>
      <c r="EA55" s="9"/>
      <c r="EB55" s="9"/>
      <c r="EC55" s="9"/>
      <c r="ED55" s="9" t="s">
        <v>679</v>
      </c>
      <c r="EE55" s="9" t="s">
        <v>1093</v>
      </c>
      <c r="EF55" s="9" t="s">
        <v>493</v>
      </c>
      <c r="EG55" s="9" t="s">
        <v>1122</v>
      </c>
      <c r="EH55" s="9" t="s">
        <v>330</v>
      </c>
      <c r="EI55" s="9" t="s">
        <v>1343</v>
      </c>
      <c r="EO55" t="s">
        <v>307</v>
      </c>
    </row>
    <row r="56" spans="3:145" x14ac:dyDescent="0.3">
      <c r="C56" t="s">
        <v>1344</v>
      </c>
      <c r="D56" t="s">
        <v>1333</v>
      </c>
      <c r="E56" s="8">
        <v>46051</v>
      </c>
      <c r="F56" t="s">
        <v>1340</v>
      </c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 t="s">
        <v>313</v>
      </c>
      <c r="DI56" s="9"/>
      <c r="DJ56" s="9"/>
      <c r="DK56" s="9"/>
      <c r="DL56" s="9" t="s">
        <v>313</v>
      </c>
      <c r="DM56" s="9"/>
      <c r="DN56" s="9"/>
      <c r="DO56" s="9"/>
      <c r="DP56" s="9"/>
      <c r="DQ56" s="9"/>
      <c r="DR56" s="9" t="s">
        <v>1342</v>
      </c>
      <c r="DS56" s="9"/>
      <c r="DT56" s="9"/>
      <c r="DU56" s="9"/>
      <c r="DV56" s="9"/>
      <c r="DW56" s="9"/>
      <c r="DX56" s="9" t="s">
        <v>1342</v>
      </c>
      <c r="DY56" s="9"/>
      <c r="DZ56" s="9"/>
      <c r="EA56" s="9"/>
      <c r="EB56" s="9"/>
      <c r="EC56" s="9"/>
      <c r="ED56" s="9" t="s">
        <v>679</v>
      </c>
      <c r="EE56" s="9" t="s">
        <v>1345</v>
      </c>
      <c r="EF56" s="9" t="s">
        <v>493</v>
      </c>
      <c r="EG56" s="9" t="s">
        <v>1122</v>
      </c>
      <c r="EH56" s="9" t="s">
        <v>311</v>
      </c>
      <c r="EI56" s="9" t="s">
        <v>1346</v>
      </c>
      <c r="EO56" t="s">
        <v>307</v>
      </c>
    </row>
    <row r="57" spans="3:145" x14ac:dyDescent="0.3">
      <c r="C57" t="s">
        <v>1360</v>
      </c>
      <c r="D57" t="s">
        <v>1347</v>
      </c>
      <c r="E57" s="8">
        <v>46052</v>
      </c>
      <c r="F57" t="s">
        <v>353</v>
      </c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O57" t="s">
        <v>307</v>
      </c>
    </row>
    <row r="58" spans="3:145" x14ac:dyDescent="0.3">
      <c r="C58" t="s">
        <v>1361</v>
      </c>
      <c r="D58" t="s">
        <v>1351</v>
      </c>
      <c r="E58" s="8">
        <v>46052</v>
      </c>
      <c r="F58" t="s">
        <v>897</v>
      </c>
      <c r="G58" s="9" t="s">
        <v>308</v>
      </c>
      <c r="H58" s="9" t="s">
        <v>308</v>
      </c>
      <c r="I58" s="9" t="s">
        <v>308</v>
      </c>
      <c r="J58" s="9" t="s">
        <v>1362</v>
      </c>
      <c r="K58" s="9" t="s">
        <v>1363</v>
      </c>
      <c r="L58" s="9" t="s">
        <v>897</v>
      </c>
      <c r="M58" s="9" t="s">
        <v>573</v>
      </c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 t="s">
        <v>313</v>
      </c>
      <c r="DI58" s="9" t="s">
        <v>619</v>
      </c>
      <c r="DJ58" s="9" t="s">
        <v>38</v>
      </c>
      <c r="DK58" s="9"/>
      <c r="DL58" s="9" t="s">
        <v>313</v>
      </c>
      <c r="DM58" s="9" t="s">
        <v>396</v>
      </c>
      <c r="DN58" s="9" t="s">
        <v>316</v>
      </c>
      <c r="DO58" s="9"/>
      <c r="DP58" s="9"/>
      <c r="DQ58" s="9"/>
      <c r="DR58" s="9" t="s">
        <v>62</v>
      </c>
      <c r="DS58" s="9"/>
      <c r="DT58" s="9"/>
      <c r="DU58" s="9"/>
      <c r="DV58" s="9"/>
      <c r="DW58" s="9"/>
      <c r="DX58" s="9" t="s">
        <v>62</v>
      </c>
      <c r="DY58" s="9"/>
      <c r="DZ58" s="9"/>
      <c r="EA58" s="9"/>
      <c r="EB58" s="9"/>
      <c r="EC58" s="9"/>
      <c r="ED58" s="9" t="s">
        <v>679</v>
      </c>
      <c r="EE58" s="9" t="s">
        <v>1364</v>
      </c>
      <c r="EF58" s="9" t="s">
        <v>499</v>
      </c>
      <c r="EG58" s="9" t="s">
        <v>571</v>
      </c>
      <c r="EH58" s="9" t="s">
        <v>311</v>
      </c>
      <c r="EI58" s="9" t="s">
        <v>1365</v>
      </c>
      <c r="EJ58" t="s">
        <v>1371</v>
      </c>
      <c r="EN58" t="s">
        <v>1372</v>
      </c>
      <c r="EO58" t="s">
        <v>368</v>
      </c>
    </row>
    <row r="59" spans="3:145" x14ac:dyDescent="0.3">
      <c r="C59" t="s">
        <v>1373</v>
      </c>
      <c r="D59" t="s">
        <v>1320</v>
      </c>
      <c r="E59" s="8">
        <v>46052</v>
      </c>
      <c r="F59" t="s">
        <v>897</v>
      </c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 t="s">
        <v>313</v>
      </c>
      <c r="DI59" s="9" t="s">
        <v>619</v>
      </c>
      <c r="DJ59" s="9" t="s">
        <v>36</v>
      </c>
      <c r="DK59" s="9"/>
      <c r="DL59" s="9" t="s">
        <v>313</v>
      </c>
      <c r="DM59" s="9" t="s">
        <v>619</v>
      </c>
      <c r="DN59" s="9" t="s">
        <v>1374</v>
      </c>
      <c r="DO59" s="9"/>
      <c r="DP59" s="9"/>
      <c r="DQ59" s="9"/>
      <c r="DR59" s="9" t="s">
        <v>89</v>
      </c>
      <c r="DS59" s="9"/>
      <c r="DT59" s="9" t="s">
        <v>489</v>
      </c>
      <c r="DU59" s="9" t="s">
        <v>428</v>
      </c>
      <c r="DV59" s="9"/>
      <c r="DW59" s="9"/>
      <c r="DX59" s="9"/>
      <c r="DY59" s="9"/>
      <c r="DZ59" s="9" t="s">
        <v>489</v>
      </c>
      <c r="EA59" s="9" t="s">
        <v>428</v>
      </c>
      <c r="EB59" s="9" t="s">
        <v>512</v>
      </c>
      <c r="EC59" s="9"/>
      <c r="ED59" s="9" t="s">
        <v>679</v>
      </c>
      <c r="EE59" s="9" t="s">
        <v>944</v>
      </c>
      <c r="EF59" s="9" t="s">
        <v>493</v>
      </c>
      <c r="EG59" s="9" t="s">
        <v>571</v>
      </c>
      <c r="EH59" s="9" t="s">
        <v>311</v>
      </c>
      <c r="EI59" s="9" t="s">
        <v>1375</v>
      </c>
      <c r="EJ59" t="s">
        <v>1376</v>
      </c>
      <c r="EN59" t="s">
        <v>1377</v>
      </c>
      <c r="EO59" t="s">
        <v>368</v>
      </c>
    </row>
    <row r="60" spans="3:145" x14ac:dyDescent="0.3">
      <c r="C60" t="s">
        <v>1382</v>
      </c>
      <c r="D60" t="s">
        <v>1378</v>
      </c>
      <c r="E60" s="8">
        <v>46053</v>
      </c>
      <c r="F60" t="s">
        <v>1383</v>
      </c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 t="s">
        <v>313</v>
      </c>
      <c r="DI60" s="9" t="s">
        <v>340</v>
      </c>
      <c r="DJ60" s="9" t="s">
        <v>1374</v>
      </c>
      <c r="DK60" s="9"/>
      <c r="DL60" s="9" t="s">
        <v>313</v>
      </c>
      <c r="DM60" s="9" t="s">
        <v>355</v>
      </c>
      <c r="DN60" s="9" t="s">
        <v>316</v>
      </c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O60" t="s">
        <v>307</v>
      </c>
    </row>
    <row r="61" spans="3:145" x14ac:dyDescent="0.3">
      <c r="C61" t="s">
        <v>1397</v>
      </c>
      <c r="D61" t="s">
        <v>1384</v>
      </c>
      <c r="E61" s="8">
        <v>46055</v>
      </c>
      <c r="F61" t="s">
        <v>1398</v>
      </c>
      <c r="G61" s="9" t="s">
        <v>308</v>
      </c>
      <c r="H61" s="9" t="s">
        <v>308</v>
      </c>
      <c r="I61" s="9" t="s">
        <v>308</v>
      </c>
      <c r="J61" s="9" t="s">
        <v>308</v>
      </c>
      <c r="K61" s="9" t="s">
        <v>308</v>
      </c>
      <c r="L61" s="9" t="s">
        <v>353</v>
      </c>
      <c r="M61" s="9" t="s">
        <v>573</v>
      </c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 t="s">
        <v>313</v>
      </c>
      <c r="DI61" s="9"/>
      <c r="DJ61" s="9"/>
      <c r="DK61" s="9" t="s">
        <v>333</v>
      </c>
      <c r="DL61" s="9" t="s">
        <v>1399</v>
      </c>
      <c r="DM61" s="9"/>
      <c r="DN61" s="9"/>
      <c r="DO61" s="9" t="s">
        <v>333</v>
      </c>
      <c r="DP61" s="9"/>
      <c r="DQ61" s="9"/>
      <c r="DR61" s="9" t="s">
        <v>97</v>
      </c>
      <c r="DS61" s="9"/>
      <c r="DT61" s="9" t="s">
        <v>429</v>
      </c>
      <c r="DU61" s="9" t="s">
        <v>429</v>
      </c>
      <c r="DV61" s="9"/>
      <c r="DW61" s="9"/>
      <c r="DX61" s="9"/>
      <c r="DY61" s="9"/>
      <c r="DZ61" s="9" t="s">
        <v>429</v>
      </c>
      <c r="EA61" s="9" t="s">
        <v>429</v>
      </c>
      <c r="EB61" s="9"/>
      <c r="EC61" s="9"/>
      <c r="ED61" s="9" t="s">
        <v>679</v>
      </c>
      <c r="EE61" s="9" t="s">
        <v>1044</v>
      </c>
      <c r="EF61" s="9" t="s">
        <v>493</v>
      </c>
      <c r="EG61" s="9" t="s">
        <v>1249</v>
      </c>
      <c r="EH61" s="9" t="s">
        <v>311</v>
      </c>
      <c r="EI61" s="9" t="s">
        <v>1400</v>
      </c>
      <c r="EJ61" t="s">
        <v>1401</v>
      </c>
      <c r="EN61" t="s">
        <v>1402</v>
      </c>
      <c r="EO61" t="s">
        <v>437</v>
      </c>
    </row>
    <row r="62" spans="3:145" x14ac:dyDescent="0.3">
      <c r="C62" t="s">
        <v>1420</v>
      </c>
      <c r="D62" t="s">
        <v>1415</v>
      </c>
      <c r="E62" s="8">
        <v>46057</v>
      </c>
      <c r="F62" t="s">
        <v>1421</v>
      </c>
      <c r="G62" s="9" t="s">
        <v>308</v>
      </c>
      <c r="H62" s="9" t="s">
        <v>308</v>
      </c>
      <c r="I62" s="9" t="s">
        <v>308</v>
      </c>
      <c r="J62" s="9" t="s">
        <v>308</v>
      </c>
      <c r="K62" s="9" t="s">
        <v>308</v>
      </c>
      <c r="L62" s="9" t="s">
        <v>1422</v>
      </c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 t="s">
        <v>321</v>
      </c>
      <c r="DI62" s="9" t="s">
        <v>335</v>
      </c>
      <c r="DJ62" s="9" t="s">
        <v>41</v>
      </c>
      <c r="DK62" s="9"/>
      <c r="DL62" s="9" t="s">
        <v>355</v>
      </c>
      <c r="DM62" s="9" t="s">
        <v>314</v>
      </c>
      <c r="DN62" s="9" t="s">
        <v>316</v>
      </c>
      <c r="DO62" s="9"/>
      <c r="DP62" s="9"/>
      <c r="DQ62" s="9"/>
      <c r="DR62" s="9" t="s">
        <v>95</v>
      </c>
      <c r="DS62" s="9"/>
      <c r="DT62" s="9" t="s">
        <v>489</v>
      </c>
      <c r="DU62" s="9" t="s">
        <v>722</v>
      </c>
      <c r="DV62" s="9"/>
      <c r="DW62" s="9"/>
      <c r="DX62" s="9" t="s">
        <v>95</v>
      </c>
      <c r="DY62" s="9"/>
      <c r="DZ62" s="9" t="s">
        <v>764</v>
      </c>
      <c r="EA62" s="9" t="s">
        <v>429</v>
      </c>
      <c r="EB62" s="9" t="s">
        <v>653</v>
      </c>
      <c r="EC62" s="9"/>
      <c r="ED62" s="9" t="s">
        <v>679</v>
      </c>
      <c r="EE62" s="9" t="s">
        <v>492</v>
      </c>
      <c r="EF62" s="9" t="s">
        <v>493</v>
      </c>
      <c r="EG62" s="9" t="s">
        <v>1023</v>
      </c>
      <c r="EH62" s="9" t="s">
        <v>311</v>
      </c>
      <c r="EI62" s="9" t="s">
        <v>1423</v>
      </c>
      <c r="EJ62" t="s">
        <v>1424</v>
      </c>
      <c r="EN62" t="s">
        <v>1430</v>
      </c>
      <c r="EO62" t="s">
        <v>368</v>
      </c>
    </row>
    <row r="63" spans="3:145" x14ac:dyDescent="0.3">
      <c r="C63" t="s">
        <v>1437</v>
      </c>
      <c r="D63" t="s">
        <v>1431</v>
      </c>
      <c r="E63" s="8">
        <v>46058</v>
      </c>
      <c r="F63" t="s">
        <v>1438</v>
      </c>
      <c r="G63" s="9" t="s">
        <v>308</v>
      </c>
      <c r="H63" s="9" t="s">
        <v>308</v>
      </c>
      <c r="I63" s="9" t="s">
        <v>1439</v>
      </c>
      <c r="J63" s="9" t="s">
        <v>1440</v>
      </c>
      <c r="K63" s="9" t="s">
        <v>1441</v>
      </c>
      <c r="L63" s="9" t="s">
        <v>897</v>
      </c>
      <c r="M63" s="9" t="s">
        <v>350</v>
      </c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 t="s">
        <v>913</v>
      </c>
      <c r="DI63" s="9" t="s">
        <v>1442</v>
      </c>
      <c r="DJ63" s="9" t="s">
        <v>46</v>
      </c>
      <c r="DK63" s="9"/>
      <c r="DL63" s="9" t="s">
        <v>339</v>
      </c>
      <c r="DM63" s="9" t="s">
        <v>1442</v>
      </c>
      <c r="DN63" s="9" t="s">
        <v>509</v>
      </c>
      <c r="DO63" s="9"/>
      <c r="DP63" s="9"/>
      <c r="DQ63" s="9"/>
      <c r="DR63" s="9" t="s">
        <v>97</v>
      </c>
      <c r="DS63" s="9"/>
      <c r="DT63" s="9" t="s">
        <v>570</v>
      </c>
      <c r="DU63" s="9" t="s">
        <v>1443</v>
      </c>
      <c r="DV63" s="9"/>
      <c r="DW63" s="9"/>
      <c r="DX63" s="9" t="s">
        <v>97</v>
      </c>
      <c r="DY63" s="9"/>
      <c r="DZ63" s="9" t="s">
        <v>530</v>
      </c>
      <c r="EA63" s="9" t="s">
        <v>399</v>
      </c>
      <c r="EB63" s="9" t="s">
        <v>1443</v>
      </c>
      <c r="EC63" s="9"/>
      <c r="ED63" s="9" t="s">
        <v>679</v>
      </c>
      <c r="EE63" s="9" t="s">
        <v>1044</v>
      </c>
      <c r="EF63" s="9" t="s">
        <v>575</v>
      </c>
      <c r="EG63" s="9" t="s">
        <v>815</v>
      </c>
      <c r="EH63" s="9" t="s">
        <v>1095</v>
      </c>
      <c r="EI63" s="9" t="s">
        <v>1444</v>
      </c>
      <c r="EJ63" t="s">
        <v>1450</v>
      </c>
      <c r="EN63" t="s">
        <v>1451</v>
      </c>
      <c r="EO63" t="s">
        <v>368</v>
      </c>
    </row>
    <row r="64" spans="3:145" x14ac:dyDescent="0.3">
      <c r="C64" t="s">
        <v>1462</v>
      </c>
      <c r="D64" t="s">
        <v>1457</v>
      </c>
      <c r="E64" s="8">
        <v>46058</v>
      </c>
      <c r="F64" t="s">
        <v>1463</v>
      </c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 t="s">
        <v>314</v>
      </c>
      <c r="DI64" s="9" t="s">
        <v>355</v>
      </c>
      <c r="DJ64" s="9" t="s">
        <v>126</v>
      </c>
      <c r="DK64" s="9"/>
      <c r="DL64" s="9" t="s">
        <v>314</v>
      </c>
      <c r="DM64" s="9"/>
      <c r="DN64" s="9"/>
      <c r="DO64" s="9"/>
      <c r="DP64" s="9"/>
      <c r="DQ64" s="9"/>
      <c r="DR64" s="9" t="s">
        <v>1342</v>
      </c>
      <c r="DS64" s="9"/>
      <c r="DT64" s="9" t="s">
        <v>1342</v>
      </c>
      <c r="DU64" s="9"/>
      <c r="DV64" s="9"/>
      <c r="DW64" s="9"/>
      <c r="DX64" s="9" t="s">
        <v>1342</v>
      </c>
      <c r="DY64" s="9"/>
      <c r="DZ64" s="9" t="s">
        <v>1342</v>
      </c>
      <c r="EA64" s="9"/>
      <c r="EB64" s="9"/>
      <c r="EC64" s="9"/>
      <c r="ED64" s="9" t="s">
        <v>679</v>
      </c>
      <c r="EE64" s="9" t="s">
        <v>1464</v>
      </c>
      <c r="EF64" s="9" t="s">
        <v>575</v>
      </c>
      <c r="EG64" s="9" t="s">
        <v>1465</v>
      </c>
      <c r="EH64" s="9" t="s">
        <v>311</v>
      </c>
      <c r="EI64" s="9" t="s">
        <v>1471</v>
      </c>
      <c r="EJ64" t="s">
        <v>1472</v>
      </c>
      <c r="EN64" t="s">
        <v>1473</v>
      </c>
      <c r="EO64" t="s">
        <v>437</v>
      </c>
    </row>
    <row r="65" spans="3:145" x14ac:dyDescent="0.3">
      <c r="C65" t="s">
        <v>1477</v>
      </c>
      <c r="D65" t="s">
        <v>1474</v>
      </c>
      <c r="E65" s="8">
        <v>46058</v>
      </c>
      <c r="F65" t="s">
        <v>1478</v>
      </c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 t="s">
        <v>1479</v>
      </c>
      <c r="EJ65" t="s">
        <v>1484</v>
      </c>
      <c r="EN65" t="s">
        <v>1485</v>
      </c>
      <c r="EO65" t="s">
        <v>368</v>
      </c>
    </row>
    <row r="66" spans="3:145" x14ac:dyDescent="0.3">
      <c r="C66" t="s">
        <v>1490</v>
      </c>
      <c r="D66" t="s">
        <v>1486</v>
      </c>
      <c r="E66" s="8">
        <v>46058</v>
      </c>
      <c r="F66" t="s">
        <v>394</v>
      </c>
      <c r="G66" s="9" t="s">
        <v>698</v>
      </c>
      <c r="H66" s="9" t="s">
        <v>308</v>
      </c>
      <c r="I66" s="9" t="s">
        <v>1229</v>
      </c>
      <c r="J66" s="9" t="s">
        <v>309</v>
      </c>
      <c r="K66" s="9" t="s">
        <v>1491</v>
      </c>
      <c r="L66" s="9" t="s">
        <v>1492</v>
      </c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 t="s">
        <v>313</v>
      </c>
      <c r="AQ66" s="9" t="s">
        <v>320</v>
      </c>
      <c r="AR66" s="9" t="s">
        <v>1493</v>
      </c>
      <c r="AS66" s="9"/>
      <c r="AT66" s="9" t="s">
        <v>313</v>
      </c>
      <c r="AU66" s="9" t="s">
        <v>320</v>
      </c>
      <c r="AV66" s="9" t="s">
        <v>35</v>
      </c>
      <c r="AW66" s="9"/>
      <c r="AX66" s="9"/>
      <c r="AY66" s="9"/>
      <c r="AZ66" s="9"/>
      <c r="BA66" s="9"/>
      <c r="BB66" s="9"/>
      <c r="BC66" s="9"/>
      <c r="BD66" s="9"/>
      <c r="BE66" s="9"/>
      <c r="BF66" s="9" t="s">
        <v>679</v>
      </c>
      <c r="BG66" s="9" t="s">
        <v>1494</v>
      </c>
      <c r="BH66" s="9" t="s">
        <v>492</v>
      </c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 t="s">
        <v>342</v>
      </c>
      <c r="DI66" s="9" t="s">
        <v>355</v>
      </c>
      <c r="DJ66" s="9" t="s">
        <v>591</v>
      </c>
      <c r="DK66" s="9"/>
      <c r="DL66" s="9" t="s">
        <v>342</v>
      </c>
      <c r="DM66" s="9" t="s">
        <v>340</v>
      </c>
      <c r="DN66" s="9" t="s">
        <v>41</v>
      </c>
      <c r="DO66" s="9"/>
      <c r="DP66" s="9"/>
      <c r="DQ66" s="9"/>
      <c r="DR66" s="9" t="s">
        <v>90</v>
      </c>
      <c r="DS66" s="9"/>
      <c r="DT66" s="9" t="s">
        <v>512</v>
      </c>
      <c r="DU66" s="9" t="s">
        <v>429</v>
      </c>
      <c r="DV66" s="9"/>
      <c r="DW66" s="9"/>
      <c r="DX66" s="9" t="s">
        <v>90</v>
      </c>
      <c r="DY66" s="9"/>
      <c r="DZ66" s="9" t="s">
        <v>1495</v>
      </c>
      <c r="EA66" s="9" t="s">
        <v>429</v>
      </c>
      <c r="EB66" s="9" t="s">
        <v>429</v>
      </c>
      <c r="EC66" s="9"/>
      <c r="ED66" s="9" t="s">
        <v>679</v>
      </c>
      <c r="EE66" s="9" t="s">
        <v>492</v>
      </c>
      <c r="EF66" s="9" t="s">
        <v>575</v>
      </c>
      <c r="EG66" s="9" t="s">
        <v>1496</v>
      </c>
      <c r="EH66" s="9" t="s">
        <v>1497</v>
      </c>
      <c r="EI66" s="9" t="s">
        <v>1498</v>
      </c>
      <c r="EJ66" t="s">
        <v>1504</v>
      </c>
      <c r="EN66" t="s">
        <v>1505</v>
      </c>
      <c r="EO66" t="s">
        <v>368</v>
      </c>
    </row>
    <row r="67" spans="3:145" x14ac:dyDescent="0.3">
      <c r="C67" t="s">
        <v>1511</v>
      </c>
      <c r="D67" t="s">
        <v>1506</v>
      </c>
      <c r="E67" s="8">
        <v>46059</v>
      </c>
      <c r="F67" t="s">
        <v>1246</v>
      </c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 t="s">
        <v>508</v>
      </c>
      <c r="DI67" s="9"/>
      <c r="DJ67" s="9"/>
      <c r="DK67" s="9" t="s">
        <v>341</v>
      </c>
      <c r="DL67" s="9" t="s">
        <v>912</v>
      </c>
      <c r="DM67" s="9"/>
      <c r="DN67" s="9"/>
      <c r="DO67" s="9" t="s">
        <v>341</v>
      </c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 t="s">
        <v>679</v>
      </c>
      <c r="EE67" s="9" t="s">
        <v>492</v>
      </c>
      <c r="EF67" s="9" t="s">
        <v>1512</v>
      </c>
      <c r="EG67" s="9" t="s">
        <v>1513</v>
      </c>
      <c r="EH67" s="9"/>
      <c r="EI67" s="9"/>
      <c r="EO67" t="s">
        <v>307</v>
      </c>
    </row>
    <row r="68" spans="3:145" x14ac:dyDescent="0.3">
      <c r="C68" t="s">
        <v>1523</v>
      </c>
      <c r="D68" t="s">
        <v>1514</v>
      </c>
      <c r="E68" s="8">
        <v>46060</v>
      </c>
      <c r="F68" t="s">
        <v>897</v>
      </c>
      <c r="G68" s="9" t="s">
        <v>308</v>
      </c>
      <c r="H68" s="9" t="s">
        <v>308</v>
      </c>
      <c r="I68" s="9" t="s">
        <v>308</v>
      </c>
      <c r="J68" s="9" t="s">
        <v>308</v>
      </c>
      <c r="K68" s="9" t="s">
        <v>1524</v>
      </c>
      <c r="L68" s="9" t="s">
        <v>353</v>
      </c>
      <c r="M68" s="9" t="s">
        <v>573</v>
      </c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 t="s">
        <v>313</v>
      </c>
      <c r="DI68" s="9" t="s">
        <v>619</v>
      </c>
      <c r="DJ68" s="9" t="s">
        <v>36</v>
      </c>
      <c r="DK68" s="9"/>
      <c r="DL68" s="9" t="s">
        <v>313</v>
      </c>
      <c r="DM68" s="9" t="s">
        <v>619</v>
      </c>
      <c r="DN68" s="9" t="s">
        <v>316</v>
      </c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 t="s">
        <v>679</v>
      </c>
      <c r="EE68" s="9" t="s">
        <v>1525</v>
      </c>
      <c r="EF68" s="9" t="s">
        <v>493</v>
      </c>
      <c r="EG68" s="9" t="s">
        <v>571</v>
      </c>
      <c r="EH68" s="9" t="s">
        <v>311</v>
      </c>
      <c r="EI68" s="9" t="s">
        <v>1526</v>
      </c>
      <c r="EO68" t="s">
        <v>307</v>
      </c>
    </row>
    <row r="69" spans="3:145" x14ac:dyDescent="0.3">
      <c r="C69" t="s">
        <v>1543</v>
      </c>
      <c r="D69" t="s">
        <v>1529</v>
      </c>
      <c r="E69" s="8">
        <v>46060</v>
      </c>
      <c r="F69" t="s">
        <v>353</v>
      </c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 t="s">
        <v>1043</v>
      </c>
      <c r="DI69" s="9" t="s">
        <v>397</v>
      </c>
      <c r="DJ69" s="9" t="s">
        <v>676</v>
      </c>
      <c r="DK69" s="9"/>
      <c r="DL69" s="9" t="s">
        <v>1584</v>
      </c>
      <c r="DM69" s="9" t="s">
        <v>720</v>
      </c>
      <c r="DN69" s="9" t="s">
        <v>702</v>
      </c>
      <c r="DO69" s="9"/>
      <c r="DP69" s="9"/>
      <c r="DQ69" s="9"/>
      <c r="DR69" s="9" t="s">
        <v>87</v>
      </c>
      <c r="DS69" s="9"/>
      <c r="DT69" s="9" t="s">
        <v>650</v>
      </c>
      <c r="DU69" s="9" t="s">
        <v>512</v>
      </c>
      <c r="DV69" s="9"/>
      <c r="DW69" s="9"/>
      <c r="DX69" s="9" t="s">
        <v>87</v>
      </c>
      <c r="DY69" s="9"/>
      <c r="DZ69" s="9" t="s">
        <v>489</v>
      </c>
      <c r="EA69" s="9" t="s">
        <v>512</v>
      </c>
      <c r="EB69" s="9" t="s">
        <v>1585</v>
      </c>
      <c r="EC69" s="9"/>
      <c r="ED69" s="9" t="s">
        <v>679</v>
      </c>
      <c r="EE69" s="9" t="s">
        <v>1586</v>
      </c>
      <c r="EF69" s="9" t="s">
        <v>575</v>
      </c>
      <c r="EG69" s="9" t="s">
        <v>815</v>
      </c>
      <c r="EH69" s="9" t="s">
        <v>311</v>
      </c>
      <c r="EI69" s="9" t="s">
        <v>1587</v>
      </c>
      <c r="EJ69" t="s">
        <v>1588</v>
      </c>
      <c r="EN69" t="s">
        <v>1589</v>
      </c>
      <c r="EO69" t="s">
        <v>437</v>
      </c>
    </row>
    <row r="70" spans="3:145" x14ac:dyDescent="0.3">
      <c r="C70" t="s">
        <v>1559</v>
      </c>
      <c r="D70" t="s">
        <v>1548</v>
      </c>
      <c r="E70" s="8">
        <v>46062</v>
      </c>
      <c r="F70" t="s">
        <v>353</v>
      </c>
      <c r="G70" s="9" t="s">
        <v>1560</v>
      </c>
      <c r="H70" s="9" t="s">
        <v>308</v>
      </c>
      <c r="I70" s="9" t="s">
        <v>308</v>
      </c>
      <c r="J70" s="9" t="s">
        <v>308</v>
      </c>
      <c r="K70" s="9" t="s">
        <v>1561</v>
      </c>
      <c r="L70" s="9" t="s">
        <v>353</v>
      </c>
      <c r="M70" s="9" t="s">
        <v>1562</v>
      </c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 t="s">
        <v>805</v>
      </c>
      <c r="DI70" s="9" t="s">
        <v>355</v>
      </c>
      <c r="DJ70" s="9" t="s">
        <v>46</v>
      </c>
      <c r="DK70" s="9"/>
      <c r="DL70" s="9" t="s">
        <v>677</v>
      </c>
      <c r="DM70" s="9" t="s">
        <v>340</v>
      </c>
      <c r="DN70" s="9" t="s">
        <v>316</v>
      </c>
      <c r="DO70" s="9"/>
      <c r="DP70" s="9"/>
      <c r="DQ70" s="9"/>
      <c r="DR70" s="9"/>
      <c r="DS70" s="9"/>
      <c r="DT70" s="9" t="s">
        <v>652</v>
      </c>
      <c r="DU70" s="9" t="s">
        <v>429</v>
      </c>
      <c r="DV70" s="9"/>
      <c r="DW70" s="9"/>
      <c r="DX70" s="9"/>
      <c r="DY70" s="9"/>
      <c r="DZ70" s="9" t="s">
        <v>652</v>
      </c>
      <c r="EA70" s="9" t="s">
        <v>429</v>
      </c>
      <c r="EB70" s="9" t="s">
        <v>429</v>
      </c>
      <c r="EC70" s="9"/>
      <c r="ED70" s="9" t="s">
        <v>679</v>
      </c>
      <c r="EE70" s="9" t="s">
        <v>1044</v>
      </c>
      <c r="EF70" s="9" t="s">
        <v>493</v>
      </c>
      <c r="EG70" s="9" t="s">
        <v>1023</v>
      </c>
      <c r="EH70" s="9" t="s">
        <v>311</v>
      </c>
      <c r="EI70" s="9" t="s">
        <v>1563</v>
      </c>
      <c r="EJ70" t="s">
        <v>1582</v>
      </c>
      <c r="EN70" t="s">
        <v>1583</v>
      </c>
      <c r="EO70" t="s">
        <v>368</v>
      </c>
    </row>
    <row r="71" spans="3:145" x14ac:dyDescent="0.3">
      <c r="C71" t="s">
        <v>1570</v>
      </c>
      <c r="D71" t="s">
        <v>1544</v>
      </c>
      <c r="E71" s="8">
        <v>46062</v>
      </c>
      <c r="F71" t="s">
        <v>330</v>
      </c>
      <c r="G71" s="9"/>
      <c r="H71" s="9"/>
      <c r="I71" s="9"/>
      <c r="J71" s="9"/>
      <c r="K71" s="9" t="s">
        <v>308</v>
      </c>
      <c r="L71" s="9" t="s">
        <v>1571</v>
      </c>
      <c r="M71" s="9" t="s">
        <v>1572</v>
      </c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 t="s">
        <v>313</v>
      </c>
      <c r="DI71" s="9"/>
      <c r="DJ71" s="9"/>
      <c r="DK71" s="9"/>
      <c r="DL71" s="9" t="s">
        <v>313</v>
      </c>
      <c r="DM71" s="9"/>
      <c r="DN71" s="9"/>
      <c r="DO71" s="9"/>
      <c r="DP71" s="9"/>
      <c r="DQ71" s="9"/>
      <c r="DR71" s="9"/>
      <c r="DS71" s="9"/>
      <c r="DT71" s="9" t="s">
        <v>429</v>
      </c>
      <c r="DU71" s="9" t="s">
        <v>429</v>
      </c>
      <c r="DV71" s="9"/>
      <c r="DW71" s="9"/>
      <c r="DX71" s="9"/>
      <c r="DY71" s="9"/>
      <c r="DZ71" s="9" t="s">
        <v>429</v>
      </c>
      <c r="EA71" s="9" t="s">
        <v>429</v>
      </c>
      <c r="EB71" s="9" t="s">
        <v>429</v>
      </c>
      <c r="EC71" s="9"/>
      <c r="ED71" s="9" t="s">
        <v>679</v>
      </c>
      <c r="EE71" s="9" t="s">
        <v>914</v>
      </c>
      <c r="EF71" s="9" t="s">
        <v>493</v>
      </c>
      <c r="EG71" s="9" t="s">
        <v>1122</v>
      </c>
      <c r="EH71" s="9" t="s">
        <v>311</v>
      </c>
      <c r="EI71" s="9" t="s">
        <v>1573</v>
      </c>
      <c r="EJ71" t="s">
        <v>1574</v>
      </c>
      <c r="EN71" t="s">
        <v>1575</v>
      </c>
      <c r="EO71" t="s">
        <v>437</v>
      </c>
    </row>
    <row r="72" spans="3:145" x14ac:dyDescent="0.3">
      <c r="C72" t="s">
        <v>1576</v>
      </c>
      <c r="D72" t="s">
        <v>1514</v>
      </c>
      <c r="E72" s="8">
        <v>46062</v>
      </c>
      <c r="F72" t="s">
        <v>897</v>
      </c>
      <c r="G72" s="9" t="s">
        <v>308</v>
      </c>
      <c r="H72" s="9" t="s">
        <v>308</v>
      </c>
      <c r="I72" s="9" t="s">
        <v>308</v>
      </c>
      <c r="J72" s="9" t="s">
        <v>308</v>
      </c>
      <c r="K72" s="9" t="s">
        <v>1577</v>
      </c>
      <c r="L72" s="9" t="s">
        <v>353</v>
      </c>
      <c r="M72" s="9" t="s">
        <v>573</v>
      </c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 t="s">
        <v>313</v>
      </c>
      <c r="DI72" s="9" t="s">
        <v>619</v>
      </c>
      <c r="DJ72" s="9" t="s">
        <v>36</v>
      </c>
      <c r="DK72" s="9"/>
      <c r="DL72" s="9" t="s">
        <v>313</v>
      </c>
      <c r="DM72" s="9" t="s">
        <v>619</v>
      </c>
      <c r="DN72" s="9" t="s">
        <v>316</v>
      </c>
      <c r="DO72" s="9"/>
      <c r="DP72" s="9"/>
      <c r="DQ72" s="9"/>
      <c r="DR72" s="9" t="s">
        <v>97</v>
      </c>
      <c r="DS72" s="9"/>
      <c r="DT72" s="9" t="s">
        <v>489</v>
      </c>
      <c r="DU72" s="9" t="s">
        <v>429</v>
      </c>
      <c r="DV72" s="9"/>
      <c r="DW72" s="9"/>
      <c r="DX72" s="9" t="s">
        <v>97</v>
      </c>
      <c r="DY72" s="9"/>
      <c r="DZ72" s="9" t="s">
        <v>489</v>
      </c>
      <c r="EA72" s="9" t="s">
        <v>429</v>
      </c>
      <c r="EB72" s="9" t="s">
        <v>429</v>
      </c>
      <c r="EC72" s="9"/>
      <c r="ED72" s="9" t="s">
        <v>679</v>
      </c>
      <c r="EE72" s="9" t="s">
        <v>1578</v>
      </c>
      <c r="EF72" s="9" t="s">
        <v>493</v>
      </c>
      <c r="EG72" s="9" t="s">
        <v>571</v>
      </c>
      <c r="EH72" s="9" t="s">
        <v>311</v>
      </c>
      <c r="EI72" s="9" t="s">
        <v>1579</v>
      </c>
      <c r="EJ72" t="s">
        <v>1580</v>
      </c>
      <c r="EN72" t="s">
        <v>1581</v>
      </c>
      <c r="EO72" t="s">
        <v>437</v>
      </c>
    </row>
    <row r="73" spans="3:145" x14ac:dyDescent="0.3">
      <c r="C73" t="s">
        <v>1600</v>
      </c>
      <c r="D73" t="s">
        <v>1593</v>
      </c>
      <c r="E73" s="8">
        <v>46064</v>
      </c>
      <c r="F73" t="s">
        <v>353</v>
      </c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 t="s">
        <v>355</v>
      </c>
      <c r="DI73" s="9" t="s">
        <v>340</v>
      </c>
      <c r="DJ73" s="9" t="s">
        <v>993</v>
      </c>
      <c r="DK73" s="9" t="s">
        <v>333</v>
      </c>
      <c r="DL73" s="9" t="s">
        <v>355</v>
      </c>
      <c r="DM73" s="9" t="s">
        <v>355</v>
      </c>
      <c r="DN73" s="9" t="s">
        <v>1313</v>
      </c>
      <c r="DO73" s="9" t="s">
        <v>333</v>
      </c>
      <c r="DP73" s="9"/>
      <c r="DQ73" s="9"/>
      <c r="DR73" s="9" t="s">
        <v>97</v>
      </c>
      <c r="DS73" s="9"/>
      <c r="DT73" s="9"/>
      <c r="DU73" s="9"/>
      <c r="DV73" s="9"/>
      <c r="DW73" s="9"/>
      <c r="DX73" s="9" t="s">
        <v>97</v>
      </c>
      <c r="DY73" s="9"/>
      <c r="DZ73" s="9"/>
      <c r="EA73" s="9"/>
      <c r="EB73" s="9"/>
      <c r="EC73" s="9"/>
      <c r="ED73" s="9" t="s">
        <v>1601</v>
      </c>
      <c r="EE73" s="9" t="s">
        <v>492</v>
      </c>
      <c r="EF73" s="9" t="s">
        <v>493</v>
      </c>
      <c r="EG73" s="9" t="s">
        <v>1602</v>
      </c>
      <c r="EH73" s="9" t="s">
        <v>311</v>
      </c>
      <c r="EI73" s="9" t="s">
        <v>1603</v>
      </c>
      <c r="EJ73" t="s">
        <v>1620</v>
      </c>
      <c r="EN73" t="s">
        <v>1621</v>
      </c>
      <c r="EO73" t="s">
        <v>437</v>
      </c>
    </row>
    <row r="74" spans="3:145" x14ac:dyDescent="0.3">
      <c r="C74" t="s">
        <v>1604</v>
      </c>
      <c r="D74" t="s">
        <v>1590</v>
      </c>
      <c r="E74" s="8">
        <v>46064</v>
      </c>
      <c r="F74" t="s">
        <v>353</v>
      </c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 t="s">
        <v>340</v>
      </c>
      <c r="DI74" s="9" t="s">
        <v>314</v>
      </c>
      <c r="DJ74" s="9" t="s">
        <v>36</v>
      </c>
      <c r="DK74" s="9"/>
      <c r="DL74" s="9" t="s">
        <v>340</v>
      </c>
      <c r="DM74" s="9" t="s">
        <v>340</v>
      </c>
      <c r="DN74" s="9" t="s">
        <v>993</v>
      </c>
      <c r="DO74" s="9"/>
      <c r="DP74" s="9"/>
      <c r="DQ74" s="9"/>
      <c r="DR74" s="9" t="s">
        <v>91</v>
      </c>
      <c r="DS74" s="9"/>
      <c r="DT74" s="9"/>
      <c r="DU74" s="9"/>
      <c r="DV74" s="9"/>
      <c r="DW74" s="9"/>
      <c r="DX74" s="9" t="s">
        <v>91</v>
      </c>
      <c r="DY74" s="9"/>
      <c r="DZ74" s="9"/>
      <c r="EA74" s="9"/>
      <c r="EB74" s="9"/>
      <c r="EC74" s="9"/>
      <c r="ED74" s="9" t="s">
        <v>679</v>
      </c>
      <c r="EE74" s="9" t="s">
        <v>1605</v>
      </c>
      <c r="EF74" s="9" t="s">
        <v>493</v>
      </c>
      <c r="EG74" s="9" t="s">
        <v>1023</v>
      </c>
      <c r="EH74" s="9" t="s">
        <v>916</v>
      </c>
      <c r="EI74" s="9" t="s">
        <v>1606</v>
      </c>
      <c r="EJ74" t="s">
        <v>1622</v>
      </c>
      <c r="EN74" t="s">
        <v>1623</v>
      </c>
      <c r="EO74" t="s">
        <v>437</v>
      </c>
    </row>
    <row r="75" spans="3:145" x14ac:dyDescent="0.3">
      <c r="C75" t="s">
        <v>1607</v>
      </c>
      <c r="D75" t="s">
        <v>1597</v>
      </c>
      <c r="E75" s="8">
        <v>46064</v>
      </c>
      <c r="F75" t="s">
        <v>311</v>
      </c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 t="s">
        <v>342</v>
      </c>
      <c r="DI75" s="9"/>
      <c r="DJ75" s="9"/>
      <c r="DK75" s="9" t="s">
        <v>333</v>
      </c>
      <c r="DL75" s="9" t="s">
        <v>342</v>
      </c>
      <c r="DM75" s="9"/>
      <c r="DN75" s="9"/>
      <c r="DO75" s="9" t="s">
        <v>333</v>
      </c>
      <c r="DP75" s="9"/>
      <c r="DQ75" s="9"/>
      <c r="DR75" s="9" t="s">
        <v>91</v>
      </c>
      <c r="DS75" s="9"/>
      <c r="DT75" s="9"/>
      <c r="DU75" s="9"/>
      <c r="DV75" s="9"/>
      <c r="DW75" s="9"/>
      <c r="DX75" s="9" t="s">
        <v>91</v>
      </c>
      <c r="DY75" s="9"/>
      <c r="DZ75" s="9"/>
      <c r="EA75" s="9"/>
      <c r="EB75" s="9"/>
      <c r="EC75" s="9"/>
      <c r="ED75" s="9" t="s">
        <v>1608</v>
      </c>
      <c r="EE75" s="9" t="s">
        <v>492</v>
      </c>
      <c r="EF75" s="9" t="s">
        <v>493</v>
      </c>
      <c r="EG75" s="9" t="s">
        <v>1609</v>
      </c>
      <c r="EH75" s="9" t="s">
        <v>311</v>
      </c>
      <c r="EI75" s="9" t="s">
        <v>1610</v>
      </c>
      <c r="EJ75" t="s">
        <v>1624</v>
      </c>
      <c r="EN75" t="s">
        <v>1625</v>
      </c>
      <c r="EO75" t="s">
        <v>437</v>
      </c>
    </row>
    <row r="76" spans="3:145" x14ac:dyDescent="0.3">
      <c r="C76" t="s">
        <v>1631</v>
      </c>
      <c r="D76" t="s">
        <v>1626</v>
      </c>
      <c r="E76" s="8">
        <v>46066</v>
      </c>
      <c r="F76" t="s">
        <v>897</v>
      </c>
      <c r="G76" s="9" t="s">
        <v>308</v>
      </c>
      <c r="H76" s="9" t="s">
        <v>308</v>
      </c>
      <c r="I76" s="9" t="s">
        <v>308</v>
      </c>
      <c r="J76" s="9" t="s">
        <v>308</v>
      </c>
      <c r="K76" s="9" t="s">
        <v>1561</v>
      </c>
      <c r="L76" s="9" t="s">
        <v>332</v>
      </c>
      <c r="M76" s="9" t="s">
        <v>311</v>
      </c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 t="s">
        <v>912</v>
      </c>
      <c r="DI76" s="9" t="s">
        <v>320</v>
      </c>
      <c r="DJ76" s="9" t="s">
        <v>32</v>
      </c>
      <c r="DK76" s="9" t="s">
        <v>763</v>
      </c>
      <c r="DL76" s="9" t="s">
        <v>913</v>
      </c>
      <c r="DM76" s="9" t="s">
        <v>355</v>
      </c>
      <c r="DN76" s="9" t="s">
        <v>316</v>
      </c>
      <c r="DO76" s="9" t="s">
        <v>763</v>
      </c>
      <c r="DP76" s="9"/>
      <c r="DQ76" s="9"/>
      <c r="DR76" s="9" t="s">
        <v>97</v>
      </c>
      <c r="DS76" s="9" t="s">
        <v>52</v>
      </c>
      <c r="DT76" s="9"/>
      <c r="DU76" s="9"/>
      <c r="DV76" s="9"/>
      <c r="DW76" s="9"/>
      <c r="DX76" s="9" t="s">
        <v>97</v>
      </c>
      <c r="DY76" s="9" t="s">
        <v>52</v>
      </c>
      <c r="DZ76" s="9"/>
      <c r="EA76" s="9"/>
      <c r="EB76" s="9"/>
      <c r="EC76" s="9"/>
      <c r="ED76" s="9" t="s">
        <v>654</v>
      </c>
      <c r="EE76" s="9" t="s">
        <v>1632</v>
      </c>
      <c r="EF76" s="9" t="s">
        <v>1633</v>
      </c>
      <c r="EG76" s="9" t="s">
        <v>815</v>
      </c>
      <c r="EH76" s="9" t="s">
        <v>311</v>
      </c>
      <c r="EI76" s="9" t="s">
        <v>1637</v>
      </c>
      <c r="EJ76" t="s">
        <v>1638</v>
      </c>
      <c r="EN76" t="s">
        <v>1639</v>
      </c>
      <c r="EO76" t="s">
        <v>368</v>
      </c>
    </row>
    <row r="77" spans="3:145" x14ac:dyDescent="0.3">
      <c r="C77" t="s">
        <v>1645</v>
      </c>
      <c r="D77" t="s">
        <v>1640</v>
      </c>
      <c r="E77" s="8">
        <v>46066</v>
      </c>
      <c r="F77" t="s">
        <v>897</v>
      </c>
      <c r="G77" s="9" t="s">
        <v>308</v>
      </c>
      <c r="H77" s="9" t="s">
        <v>308</v>
      </c>
      <c r="I77" s="9" t="s">
        <v>308</v>
      </c>
      <c r="J77" s="9" t="s">
        <v>1646</v>
      </c>
      <c r="K77" s="9" t="s">
        <v>1577</v>
      </c>
      <c r="L77" s="9" t="s">
        <v>897</v>
      </c>
      <c r="M77" s="9" t="s">
        <v>573</v>
      </c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 t="s">
        <v>619</v>
      </c>
      <c r="DI77" s="9" t="s">
        <v>355</v>
      </c>
      <c r="DJ77" s="9" t="s">
        <v>101</v>
      </c>
      <c r="DK77" s="9"/>
      <c r="DL77" s="9" t="s">
        <v>313</v>
      </c>
      <c r="DM77" s="9" t="s">
        <v>340</v>
      </c>
      <c r="DN77" s="9" t="s">
        <v>1176</v>
      </c>
      <c r="DO77" s="9"/>
      <c r="DP77" s="9"/>
      <c r="DQ77" s="9"/>
      <c r="DR77" s="9" t="s">
        <v>93</v>
      </c>
      <c r="DS77" s="9"/>
      <c r="DT77" s="9" t="s">
        <v>650</v>
      </c>
      <c r="DU77" s="9" t="s">
        <v>429</v>
      </c>
      <c r="DV77" s="9"/>
      <c r="DW77" s="9"/>
      <c r="DX77" s="9" t="s">
        <v>93</v>
      </c>
      <c r="DY77" s="9"/>
      <c r="DZ77" s="9" t="s">
        <v>496</v>
      </c>
      <c r="EA77" s="9" t="s">
        <v>429</v>
      </c>
      <c r="EB77" s="9" t="s">
        <v>429</v>
      </c>
      <c r="EC77" s="9"/>
      <c r="ED77" s="9" t="s">
        <v>679</v>
      </c>
      <c r="EE77" s="9" t="s">
        <v>1632</v>
      </c>
      <c r="EF77" s="9" t="s">
        <v>493</v>
      </c>
      <c r="EG77" s="9" t="s">
        <v>1023</v>
      </c>
      <c r="EH77" s="9" t="s">
        <v>311</v>
      </c>
      <c r="EI77" s="9" t="s">
        <v>1647</v>
      </c>
      <c r="EJ77" t="s">
        <v>1666</v>
      </c>
      <c r="EN77" t="s">
        <v>1667</v>
      </c>
      <c r="EO77" t="s">
        <v>437</v>
      </c>
    </row>
    <row r="78" spans="3:145" x14ac:dyDescent="0.3">
      <c r="C78" t="s">
        <v>1655</v>
      </c>
      <c r="D78" t="s">
        <v>1651</v>
      </c>
      <c r="E78" s="8">
        <v>46066</v>
      </c>
      <c r="F78" t="s">
        <v>353</v>
      </c>
      <c r="G78" s="9" t="s">
        <v>308</v>
      </c>
      <c r="H78" s="9" t="s">
        <v>308</v>
      </c>
      <c r="I78" s="9" t="s">
        <v>308</v>
      </c>
      <c r="J78" s="9" t="s">
        <v>308</v>
      </c>
      <c r="K78" s="9" t="s">
        <v>1656</v>
      </c>
      <c r="L78" s="9" t="s">
        <v>897</v>
      </c>
      <c r="M78" s="9" t="s">
        <v>573</v>
      </c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 t="s">
        <v>333</v>
      </c>
      <c r="DI78" s="9" t="s">
        <v>322</v>
      </c>
      <c r="DJ78" s="9" t="s">
        <v>56</v>
      </c>
      <c r="DK78" s="9"/>
      <c r="DL78" s="9" t="s">
        <v>320</v>
      </c>
      <c r="DM78" s="9" t="s">
        <v>320</v>
      </c>
      <c r="DN78" s="9" t="s">
        <v>111</v>
      </c>
      <c r="DO78" s="9"/>
      <c r="DP78" s="9"/>
      <c r="DQ78" s="9"/>
      <c r="DR78" s="9" t="s">
        <v>97</v>
      </c>
      <c r="DS78" s="9"/>
      <c r="DT78" s="9" t="s">
        <v>399</v>
      </c>
      <c r="DU78" s="9" t="s">
        <v>1443</v>
      </c>
      <c r="DV78" s="9"/>
      <c r="DW78" s="9"/>
      <c r="DX78" s="9" t="s">
        <v>97</v>
      </c>
      <c r="DY78" s="9"/>
      <c r="DZ78" s="9" t="s">
        <v>722</v>
      </c>
      <c r="EA78" s="9" t="s">
        <v>429</v>
      </c>
      <c r="EB78" s="9" t="s">
        <v>429</v>
      </c>
      <c r="EC78" s="9"/>
      <c r="ED78" s="9" t="s">
        <v>679</v>
      </c>
      <c r="EE78" s="9" t="s">
        <v>1657</v>
      </c>
      <c r="EF78" s="9" t="s">
        <v>499</v>
      </c>
      <c r="EG78" s="9" t="s">
        <v>815</v>
      </c>
      <c r="EH78" s="9" t="s">
        <v>311</v>
      </c>
      <c r="EI78" s="9" t="s">
        <v>1658</v>
      </c>
      <c r="EJ78" t="s">
        <v>1664</v>
      </c>
      <c r="EN78" t="s">
        <v>1665</v>
      </c>
      <c r="EO78" t="s">
        <v>437</v>
      </c>
    </row>
    <row r="79" spans="3:145" x14ac:dyDescent="0.3">
      <c r="C79" t="s">
        <v>1673</v>
      </c>
      <c r="D79" t="s">
        <v>1668</v>
      </c>
      <c r="E79" s="8">
        <v>46070</v>
      </c>
      <c r="F79" t="s">
        <v>897</v>
      </c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 t="s">
        <v>334</v>
      </c>
      <c r="DI79" s="9" t="s">
        <v>340</v>
      </c>
      <c r="DJ79" s="9" t="s">
        <v>44</v>
      </c>
      <c r="DK79" s="9" t="s">
        <v>803</v>
      </c>
      <c r="DL79" s="9" t="s">
        <v>913</v>
      </c>
      <c r="DM79" s="9" t="s">
        <v>320</v>
      </c>
      <c r="DN79" s="9" t="s">
        <v>1313</v>
      </c>
      <c r="DO79" s="9" t="s">
        <v>803</v>
      </c>
      <c r="DP79" s="9"/>
      <c r="DQ79" s="9"/>
      <c r="DR79" s="9" t="s">
        <v>93</v>
      </c>
      <c r="DS79" s="9" t="s">
        <v>62</v>
      </c>
      <c r="DT79" s="9" t="s">
        <v>650</v>
      </c>
      <c r="DU79" s="9" t="s">
        <v>429</v>
      </c>
      <c r="DV79" s="9"/>
      <c r="DW79" s="9"/>
      <c r="DX79" s="9" t="s">
        <v>93</v>
      </c>
      <c r="DY79" s="9" t="s">
        <v>62</v>
      </c>
      <c r="DZ79" s="9" t="s">
        <v>496</v>
      </c>
      <c r="EA79" s="9" t="s">
        <v>429</v>
      </c>
      <c r="EB79" s="9" t="s">
        <v>429</v>
      </c>
      <c r="EC79" s="9"/>
      <c r="ED79" s="9" t="s">
        <v>654</v>
      </c>
      <c r="EE79" s="9" t="s">
        <v>852</v>
      </c>
      <c r="EF79" s="9" t="s">
        <v>575</v>
      </c>
      <c r="EG79" s="9" t="s">
        <v>815</v>
      </c>
      <c r="EH79" s="9" t="s">
        <v>311</v>
      </c>
      <c r="EI79" s="9" t="s">
        <v>1674</v>
      </c>
      <c r="EJ79" t="s">
        <v>1733</v>
      </c>
      <c r="EN79" t="s">
        <v>1734</v>
      </c>
      <c r="EO79" t="s">
        <v>368</v>
      </c>
    </row>
    <row r="80" spans="3:145" x14ac:dyDescent="0.3">
      <c r="C80" t="s">
        <v>1689</v>
      </c>
      <c r="D80" t="s">
        <v>1685</v>
      </c>
      <c r="E80" s="8">
        <v>46070</v>
      </c>
      <c r="F80" t="s">
        <v>488</v>
      </c>
      <c r="G80" s="9" t="s">
        <v>308</v>
      </c>
      <c r="H80" s="9" t="s">
        <v>308</v>
      </c>
      <c r="I80" s="9" t="s">
        <v>1690</v>
      </c>
      <c r="J80" s="9" t="s">
        <v>1692</v>
      </c>
      <c r="K80" s="9" t="s">
        <v>308</v>
      </c>
      <c r="L80" s="9" t="s">
        <v>1691</v>
      </c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 t="s">
        <v>340</v>
      </c>
      <c r="DI80" s="9" t="s">
        <v>807</v>
      </c>
      <c r="DJ80" s="9" t="s">
        <v>66</v>
      </c>
      <c r="DK80" s="9"/>
      <c r="DL80" s="9" t="s">
        <v>340</v>
      </c>
      <c r="DM80" s="9"/>
      <c r="DN80" s="9"/>
      <c r="DO80" s="9"/>
      <c r="DP80" s="9"/>
      <c r="DQ80" s="9"/>
      <c r="DR80" s="9"/>
      <c r="DS80" s="9"/>
      <c r="DT80" s="9" t="s">
        <v>1693</v>
      </c>
      <c r="DU80" s="9" t="s">
        <v>1694</v>
      </c>
      <c r="DV80" s="9"/>
      <c r="DW80" s="9"/>
      <c r="DX80" s="9"/>
      <c r="DY80" s="9"/>
      <c r="DZ80" s="9" t="s">
        <v>512</v>
      </c>
      <c r="EA80" s="9"/>
      <c r="EB80" s="9"/>
      <c r="EC80" s="9"/>
      <c r="ED80" s="9" t="s">
        <v>679</v>
      </c>
      <c r="EE80" s="9" t="s">
        <v>492</v>
      </c>
      <c r="EF80" s="9" t="s">
        <v>493</v>
      </c>
      <c r="EG80" s="9" t="s">
        <v>1023</v>
      </c>
      <c r="EH80" s="9" t="s">
        <v>311</v>
      </c>
      <c r="EI80" s="9" t="s">
        <v>1741</v>
      </c>
      <c r="EJ80" t="s">
        <v>1742</v>
      </c>
      <c r="EN80" t="s">
        <v>1743</v>
      </c>
      <c r="EO80" t="s">
        <v>368</v>
      </c>
    </row>
    <row r="81" spans="3:145" x14ac:dyDescent="0.3">
      <c r="C81" t="s">
        <v>1711</v>
      </c>
      <c r="D81" t="s">
        <v>1703</v>
      </c>
      <c r="E81" s="8">
        <v>46070</v>
      </c>
      <c r="F81" t="s">
        <v>897</v>
      </c>
      <c r="G81" s="9" t="s">
        <v>308</v>
      </c>
      <c r="H81" s="9" t="s">
        <v>308</v>
      </c>
      <c r="I81" s="9" t="s">
        <v>308</v>
      </c>
      <c r="J81" s="9" t="s">
        <v>1712</v>
      </c>
      <c r="K81" s="9" t="s">
        <v>1561</v>
      </c>
      <c r="L81" s="9" t="s">
        <v>1713</v>
      </c>
      <c r="M81" s="9" t="s">
        <v>573</v>
      </c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 t="s">
        <v>313</v>
      </c>
      <c r="DI81" s="9" t="s">
        <v>814</v>
      </c>
      <c r="DJ81" s="9" t="s">
        <v>46</v>
      </c>
      <c r="DK81" s="9"/>
      <c r="DL81" s="9" t="s">
        <v>313</v>
      </c>
      <c r="DM81" s="9" t="s">
        <v>396</v>
      </c>
      <c r="DN81" s="9" t="s">
        <v>993</v>
      </c>
      <c r="DO81" s="9"/>
      <c r="DP81" s="9"/>
      <c r="DQ81" s="9"/>
      <c r="DR81" s="9" t="s">
        <v>90</v>
      </c>
      <c r="DS81" s="9"/>
      <c r="DT81" s="9" t="s">
        <v>489</v>
      </c>
      <c r="DU81" s="9" t="s">
        <v>512</v>
      </c>
      <c r="DV81" s="9"/>
      <c r="DW81" s="9"/>
      <c r="DX81" s="9"/>
      <c r="DY81" s="9"/>
      <c r="DZ81" s="9" t="s">
        <v>489</v>
      </c>
      <c r="EA81" s="9" t="s">
        <v>512</v>
      </c>
      <c r="EB81" s="9" t="s">
        <v>512</v>
      </c>
      <c r="EC81" s="9"/>
      <c r="ED81" s="9" t="s">
        <v>679</v>
      </c>
      <c r="EE81" s="9" t="s">
        <v>1714</v>
      </c>
      <c r="EF81" s="9" t="s">
        <v>575</v>
      </c>
      <c r="EG81" s="9" t="s">
        <v>571</v>
      </c>
      <c r="EH81" s="9" t="s">
        <v>1715</v>
      </c>
      <c r="EI81" s="9" t="s">
        <v>1716</v>
      </c>
      <c r="EJ81" t="s">
        <v>1735</v>
      </c>
      <c r="EN81" t="s">
        <v>1736</v>
      </c>
      <c r="EO81" t="s">
        <v>368</v>
      </c>
    </row>
    <row r="82" spans="3:145" x14ac:dyDescent="0.3">
      <c r="C82" t="s">
        <v>1717</v>
      </c>
      <c r="D82" t="s">
        <v>1699</v>
      </c>
      <c r="E82" s="8">
        <v>46070</v>
      </c>
      <c r="F82" t="s">
        <v>1718</v>
      </c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 t="s">
        <v>313</v>
      </c>
      <c r="DI82" s="9" t="s">
        <v>1719</v>
      </c>
      <c r="DJ82" s="9" t="s">
        <v>591</v>
      </c>
      <c r="DK82" s="9"/>
      <c r="DL82" s="9" t="s">
        <v>313</v>
      </c>
      <c r="DM82" s="9" t="s">
        <v>720</v>
      </c>
      <c r="DN82" s="9" t="s">
        <v>316</v>
      </c>
      <c r="DO82" s="9"/>
      <c r="DP82" s="9"/>
      <c r="DQ82" s="9"/>
      <c r="DR82" s="9" t="s">
        <v>90</v>
      </c>
      <c r="DS82" s="9"/>
      <c r="DT82" s="9" t="s">
        <v>652</v>
      </c>
      <c r="DU82" s="9" t="s">
        <v>512</v>
      </c>
      <c r="DV82" s="9"/>
      <c r="DW82" s="9"/>
      <c r="DX82" s="9" t="s">
        <v>90</v>
      </c>
      <c r="DY82" s="9"/>
      <c r="DZ82" s="9" t="s">
        <v>570</v>
      </c>
      <c r="EA82" s="9" t="s">
        <v>722</v>
      </c>
      <c r="EB82" s="9" t="s">
        <v>722</v>
      </c>
      <c r="EC82" s="9"/>
      <c r="ED82" s="9" t="s">
        <v>679</v>
      </c>
      <c r="EE82" s="9"/>
      <c r="EF82" s="9"/>
      <c r="EG82" s="9"/>
      <c r="EH82" s="9"/>
      <c r="EI82" s="9"/>
      <c r="EJ82" t="s">
        <v>1737</v>
      </c>
      <c r="EN82" t="s">
        <v>1738</v>
      </c>
      <c r="EO82" t="s">
        <v>437</v>
      </c>
    </row>
    <row r="83" spans="3:145" x14ac:dyDescent="0.3">
      <c r="C83" t="s">
        <v>1720</v>
      </c>
      <c r="D83" t="s">
        <v>1707</v>
      </c>
      <c r="E83" s="8">
        <v>46070</v>
      </c>
      <c r="F83" t="s">
        <v>353</v>
      </c>
      <c r="G83" s="9" t="s">
        <v>308</v>
      </c>
      <c r="H83" s="9" t="s">
        <v>308</v>
      </c>
      <c r="I83" s="9" t="s">
        <v>308</v>
      </c>
      <c r="J83" s="9" t="s">
        <v>1721</v>
      </c>
      <c r="K83" s="9" t="s">
        <v>1561</v>
      </c>
      <c r="L83" s="9" t="s">
        <v>353</v>
      </c>
      <c r="M83" s="9" t="s">
        <v>573</v>
      </c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 t="s">
        <v>313</v>
      </c>
      <c r="DI83" s="9" t="s">
        <v>720</v>
      </c>
      <c r="DJ83" s="9" t="s">
        <v>38</v>
      </c>
      <c r="DK83" s="9"/>
      <c r="DL83" s="9" t="s">
        <v>677</v>
      </c>
      <c r="DM83" s="9" t="s">
        <v>1722</v>
      </c>
      <c r="DN83" s="9" t="s">
        <v>41</v>
      </c>
      <c r="DO83" s="9"/>
      <c r="DP83" s="9"/>
      <c r="DQ83" s="9"/>
      <c r="DR83" s="9"/>
      <c r="DS83" s="9" t="s">
        <v>88</v>
      </c>
      <c r="DT83" s="9" t="s">
        <v>570</v>
      </c>
      <c r="DU83" s="9" t="s">
        <v>722</v>
      </c>
      <c r="DV83" s="9"/>
      <c r="DW83" s="9"/>
      <c r="DX83" s="9"/>
      <c r="DY83" s="9"/>
      <c r="DZ83" s="9" t="s">
        <v>652</v>
      </c>
      <c r="EA83" s="9" t="s">
        <v>722</v>
      </c>
      <c r="EB83" s="9" t="s">
        <v>722</v>
      </c>
      <c r="EC83" s="9"/>
      <c r="ED83" s="9" t="s">
        <v>679</v>
      </c>
      <c r="EE83" s="9" t="s">
        <v>1525</v>
      </c>
      <c r="EF83" s="9"/>
      <c r="EG83" s="9" t="s">
        <v>1723</v>
      </c>
      <c r="EH83" s="9" t="s">
        <v>1724</v>
      </c>
      <c r="EI83" s="9"/>
      <c r="EJ83" t="s">
        <v>1739</v>
      </c>
      <c r="EN83" t="s">
        <v>1740</v>
      </c>
      <c r="EO83" t="s">
        <v>368</v>
      </c>
    </row>
    <row r="84" spans="3:145" x14ac:dyDescent="0.3">
      <c r="C84" t="s">
        <v>1753</v>
      </c>
      <c r="D84" t="s">
        <v>1744</v>
      </c>
      <c r="E84" s="8">
        <v>46071</v>
      </c>
      <c r="F84" t="s">
        <v>897</v>
      </c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 t="s">
        <v>335</v>
      </c>
      <c r="DI84" s="9" t="s">
        <v>355</v>
      </c>
      <c r="DJ84" s="9" t="s">
        <v>591</v>
      </c>
      <c r="DK84" s="9"/>
      <c r="DL84" s="9" t="s">
        <v>807</v>
      </c>
      <c r="DM84" s="9" t="s">
        <v>320</v>
      </c>
      <c r="DN84" s="9" t="s">
        <v>993</v>
      </c>
      <c r="DO84" s="9"/>
      <c r="DP84" s="9"/>
      <c r="DQ84" s="9"/>
      <c r="DR84" s="9" t="s">
        <v>93</v>
      </c>
      <c r="DS84" s="9"/>
      <c r="DT84" s="9"/>
      <c r="DU84" s="9"/>
      <c r="DV84" s="9"/>
      <c r="DW84" s="9"/>
      <c r="DX84" s="9" t="s">
        <v>93</v>
      </c>
      <c r="DY84" s="9"/>
      <c r="DZ84" s="9"/>
      <c r="EA84" s="9"/>
      <c r="EB84" s="9"/>
      <c r="EC84" s="9"/>
      <c r="ED84" s="9" t="s">
        <v>679</v>
      </c>
      <c r="EE84" s="9" t="s">
        <v>1525</v>
      </c>
      <c r="EF84" s="9" t="s">
        <v>499</v>
      </c>
      <c r="EG84" s="9" t="s">
        <v>1023</v>
      </c>
      <c r="EH84" s="9" t="s">
        <v>311</v>
      </c>
      <c r="EI84" s="9" t="s">
        <v>1754</v>
      </c>
      <c r="EJ84" t="s">
        <v>1755</v>
      </c>
      <c r="EN84" t="s">
        <v>1756</v>
      </c>
      <c r="EO84" t="s">
        <v>368</v>
      </c>
    </row>
    <row r="85" spans="3:145" x14ac:dyDescent="0.3">
      <c r="C85" t="s">
        <v>1763</v>
      </c>
      <c r="D85" t="s">
        <v>1757</v>
      </c>
      <c r="E85" s="8">
        <v>46071</v>
      </c>
      <c r="F85" t="s">
        <v>897</v>
      </c>
      <c r="G85" s="9" t="s">
        <v>1764</v>
      </c>
      <c r="H85" s="9" t="s">
        <v>1764</v>
      </c>
      <c r="I85" s="9" t="s">
        <v>308</v>
      </c>
      <c r="J85" s="9" t="s">
        <v>308</v>
      </c>
      <c r="K85" s="9" t="s">
        <v>1765</v>
      </c>
      <c r="L85" s="9" t="s">
        <v>1766</v>
      </c>
      <c r="M85" s="9" t="s">
        <v>573</v>
      </c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 t="s">
        <v>313</v>
      </c>
      <c r="DI85" s="9" t="s">
        <v>320</v>
      </c>
      <c r="DJ85" s="9" t="s">
        <v>356</v>
      </c>
      <c r="DK85" s="9"/>
      <c r="DL85" s="9" t="s">
        <v>313</v>
      </c>
      <c r="DM85" s="9" t="s">
        <v>314</v>
      </c>
      <c r="DN85" s="9" t="s">
        <v>591</v>
      </c>
      <c r="DO85" s="9"/>
      <c r="DP85" s="9"/>
      <c r="DQ85" s="9"/>
      <c r="DR85" s="9" t="s">
        <v>98</v>
      </c>
      <c r="DS85" s="9"/>
      <c r="DT85" s="9" t="s">
        <v>512</v>
      </c>
      <c r="DU85" s="9" t="s">
        <v>429</v>
      </c>
      <c r="DV85" s="9"/>
      <c r="DW85" s="9"/>
      <c r="DX85" s="9"/>
      <c r="DY85" s="9"/>
      <c r="DZ85" s="9" t="s">
        <v>496</v>
      </c>
      <c r="EA85" s="9" t="s">
        <v>429</v>
      </c>
      <c r="EB85" s="9" t="s">
        <v>429</v>
      </c>
      <c r="EC85" s="9"/>
      <c r="ED85" s="9" t="s">
        <v>679</v>
      </c>
      <c r="EE85" s="9" t="s">
        <v>1525</v>
      </c>
      <c r="EF85" s="9" t="s">
        <v>493</v>
      </c>
      <c r="EG85" s="9" t="s">
        <v>1767</v>
      </c>
      <c r="EH85" s="9" t="s">
        <v>311</v>
      </c>
      <c r="EI85" s="9" t="s">
        <v>1768</v>
      </c>
      <c r="EJ85" t="s">
        <v>1793</v>
      </c>
      <c r="EN85" t="s">
        <v>1794</v>
      </c>
      <c r="EO85" t="s">
        <v>368</v>
      </c>
    </row>
    <row r="86" spans="3:145" x14ac:dyDescent="0.3">
      <c r="C86" t="s">
        <v>1777</v>
      </c>
      <c r="D86" t="s">
        <v>1772</v>
      </c>
      <c r="E86" s="8">
        <v>46071</v>
      </c>
      <c r="F86" t="s">
        <v>1778</v>
      </c>
      <c r="G86" s="9" t="s">
        <v>1779</v>
      </c>
      <c r="H86" s="9" t="s">
        <v>308</v>
      </c>
      <c r="I86" s="9" t="s">
        <v>308</v>
      </c>
      <c r="J86" s="9" t="s">
        <v>308</v>
      </c>
      <c r="K86" s="9" t="s">
        <v>1780</v>
      </c>
      <c r="L86" s="9" t="s">
        <v>1781</v>
      </c>
      <c r="M86" s="9" t="s">
        <v>573</v>
      </c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 t="s">
        <v>320</v>
      </c>
      <c r="DI86" s="9"/>
      <c r="DJ86" s="9"/>
      <c r="DK86" s="9"/>
      <c r="DL86" s="9" t="s">
        <v>320</v>
      </c>
      <c r="DM86" s="9"/>
      <c r="DN86" s="9"/>
      <c r="DO86" s="9"/>
      <c r="DP86" s="9"/>
      <c r="DQ86" s="9"/>
      <c r="DR86" s="9" t="s">
        <v>91</v>
      </c>
      <c r="DS86" s="9"/>
      <c r="DT86" s="9"/>
      <c r="DU86" s="9"/>
      <c r="DV86" s="9"/>
      <c r="DW86" s="9"/>
      <c r="DX86" s="9" t="s">
        <v>91</v>
      </c>
      <c r="DY86" s="9"/>
      <c r="DZ86" s="9"/>
      <c r="EA86" s="9"/>
      <c r="EB86" s="9"/>
      <c r="EC86" s="9"/>
      <c r="ED86" s="9" t="s">
        <v>679</v>
      </c>
      <c r="EE86" s="9" t="s">
        <v>1782</v>
      </c>
      <c r="EF86" s="9" t="s">
        <v>499</v>
      </c>
      <c r="EG86" s="9" t="s">
        <v>1465</v>
      </c>
      <c r="EH86" s="9" t="s">
        <v>1783</v>
      </c>
      <c r="EI86" s="9" t="s">
        <v>1790</v>
      </c>
      <c r="EJ86" t="s">
        <v>1791</v>
      </c>
      <c r="EN86" t="s">
        <v>1792</v>
      </c>
      <c r="EO86" t="s">
        <v>368</v>
      </c>
    </row>
    <row r="87" spans="3:145" x14ac:dyDescent="0.3">
      <c r="C87" t="s">
        <v>1800</v>
      </c>
      <c r="D87" t="s">
        <v>1795</v>
      </c>
      <c r="E87" s="8">
        <v>46072</v>
      </c>
      <c r="F87" t="s">
        <v>353</v>
      </c>
      <c r="G87" s="9" t="s">
        <v>308</v>
      </c>
      <c r="H87" s="9" t="s">
        <v>308</v>
      </c>
      <c r="I87" s="9" t="s">
        <v>308</v>
      </c>
      <c r="J87" s="9" t="s">
        <v>308</v>
      </c>
      <c r="K87" s="9" t="s">
        <v>1801</v>
      </c>
      <c r="L87" s="9" t="s">
        <v>897</v>
      </c>
      <c r="M87" s="9" t="s">
        <v>573</v>
      </c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 t="s">
        <v>1091</v>
      </c>
      <c r="DI87" s="9" t="s">
        <v>677</v>
      </c>
      <c r="DJ87" s="9" t="s">
        <v>61</v>
      </c>
      <c r="DK87" s="9"/>
      <c r="DL87" s="9" t="s">
        <v>1802</v>
      </c>
      <c r="DM87" s="9" t="s">
        <v>396</v>
      </c>
      <c r="DN87" s="9" t="s">
        <v>131</v>
      </c>
      <c r="DO87" s="9"/>
      <c r="DP87" s="9"/>
      <c r="DQ87" s="9"/>
      <c r="DR87" s="9" t="s">
        <v>91</v>
      </c>
      <c r="DS87" s="9"/>
      <c r="DT87" s="9" t="s">
        <v>652</v>
      </c>
      <c r="DU87" s="9" t="s">
        <v>496</v>
      </c>
      <c r="DV87" s="9"/>
      <c r="DW87" s="9"/>
      <c r="DX87" s="9" t="s">
        <v>91</v>
      </c>
      <c r="DY87" s="9"/>
      <c r="DZ87" s="9" t="s">
        <v>399</v>
      </c>
      <c r="EA87" s="9" t="s">
        <v>512</v>
      </c>
      <c r="EB87" s="9" t="s">
        <v>1585</v>
      </c>
      <c r="EC87" s="9"/>
      <c r="ED87" s="9" t="s">
        <v>679</v>
      </c>
      <c r="EE87" s="9" t="s">
        <v>492</v>
      </c>
      <c r="EF87" s="9" t="s">
        <v>499</v>
      </c>
      <c r="EG87" s="9" t="s">
        <v>1023</v>
      </c>
      <c r="EH87" s="9" t="s">
        <v>311</v>
      </c>
      <c r="EI87" s="9" t="s">
        <v>1716</v>
      </c>
      <c r="EJ87" t="s">
        <v>1808</v>
      </c>
      <c r="EN87" t="s">
        <v>1809</v>
      </c>
      <c r="EO87" t="s">
        <v>368</v>
      </c>
    </row>
    <row r="88" spans="3:145" x14ac:dyDescent="0.3">
      <c r="C88" t="s">
        <v>1814</v>
      </c>
      <c r="D88" t="s">
        <v>1810</v>
      </c>
      <c r="E88" s="8">
        <v>46072</v>
      </c>
      <c r="F88" t="s">
        <v>1815</v>
      </c>
      <c r="G88" s="9" t="s">
        <v>308</v>
      </c>
      <c r="H88" s="9" t="s">
        <v>308</v>
      </c>
      <c r="I88" s="9" t="s">
        <v>308</v>
      </c>
      <c r="J88" s="9" t="s">
        <v>308</v>
      </c>
      <c r="K88" s="9" t="s">
        <v>308</v>
      </c>
      <c r="L88" s="9" t="s">
        <v>1781</v>
      </c>
      <c r="M88" s="9" t="s">
        <v>573</v>
      </c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 t="s">
        <v>320</v>
      </c>
      <c r="DI88" s="9" t="s">
        <v>314</v>
      </c>
      <c r="DJ88" s="9" t="s">
        <v>591</v>
      </c>
      <c r="DK88" s="9"/>
      <c r="DL88" s="9" t="s">
        <v>320</v>
      </c>
      <c r="DM88" s="9" t="s">
        <v>340</v>
      </c>
      <c r="DN88" s="9" t="s">
        <v>316</v>
      </c>
      <c r="DO88" s="9"/>
      <c r="DP88" s="9"/>
      <c r="DQ88" s="9"/>
      <c r="DR88" s="9" t="s">
        <v>93</v>
      </c>
      <c r="DS88" s="9"/>
      <c r="DT88" s="9" t="s">
        <v>764</v>
      </c>
      <c r="DU88" s="9" t="s">
        <v>429</v>
      </c>
      <c r="DV88" s="9"/>
      <c r="DW88" s="9"/>
      <c r="DX88" s="9" t="s">
        <v>93</v>
      </c>
      <c r="DY88" s="9"/>
      <c r="DZ88" s="9" t="s">
        <v>764</v>
      </c>
      <c r="EA88" s="9" t="s">
        <v>429</v>
      </c>
      <c r="EB88" s="9"/>
      <c r="EC88" s="9"/>
      <c r="ED88" s="9" t="s">
        <v>679</v>
      </c>
      <c r="EE88" s="9" t="s">
        <v>1525</v>
      </c>
      <c r="EF88" s="9" t="s">
        <v>499</v>
      </c>
      <c r="EG88" s="9" t="s">
        <v>1023</v>
      </c>
      <c r="EH88" s="9" t="s">
        <v>311</v>
      </c>
      <c r="EI88" s="9" t="s">
        <v>1816</v>
      </c>
      <c r="EJ88" t="s">
        <v>1822</v>
      </c>
      <c r="EN88" t="s">
        <v>1823</v>
      </c>
      <c r="EO88" t="s">
        <v>437</v>
      </c>
    </row>
    <row r="89" spans="3:145" x14ac:dyDescent="0.3">
      <c r="C89" t="s">
        <v>1829</v>
      </c>
      <c r="D89" t="s">
        <v>1824</v>
      </c>
      <c r="E89" s="8">
        <v>46073</v>
      </c>
      <c r="F89" t="s">
        <v>897</v>
      </c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 t="s">
        <v>340</v>
      </c>
      <c r="DI89" s="9" t="s">
        <v>314</v>
      </c>
      <c r="DJ89" s="9" t="s">
        <v>121</v>
      </c>
      <c r="DK89" s="9"/>
      <c r="DL89" s="9" t="s">
        <v>807</v>
      </c>
      <c r="DM89" s="9" t="s">
        <v>355</v>
      </c>
      <c r="DN89" s="9" t="s">
        <v>91</v>
      </c>
      <c r="DO89" s="9"/>
      <c r="DP89" s="9"/>
      <c r="DQ89" s="9"/>
      <c r="DR89" s="9" t="s">
        <v>97</v>
      </c>
      <c r="DS89" s="9"/>
      <c r="DT89" s="9" t="s">
        <v>650</v>
      </c>
      <c r="DU89" s="9" t="s">
        <v>429</v>
      </c>
      <c r="DV89" s="9"/>
      <c r="DW89" s="9"/>
      <c r="DX89" s="9" t="s">
        <v>97</v>
      </c>
      <c r="DY89" s="9"/>
      <c r="DZ89" s="9" t="s">
        <v>489</v>
      </c>
      <c r="EA89" s="9" t="s">
        <v>429</v>
      </c>
      <c r="EB89" s="9" t="s">
        <v>429</v>
      </c>
      <c r="EC89" s="9"/>
      <c r="ED89" s="9" t="s">
        <v>679</v>
      </c>
      <c r="EE89" s="9" t="s">
        <v>1830</v>
      </c>
      <c r="EF89" s="9"/>
      <c r="EG89" s="9" t="s">
        <v>1023</v>
      </c>
      <c r="EH89" s="9" t="s">
        <v>311</v>
      </c>
      <c r="EI89" s="9" t="s">
        <v>1831</v>
      </c>
      <c r="EJ89" t="s">
        <v>1836</v>
      </c>
      <c r="EN89" t="s">
        <v>1837</v>
      </c>
      <c r="EO89" t="s">
        <v>368</v>
      </c>
    </row>
    <row r="90" spans="3:145" x14ac:dyDescent="0.3">
      <c r="C90" t="s">
        <v>1856</v>
      </c>
      <c r="D90" t="s">
        <v>1846</v>
      </c>
      <c r="E90" s="8">
        <v>46076</v>
      </c>
      <c r="F90" t="s">
        <v>353</v>
      </c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 t="s">
        <v>397</v>
      </c>
      <c r="DI90" s="9" t="s">
        <v>619</v>
      </c>
      <c r="DJ90" s="9" t="s">
        <v>41</v>
      </c>
      <c r="DK90" s="9"/>
      <c r="DL90" s="9" t="s">
        <v>321</v>
      </c>
      <c r="DM90" s="9" t="s">
        <v>314</v>
      </c>
      <c r="DN90" s="9" t="s">
        <v>509</v>
      </c>
      <c r="DO90" s="9"/>
      <c r="DP90" s="9"/>
      <c r="DQ90" s="9"/>
      <c r="DR90" s="9" t="s">
        <v>93</v>
      </c>
      <c r="DS90" s="9"/>
      <c r="DT90" s="9" t="s">
        <v>652</v>
      </c>
      <c r="DU90" s="9" t="s">
        <v>428</v>
      </c>
      <c r="DV90" s="9"/>
      <c r="DW90" s="9"/>
      <c r="DX90" s="9" t="s">
        <v>93</v>
      </c>
      <c r="DY90" s="9"/>
      <c r="DZ90" s="9" t="s">
        <v>570</v>
      </c>
      <c r="EA90" s="9" t="s">
        <v>1857</v>
      </c>
      <c r="EB90" s="9" t="s">
        <v>653</v>
      </c>
      <c r="EC90" s="9"/>
      <c r="ED90" s="9" t="s">
        <v>679</v>
      </c>
      <c r="EE90" s="9" t="s">
        <v>1605</v>
      </c>
      <c r="EF90" s="9" t="s">
        <v>499</v>
      </c>
      <c r="EG90" s="9" t="s">
        <v>1023</v>
      </c>
      <c r="EH90" s="9" t="s">
        <v>311</v>
      </c>
      <c r="EI90" s="9" t="s">
        <v>1930</v>
      </c>
      <c r="EJ90" t="s">
        <v>1931</v>
      </c>
      <c r="EN90" t="s">
        <v>1932</v>
      </c>
      <c r="EO90" t="s">
        <v>368</v>
      </c>
    </row>
    <row r="91" spans="3:145" x14ac:dyDescent="0.3">
      <c r="C91" t="s">
        <v>1892</v>
      </c>
      <c r="D91" t="s">
        <v>1881</v>
      </c>
      <c r="E91" s="8">
        <v>46076</v>
      </c>
      <c r="F91" t="s">
        <v>897</v>
      </c>
      <c r="G91" s="9" t="s">
        <v>308</v>
      </c>
      <c r="H91" s="9" t="s">
        <v>308</v>
      </c>
      <c r="I91" s="9" t="s">
        <v>308</v>
      </c>
      <c r="J91" s="9" t="s">
        <v>308</v>
      </c>
      <c r="K91" s="9" t="s">
        <v>308</v>
      </c>
      <c r="L91" s="9" t="s">
        <v>1893</v>
      </c>
      <c r="M91" s="9" t="s">
        <v>573</v>
      </c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 t="s">
        <v>313</v>
      </c>
      <c r="DI91" s="9" t="s">
        <v>355</v>
      </c>
      <c r="DJ91" s="9" t="s">
        <v>38</v>
      </c>
      <c r="DK91" s="9"/>
      <c r="DL91" s="9" t="s">
        <v>313</v>
      </c>
      <c r="DM91" s="9" t="s">
        <v>340</v>
      </c>
      <c r="DN91" s="9" t="s">
        <v>993</v>
      </c>
      <c r="DO91" s="9"/>
      <c r="DP91" s="9"/>
      <c r="DQ91" s="9"/>
      <c r="DR91" s="9" t="s">
        <v>96</v>
      </c>
      <c r="DS91" s="9"/>
      <c r="DT91" s="9" t="s">
        <v>512</v>
      </c>
      <c r="DU91" s="9" t="s">
        <v>429</v>
      </c>
      <c r="DV91" s="9"/>
      <c r="DW91" s="9"/>
      <c r="DX91" s="9" t="s">
        <v>96</v>
      </c>
      <c r="DY91" s="9"/>
      <c r="DZ91" s="9" t="s">
        <v>1495</v>
      </c>
      <c r="EA91" s="9" t="s">
        <v>429</v>
      </c>
      <c r="EB91" s="9" t="s">
        <v>429</v>
      </c>
      <c r="EC91" s="9"/>
      <c r="ED91" s="9" t="s">
        <v>679</v>
      </c>
      <c r="EE91" s="9" t="s">
        <v>1894</v>
      </c>
      <c r="EF91" s="9" t="s">
        <v>493</v>
      </c>
      <c r="EG91" s="9" t="s">
        <v>571</v>
      </c>
      <c r="EH91" s="9" t="s">
        <v>311</v>
      </c>
      <c r="EI91" s="9" t="s">
        <v>1896</v>
      </c>
      <c r="EJ91" t="s">
        <v>1908</v>
      </c>
      <c r="EN91" t="s">
        <v>1909</v>
      </c>
      <c r="EO91" t="s">
        <v>368</v>
      </c>
    </row>
    <row r="92" spans="3:145" x14ac:dyDescent="0.3">
      <c r="C92" t="s">
        <v>1905</v>
      </c>
      <c r="D92" t="s">
        <v>1900</v>
      </c>
      <c r="E92" s="8">
        <v>46076</v>
      </c>
      <c r="F92" t="s">
        <v>897</v>
      </c>
      <c r="G92" s="9" t="s">
        <v>308</v>
      </c>
      <c r="H92" s="9" t="s">
        <v>308</v>
      </c>
      <c r="I92" s="9" t="s">
        <v>308</v>
      </c>
      <c r="J92" s="9" t="s">
        <v>308</v>
      </c>
      <c r="K92" s="9" t="s">
        <v>1906</v>
      </c>
      <c r="L92" s="9" t="s">
        <v>353</v>
      </c>
      <c r="M92" s="9" t="s">
        <v>1907</v>
      </c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 t="s">
        <v>322</v>
      </c>
      <c r="DI92" s="9" t="s">
        <v>619</v>
      </c>
      <c r="DJ92" s="9" t="s">
        <v>36</v>
      </c>
      <c r="DK92" s="9"/>
      <c r="DL92" s="9" t="s">
        <v>802</v>
      </c>
      <c r="DM92" s="9" t="s">
        <v>805</v>
      </c>
      <c r="DN92" s="9" t="s">
        <v>356</v>
      </c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O92" t="s">
        <v>307</v>
      </c>
    </row>
    <row r="93" spans="3:145" x14ac:dyDescent="0.3">
      <c r="C93" t="s">
        <v>1910</v>
      </c>
      <c r="D93" t="s">
        <v>1869</v>
      </c>
      <c r="E93" s="8">
        <v>46076</v>
      </c>
      <c r="F93" t="s">
        <v>1911</v>
      </c>
      <c r="G93" s="9" t="s">
        <v>308</v>
      </c>
      <c r="H93" s="9" t="s">
        <v>1912</v>
      </c>
      <c r="I93" s="9" t="s">
        <v>308</v>
      </c>
      <c r="J93" s="9" t="s">
        <v>308</v>
      </c>
      <c r="K93" s="9" t="s">
        <v>1913</v>
      </c>
      <c r="L93" s="9" t="s">
        <v>330</v>
      </c>
      <c r="M93" s="9" t="s">
        <v>573</v>
      </c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 t="s">
        <v>342</v>
      </c>
      <c r="DI93" s="9"/>
      <c r="DJ93" s="9"/>
      <c r="DK93" s="9" t="s">
        <v>341</v>
      </c>
      <c r="DL93" s="9" t="s">
        <v>313</v>
      </c>
      <c r="DM93" s="9" t="s">
        <v>320</v>
      </c>
      <c r="DN93" s="9" t="s">
        <v>126</v>
      </c>
      <c r="DO93" s="9" t="s">
        <v>341</v>
      </c>
      <c r="DP93" s="9"/>
      <c r="DQ93" s="9"/>
      <c r="DR93" s="9" t="s">
        <v>98</v>
      </c>
      <c r="DS93" s="9" t="s">
        <v>56</v>
      </c>
      <c r="DT93" s="9" t="s">
        <v>429</v>
      </c>
      <c r="DU93" s="9" t="s">
        <v>429</v>
      </c>
      <c r="DV93" s="9"/>
      <c r="DW93" s="9"/>
      <c r="DX93" s="9" t="s">
        <v>98</v>
      </c>
      <c r="DY93" s="9" t="s">
        <v>56</v>
      </c>
      <c r="DZ93" s="9" t="s">
        <v>429</v>
      </c>
      <c r="EA93" s="9" t="s">
        <v>429</v>
      </c>
      <c r="EB93" s="9" t="s">
        <v>429</v>
      </c>
      <c r="EC93" s="9"/>
      <c r="ED93" s="9" t="s">
        <v>526</v>
      </c>
      <c r="EE93" s="9" t="s">
        <v>1830</v>
      </c>
      <c r="EF93" s="9" t="s">
        <v>493</v>
      </c>
      <c r="EG93" s="9" t="s">
        <v>1249</v>
      </c>
      <c r="EH93" s="9" t="s">
        <v>311</v>
      </c>
      <c r="EI93" s="9" t="s">
        <v>1914</v>
      </c>
      <c r="EJ93" t="s">
        <v>1915</v>
      </c>
      <c r="EN93" t="s">
        <v>1916</v>
      </c>
      <c r="EO93" t="s">
        <v>368</v>
      </c>
    </row>
    <row r="94" spans="3:145" x14ac:dyDescent="0.3">
      <c r="C94" t="s">
        <v>1917</v>
      </c>
      <c r="D94" t="s">
        <v>1875</v>
      </c>
      <c r="E94" s="8">
        <v>46076</v>
      </c>
      <c r="F94" t="s">
        <v>1383</v>
      </c>
      <c r="G94" s="9" t="s">
        <v>308</v>
      </c>
      <c r="H94" s="9" t="s">
        <v>1918</v>
      </c>
      <c r="I94" s="9" t="s">
        <v>308</v>
      </c>
      <c r="J94" s="9" t="s">
        <v>308</v>
      </c>
      <c r="K94" s="9" t="s">
        <v>1919</v>
      </c>
      <c r="L94" s="9" t="s">
        <v>1920</v>
      </c>
      <c r="M94" s="9" t="s">
        <v>573</v>
      </c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 t="s">
        <v>1196</v>
      </c>
      <c r="DI94" s="9" t="s">
        <v>320</v>
      </c>
      <c r="DJ94" s="9" t="s">
        <v>112</v>
      </c>
      <c r="DK94" s="9" t="s">
        <v>334</v>
      </c>
      <c r="DL94" s="9" t="s">
        <v>1250</v>
      </c>
      <c r="DM94" s="9"/>
      <c r="DN94" s="9"/>
      <c r="DO94" s="9" t="s">
        <v>334</v>
      </c>
      <c r="DP94" s="9"/>
      <c r="DQ94" s="9"/>
      <c r="DR94" s="9" t="s">
        <v>88</v>
      </c>
      <c r="DS94" s="9"/>
      <c r="DT94" s="9"/>
      <c r="DU94" s="9"/>
      <c r="DV94" s="9"/>
      <c r="DW94" s="9"/>
      <c r="DX94" s="9" t="s">
        <v>88</v>
      </c>
      <c r="DY94" s="9"/>
      <c r="DZ94" s="9"/>
      <c r="EA94" s="9"/>
      <c r="EB94" s="9"/>
      <c r="EC94" s="9"/>
      <c r="ED94" s="9" t="s">
        <v>679</v>
      </c>
      <c r="EE94" s="9" t="s">
        <v>1830</v>
      </c>
      <c r="EF94" s="9" t="s">
        <v>493</v>
      </c>
      <c r="EG94" s="9" t="s">
        <v>1921</v>
      </c>
      <c r="EH94" s="9" t="s">
        <v>311</v>
      </c>
      <c r="EI94" s="9" t="s">
        <v>1922</v>
      </c>
      <c r="EJ94" t="s">
        <v>1923</v>
      </c>
      <c r="EN94" t="s">
        <v>1924</v>
      </c>
      <c r="EO94" t="s">
        <v>368</v>
      </c>
    </row>
    <row r="95" spans="3:145" x14ac:dyDescent="0.3">
      <c r="C95" t="s">
        <v>1925</v>
      </c>
      <c r="D95" t="s">
        <v>1851</v>
      </c>
      <c r="E95" s="8">
        <v>46076</v>
      </c>
      <c r="F95" t="s">
        <v>353</v>
      </c>
      <c r="G95" s="9" t="s">
        <v>308</v>
      </c>
      <c r="H95" s="9" t="s">
        <v>308</v>
      </c>
      <c r="I95" s="9" t="s">
        <v>308</v>
      </c>
      <c r="J95" s="9" t="s">
        <v>308</v>
      </c>
      <c r="K95" s="9" t="s">
        <v>1926</v>
      </c>
      <c r="L95" s="9" t="s">
        <v>311</v>
      </c>
      <c r="M95" s="9" t="s">
        <v>573</v>
      </c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 t="s">
        <v>342</v>
      </c>
      <c r="DI95" s="9" t="s">
        <v>321</v>
      </c>
      <c r="DJ95" s="9" t="s">
        <v>136</v>
      </c>
      <c r="DK95" s="9" t="s">
        <v>341</v>
      </c>
      <c r="DL95" s="9" t="s">
        <v>1927</v>
      </c>
      <c r="DM95" s="9" t="s">
        <v>314</v>
      </c>
      <c r="DN95" s="9" t="s">
        <v>96</v>
      </c>
      <c r="DO95" s="9" t="s">
        <v>341</v>
      </c>
      <c r="DP95" s="9"/>
      <c r="DQ95" s="9"/>
      <c r="DR95" s="9" t="s">
        <v>95</v>
      </c>
      <c r="DS95" s="9" t="s">
        <v>59</v>
      </c>
      <c r="DT95" s="9" t="s">
        <v>764</v>
      </c>
      <c r="DU95" s="9" t="s">
        <v>429</v>
      </c>
      <c r="DV95" s="9"/>
      <c r="DW95" s="9"/>
      <c r="DX95" s="9" t="s">
        <v>95</v>
      </c>
      <c r="DY95" s="9" t="s">
        <v>59</v>
      </c>
      <c r="DZ95" s="9" t="s">
        <v>496</v>
      </c>
      <c r="EA95" s="9" t="s">
        <v>429</v>
      </c>
      <c r="EB95" s="9" t="s">
        <v>429</v>
      </c>
      <c r="EC95" s="9"/>
      <c r="ED95" s="9" t="s">
        <v>654</v>
      </c>
      <c r="EE95" s="9" t="s">
        <v>1830</v>
      </c>
      <c r="EF95" s="9" t="s">
        <v>575</v>
      </c>
      <c r="EG95" s="9" t="s">
        <v>1928</v>
      </c>
      <c r="EH95" s="9" t="s">
        <v>311</v>
      </c>
      <c r="EI95" s="9" t="s">
        <v>1929</v>
      </c>
      <c r="EJ95" t="s">
        <v>1933</v>
      </c>
      <c r="EN95" t="s">
        <v>1934</v>
      </c>
      <c r="EO95" t="s">
        <v>368</v>
      </c>
    </row>
    <row r="96" spans="3:145" x14ac:dyDescent="0.3">
      <c r="C96" t="s">
        <v>1939</v>
      </c>
      <c r="D96" t="s">
        <v>1935</v>
      </c>
      <c r="E96" s="8">
        <v>46077</v>
      </c>
      <c r="F96" t="s">
        <v>311</v>
      </c>
      <c r="G96" s="9" t="s">
        <v>308</v>
      </c>
      <c r="H96" s="9" t="s">
        <v>308</v>
      </c>
      <c r="I96" s="9" t="s">
        <v>308</v>
      </c>
      <c r="J96" s="9" t="s">
        <v>308</v>
      </c>
      <c r="K96" s="9" t="s">
        <v>1940</v>
      </c>
      <c r="L96" s="9" t="s">
        <v>1941</v>
      </c>
      <c r="M96" s="9" t="s">
        <v>573</v>
      </c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 t="s">
        <v>508</v>
      </c>
      <c r="DI96" s="9" t="s">
        <v>321</v>
      </c>
      <c r="DJ96" s="9" t="s">
        <v>1942</v>
      </c>
      <c r="DK96" s="9" t="s">
        <v>339</v>
      </c>
      <c r="DL96" s="9" t="s">
        <v>508</v>
      </c>
      <c r="DM96" s="9" t="s">
        <v>340</v>
      </c>
      <c r="DN96" s="9" t="s">
        <v>1943</v>
      </c>
      <c r="DO96" s="9" t="s">
        <v>339</v>
      </c>
      <c r="DP96" s="9"/>
      <c r="DQ96" s="9"/>
      <c r="DR96" s="9" t="s">
        <v>101</v>
      </c>
      <c r="DS96" s="9" t="s">
        <v>60</v>
      </c>
      <c r="DT96" s="9" t="s">
        <v>764</v>
      </c>
      <c r="DU96" s="9" t="s">
        <v>429</v>
      </c>
      <c r="DV96" s="9"/>
      <c r="DW96" s="9"/>
      <c r="DX96" s="9" t="s">
        <v>101</v>
      </c>
      <c r="DY96" s="9" t="s">
        <v>60</v>
      </c>
      <c r="DZ96" s="9" t="s">
        <v>496</v>
      </c>
      <c r="EA96" s="9" t="s">
        <v>429</v>
      </c>
      <c r="EB96" s="9" t="s">
        <v>429</v>
      </c>
      <c r="EC96" s="9"/>
      <c r="ED96" s="9" t="s">
        <v>1966</v>
      </c>
      <c r="EE96" s="9" t="s">
        <v>1605</v>
      </c>
      <c r="EF96" s="9" t="s">
        <v>493</v>
      </c>
      <c r="EG96" s="9" t="s">
        <v>815</v>
      </c>
      <c r="EH96" s="9" t="s">
        <v>311</v>
      </c>
      <c r="EI96" s="9" t="s">
        <v>1967</v>
      </c>
      <c r="EJ96" t="s">
        <v>1968</v>
      </c>
      <c r="EN96" t="s">
        <v>1969</v>
      </c>
      <c r="EO96" t="s">
        <v>368</v>
      </c>
    </row>
    <row r="97" spans="3:145" x14ac:dyDescent="0.3">
      <c r="C97" t="s">
        <v>1959</v>
      </c>
      <c r="D97" t="s">
        <v>1950</v>
      </c>
      <c r="E97" s="8">
        <v>46077</v>
      </c>
      <c r="F97" t="s">
        <v>1383</v>
      </c>
      <c r="G97" s="9" t="s">
        <v>308</v>
      </c>
      <c r="H97" s="9" t="s">
        <v>308</v>
      </c>
      <c r="I97" s="9" t="s">
        <v>308</v>
      </c>
      <c r="J97" s="9" t="s">
        <v>308</v>
      </c>
      <c r="K97" s="9" t="s">
        <v>1960</v>
      </c>
      <c r="L97" s="9" t="s">
        <v>1961</v>
      </c>
      <c r="M97" s="9" t="s">
        <v>573</v>
      </c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 t="s">
        <v>1927</v>
      </c>
      <c r="DI97" s="9" t="s">
        <v>805</v>
      </c>
      <c r="DJ97" s="9" t="s">
        <v>126</v>
      </c>
      <c r="DK97" s="9" t="s">
        <v>1196</v>
      </c>
      <c r="DL97" s="9" t="s">
        <v>913</v>
      </c>
      <c r="DM97" s="9" t="s">
        <v>335</v>
      </c>
      <c r="DN97" s="9" t="s">
        <v>509</v>
      </c>
      <c r="DO97" s="9" t="s">
        <v>1196</v>
      </c>
      <c r="DP97" s="9"/>
      <c r="DQ97" s="9"/>
      <c r="DR97" s="9" t="s">
        <v>93</v>
      </c>
      <c r="DS97" s="9" t="s">
        <v>55</v>
      </c>
      <c r="DT97" s="9"/>
      <c r="DU97" s="9"/>
      <c r="DV97" s="9"/>
      <c r="DW97" s="9"/>
      <c r="DX97" s="9" t="s">
        <v>93</v>
      </c>
      <c r="DY97" s="9" t="s">
        <v>55</v>
      </c>
      <c r="DZ97" s="9"/>
      <c r="EA97" s="9"/>
      <c r="EB97" s="9"/>
      <c r="EC97" s="9"/>
      <c r="ED97" s="9" t="s">
        <v>1962</v>
      </c>
      <c r="EE97" s="9" t="s">
        <v>1632</v>
      </c>
      <c r="EF97" s="9" t="s">
        <v>493</v>
      </c>
      <c r="EG97" s="9" t="s">
        <v>815</v>
      </c>
      <c r="EH97" s="9" t="s">
        <v>311</v>
      </c>
      <c r="EI97" s="9" t="s">
        <v>1963</v>
      </c>
      <c r="EJ97" t="s">
        <v>1964</v>
      </c>
      <c r="EN97" t="s">
        <v>1965</v>
      </c>
      <c r="EO97" t="s">
        <v>368</v>
      </c>
    </row>
    <row r="98" spans="3:145" x14ac:dyDescent="0.3">
      <c r="C98" t="s">
        <v>1978</v>
      </c>
      <c r="D98" t="s">
        <v>1970</v>
      </c>
      <c r="E98" s="8">
        <v>46078</v>
      </c>
      <c r="F98" t="s">
        <v>897</v>
      </c>
      <c r="G98" s="9" t="s">
        <v>308</v>
      </c>
      <c r="H98" s="9" t="s">
        <v>308</v>
      </c>
      <c r="I98" s="9" t="s">
        <v>308</v>
      </c>
      <c r="J98" s="9" t="s">
        <v>1979</v>
      </c>
      <c r="K98" s="9" t="s">
        <v>1980</v>
      </c>
      <c r="L98" s="9" t="s">
        <v>1981</v>
      </c>
      <c r="M98" s="9" t="s">
        <v>1974</v>
      </c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 t="s">
        <v>335</v>
      </c>
      <c r="DI98" s="9"/>
      <c r="DJ98" s="9"/>
      <c r="DK98" s="9"/>
      <c r="DL98" s="9" t="s">
        <v>313</v>
      </c>
      <c r="DM98" s="9" t="s">
        <v>320</v>
      </c>
      <c r="DN98" s="9" t="s">
        <v>51</v>
      </c>
      <c r="DO98" s="9"/>
      <c r="DP98" s="9"/>
      <c r="DQ98" s="9"/>
      <c r="DR98" s="9" t="s">
        <v>100</v>
      </c>
      <c r="DS98" s="9"/>
      <c r="DT98" s="9"/>
      <c r="DU98" s="9"/>
      <c r="DV98" s="9"/>
      <c r="DW98" s="9"/>
      <c r="DX98" s="9" t="s">
        <v>100</v>
      </c>
      <c r="DY98" s="9"/>
      <c r="DZ98" s="9"/>
      <c r="EA98" s="9"/>
      <c r="EB98" s="9"/>
      <c r="EC98" s="9"/>
      <c r="ED98" s="9" t="s">
        <v>679</v>
      </c>
      <c r="EE98" s="9" t="s">
        <v>1632</v>
      </c>
      <c r="EF98" s="9" t="s">
        <v>493</v>
      </c>
      <c r="EG98" s="9" t="s">
        <v>1982</v>
      </c>
      <c r="EH98" s="9" t="s">
        <v>311</v>
      </c>
      <c r="EI98" s="9" t="s">
        <v>1983</v>
      </c>
      <c r="EJ98" t="s">
        <v>2013</v>
      </c>
      <c r="EN98" t="s">
        <v>2014</v>
      </c>
      <c r="EO98" t="s">
        <v>368</v>
      </c>
    </row>
    <row r="99" spans="3:145" x14ac:dyDescent="0.3">
      <c r="C99" t="s">
        <v>2002</v>
      </c>
      <c r="D99" t="s">
        <v>1984</v>
      </c>
      <c r="E99" s="8">
        <v>46079</v>
      </c>
      <c r="F99" t="s">
        <v>353</v>
      </c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O99" t="s">
        <v>307</v>
      </c>
    </row>
    <row r="100" spans="3:145" x14ac:dyDescent="0.3">
      <c r="C100" t="s">
        <v>2003</v>
      </c>
      <c r="D100" t="s">
        <v>1988</v>
      </c>
      <c r="E100" s="8">
        <v>46079</v>
      </c>
      <c r="F100" t="s">
        <v>897</v>
      </c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 t="s">
        <v>341</v>
      </c>
      <c r="DI100" s="9" t="s">
        <v>677</v>
      </c>
      <c r="DJ100" s="9" t="s">
        <v>51</v>
      </c>
      <c r="DK100" s="9" t="s">
        <v>334</v>
      </c>
      <c r="DL100" s="9" t="s">
        <v>339</v>
      </c>
      <c r="DM100" s="9" t="s">
        <v>320</v>
      </c>
      <c r="DN100" s="9" t="s">
        <v>141</v>
      </c>
      <c r="DO100" s="9" t="s">
        <v>334</v>
      </c>
      <c r="DP100" s="9"/>
      <c r="DQ100" s="9"/>
      <c r="DR100" s="9" t="s">
        <v>94</v>
      </c>
      <c r="DS100" s="9" t="s">
        <v>61</v>
      </c>
      <c r="DT100" s="9" t="s">
        <v>489</v>
      </c>
      <c r="DU100" s="9" t="s">
        <v>512</v>
      </c>
      <c r="DV100" s="9"/>
      <c r="DW100" s="9"/>
      <c r="DX100" s="9" t="s">
        <v>94</v>
      </c>
      <c r="DY100" s="9" t="s">
        <v>61</v>
      </c>
      <c r="DZ100" s="9" t="s">
        <v>764</v>
      </c>
      <c r="EA100" s="9" t="s">
        <v>429</v>
      </c>
      <c r="EB100" s="9" t="s">
        <v>429</v>
      </c>
      <c r="EC100" s="9"/>
      <c r="ED100" s="9" t="s">
        <v>2004</v>
      </c>
      <c r="EE100" s="9" t="s">
        <v>1586</v>
      </c>
      <c r="EF100" s="9" t="s">
        <v>493</v>
      </c>
      <c r="EG100" s="9" t="s">
        <v>815</v>
      </c>
      <c r="EH100" s="9" t="s">
        <v>311</v>
      </c>
      <c r="EI100" s="9" t="s">
        <v>2005</v>
      </c>
      <c r="EJ100" t="s">
        <v>2006</v>
      </c>
      <c r="EN100" t="s">
        <v>2007</v>
      </c>
      <c r="EO100" t="s">
        <v>368</v>
      </c>
    </row>
    <row r="101" spans="3:145" x14ac:dyDescent="0.3">
      <c r="C101" t="s">
        <v>2008</v>
      </c>
      <c r="D101" t="s">
        <v>1984</v>
      </c>
      <c r="E101" s="8">
        <v>46079</v>
      </c>
      <c r="F101" t="s">
        <v>353</v>
      </c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 t="s">
        <v>313</v>
      </c>
      <c r="DI101" s="9" t="s">
        <v>340</v>
      </c>
      <c r="DJ101" s="9" t="s">
        <v>36</v>
      </c>
      <c r="DK101" s="9"/>
      <c r="DL101" s="9" t="s">
        <v>313</v>
      </c>
      <c r="DM101" s="9" t="s">
        <v>335</v>
      </c>
      <c r="DN101" s="9" t="s">
        <v>509</v>
      </c>
      <c r="DO101" s="9"/>
      <c r="DP101" s="9"/>
      <c r="DQ101" s="9"/>
      <c r="DR101" s="9" t="s">
        <v>91</v>
      </c>
      <c r="DS101" s="9"/>
      <c r="DT101" s="9" t="s">
        <v>496</v>
      </c>
      <c r="DU101" s="9" t="s">
        <v>429</v>
      </c>
      <c r="DV101" s="9"/>
      <c r="DW101" s="9"/>
      <c r="DX101" s="9" t="s">
        <v>91</v>
      </c>
      <c r="DY101" s="9"/>
      <c r="DZ101" s="9" t="s">
        <v>764</v>
      </c>
      <c r="EA101" s="9" t="s">
        <v>429</v>
      </c>
      <c r="EB101" s="9" t="s">
        <v>429</v>
      </c>
      <c r="EC101" s="9"/>
      <c r="ED101" s="9" t="s">
        <v>679</v>
      </c>
      <c r="EE101" s="9" t="s">
        <v>2009</v>
      </c>
      <c r="EF101" s="9" t="s">
        <v>493</v>
      </c>
      <c r="EG101" s="9" t="s">
        <v>1229</v>
      </c>
      <c r="EH101" s="9" t="s">
        <v>311</v>
      </c>
      <c r="EI101" s="9" t="s">
        <v>2010</v>
      </c>
      <c r="EJ101" t="s">
        <v>2011</v>
      </c>
      <c r="EN101" t="s">
        <v>2012</v>
      </c>
      <c r="EO101" t="s">
        <v>368</v>
      </c>
    </row>
    <row r="102" spans="3:145" x14ac:dyDescent="0.3">
      <c r="C102" t="s">
        <v>2015</v>
      </c>
      <c r="D102" t="s">
        <v>1680</v>
      </c>
      <c r="E102" s="8">
        <v>46079</v>
      </c>
      <c r="F102" t="s">
        <v>353</v>
      </c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 t="s">
        <v>1927</v>
      </c>
      <c r="DI102" s="9" t="s">
        <v>321</v>
      </c>
      <c r="DJ102" s="9" t="s">
        <v>41</v>
      </c>
      <c r="DK102" s="9"/>
      <c r="DL102" s="9" t="s">
        <v>339</v>
      </c>
      <c r="DM102" s="9" t="s">
        <v>1802</v>
      </c>
      <c r="DN102" s="9" t="s">
        <v>316</v>
      </c>
      <c r="DO102" s="9"/>
      <c r="DP102" s="9"/>
      <c r="DQ102" s="9"/>
      <c r="DR102" s="9" t="s">
        <v>91</v>
      </c>
      <c r="DS102" s="9"/>
      <c r="DT102" s="9" t="s">
        <v>764</v>
      </c>
      <c r="DU102" s="9" t="s">
        <v>722</v>
      </c>
      <c r="DV102" s="9"/>
      <c r="DW102" s="9"/>
      <c r="DX102" s="9" t="s">
        <v>91</v>
      </c>
      <c r="DY102" s="9"/>
      <c r="DZ102" s="9" t="s">
        <v>399</v>
      </c>
      <c r="EA102" s="9" t="s">
        <v>678</v>
      </c>
      <c r="EB102" s="9" t="s">
        <v>429</v>
      </c>
      <c r="EC102" s="9"/>
      <c r="ED102" s="9" t="s">
        <v>679</v>
      </c>
      <c r="EE102" s="9" t="s">
        <v>492</v>
      </c>
      <c r="EF102" s="9" t="s">
        <v>575</v>
      </c>
      <c r="EG102" s="9" t="s">
        <v>815</v>
      </c>
      <c r="EH102" s="9" t="s">
        <v>1715</v>
      </c>
      <c r="EI102" s="9" t="s">
        <v>2016</v>
      </c>
      <c r="EJ102" t="s">
        <v>2017</v>
      </c>
      <c r="EN102" t="s">
        <v>2018</v>
      </c>
      <c r="EO102" t="s">
        <v>437</v>
      </c>
    </row>
    <row r="103" spans="3:145" x14ac:dyDescent="0.3">
      <c r="C103" t="s">
        <v>2041</v>
      </c>
      <c r="D103" t="s">
        <v>2033</v>
      </c>
      <c r="E103" s="8">
        <v>46083</v>
      </c>
      <c r="F103" t="s">
        <v>2042</v>
      </c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 t="s">
        <v>1399</v>
      </c>
      <c r="DI103" s="9"/>
      <c r="DJ103" s="9"/>
      <c r="DK103" s="9"/>
      <c r="DL103" s="9" t="s">
        <v>1399</v>
      </c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  <c r="EA103" s="9"/>
      <c r="EB103" s="9"/>
      <c r="EC103" s="9"/>
      <c r="ED103" s="9"/>
      <c r="EE103" s="9"/>
      <c r="EF103" s="9"/>
      <c r="EG103" s="9"/>
      <c r="EH103" s="9"/>
      <c r="EI103" s="9" t="s">
        <v>2043</v>
      </c>
      <c r="EJ103" t="s">
        <v>2044</v>
      </c>
      <c r="EN103" t="s">
        <v>2045</v>
      </c>
      <c r="EO103" t="s">
        <v>368</v>
      </c>
    </row>
    <row r="104" spans="3:145" x14ac:dyDescent="0.3">
      <c r="C104" t="s">
        <v>2072</v>
      </c>
      <c r="D104" t="s">
        <v>2067</v>
      </c>
      <c r="E104" s="8">
        <v>46084</v>
      </c>
      <c r="F104" t="s">
        <v>897</v>
      </c>
      <c r="G104" s="9" t="s">
        <v>308</v>
      </c>
      <c r="H104" s="9" t="s">
        <v>308</v>
      </c>
      <c r="I104" s="9" t="s">
        <v>308</v>
      </c>
      <c r="J104" s="9" t="s">
        <v>308</v>
      </c>
      <c r="K104" s="9" t="s">
        <v>2073</v>
      </c>
      <c r="L104" s="9" t="s">
        <v>1246</v>
      </c>
      <c r="M104" s="9" t="s">
        <v>573</v>
      </c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L104" s="9"/>
      <c r="CM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 t="s">
        <v>342</v>
      </c>
      <c r="DI104" s="9"/>
      <c r="DJ104" s="9"/>
      <c r="DK104" s="9" t="s">
        <v>1196</v>
      </c>
      <c r="DL104" s="9" t="s">
        <v>342</v>
      </c>
      <c r="DM104" s="9" t="s">
        <v>320</v>
      </c>
      <c r="DN104" s="9" t="s">
        <v>1313</v>
      </c>
      <c r="DO104" s="9" t="s">
        <v>1196</v>
      </c>
      <c r="DP104" s="9"/>
      <c r="DQ104" s="9"/>
      <c r="DR104" s="9" t="s">
        <v>93</v>
      </c>
      <c r="DS104" s="9" t="s">
        <v>54</v>
      </c>
      <c r="DT104" s="9"/>
      <c r="DU104" s="9"/>
      <c r="DV104" s="9"/>
      <c r="DW104" s="9"/>
      <c r="DX104" s="9" t="s">
        <v>93</v>
      </c>
      <c r="DY104" s="9" t="s">
        <v>54</v>
      </c>
      <c r="DZ104" s="9"/>
      <c r="EA104" s="9"/>
      <c r="EB104" s="9"/>
      <c r="EC104" s="9"/>
      <c r="ED104" s="9" t="s">
        <v>2114</v>
      </c>
      <c r="EE104" s="9" t="s">
        <v>2155</v>
      </c>
      <c r="EF104" s="9" t="s">
        <v>493</v>
      </c>
      <c r="EG104" s="9" t="s">
        <v>2074</v>
      </c>
      <c r="EH104" s="9" t="s">
        <v>311</v>
      </c>
      <c r="EI104" s="9" t="s">
        <v>2156</v>
      </c>
      <c r="EJ104" t="s">
        <v>2157</v>
      </c>
      <c r="EN104" t="s">
        <v>2158</v>
      </c>
      <c r="EO104" t="s">
        <v>368</v>
      </c>
    </row>
    <row r="105" spans="3:145" x14ac:dyDescent="0.3">
      <c r="C105" t="s">
        <v>2079</v>
      </c>
      <c r="D105" t="s">
        <v>421</v>
      </c>
      <c r="E105" s="8">
        <v>46084</v>
      </c>
      <c r="F105" t="s">
        <v>2080</v>
      </c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  <c r="CJ105" s="9"/>
      <c r="CK105" s="9"/>
      <c r="CL105" s="9"/>
      <c r="CM105" s="9"/>
      <c r="CN105" s="9"/>
      <c r="CO105" s="9"/>
      <c r="CP105" s="9"/>
      <c r="CQ105" s="9"/>
      <c r="CR105" s="9"/>
      <c r="CS105" s="9"/>
      <c r="CT105" s="9"/>
      <c r="CU105" s="9"/>
      <c r="CV105" s="9"/>
      <c r="CW105" s="9"/>
      <c r="CX105" s="9"/>
      <c r="CY105" s="9"/>
      <c r="CZ105" s="9"/>
      <c r="DA105" s="9"/>
      <c r="DB105" s="9"/>
      <c r="DC105" s="9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9"/>
      <c r="DP105" s="9"/>
      <c r="DQ105" s="9"/>
      <c r="DR105" s="9"/>
      <c r="DS105" s="9"/>
      <c r="DT105" s="9"/>
      <c r="DU105" s="9"/>
      <c r="DV105" s="9"/>
      <c r="DW105" s="9"/>
      <c r="DX105" s="9"/>
      <c r="DY105" s="9"/>
      <c r="DZ105" s="9"/>
      <c r="EA105" s="9"/>
      <c r="EB105" s="9"/>
      <c r="EC105" s="9"/>
      <c r="ED105" s="9"/>
      <c r="EE105" s="9"/>
      <c r="EF105" s="9"/>
      <c r="EG105" s="9"/>
      <c r="EH105" s="9"/>
      <c r="EI105" s="9"/>
      <c r="EO105" t="s">
        <v>307</v>
      </c>
    </row>
    <row r="106" spans="3:145" x14ac:dyDescent="0.3">
      <c r="C106" t="s">
        <v>2095</v>
      </c>
      <c r="D106" t="s">
        <v>2084</v>
      </c>
      <c r="E106" s="8">
        <v>46084</v>
      </c>
      <c r="F106" t="s">
        <v>330</v>
      </c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 t="s">
        <v>313</v>
      </c>
      <c r="DI106" s="9" t="s">
        <v>355</v>
      </c>
      <c r="DJ106" s="9" t="s">
        <v>51</v>
      </c>
      <c r="DK106" s="9"/>
      <c r="DL106" s="9" t="s">
        <v>807</v>
      </c>
      <c r="DM106" s="9" t="s">
        <v>320</v>
      </c>
      <c r="DN106" s="9" t="s">
        <v>131</v>
      </c>
      <c r="DO106" s="9"/>
      <c r="DP106" s="9"/>
      <c r="DQ106" s="9"/>
      <c r="DR106" s="9" t="s">
        <v>95</v>
      </c>
      <c r="DS106" s="9"/>
      <c r="DT106" s="9"/>
      <c r="DU106" s="9"/>
      <c r="DV106" s="9"/>
      <c r="DW106" s="9"/>
      <c r="DX106" s="9" t="s">
        <v>95</v>
      </c>
      <c r="DY106" s="9"/>
      <c r="DZ106" s="9"/>
      <c r="EA106" s="9"/>
      <c r="EB106" s="9"/>
      <c r="EC106" s="9"/>
      <c r="ED106" s="9" t="s">
        <v>679</v>
      </c>
      <c r="EE106" s="9" t="s">
        <v>2096</v>
      </c>
      <c r="EF106" s="9" t="s">
        <v>499</v>
      </c>
      <c r="EG106" s="9"/>
      <c r="EH106" s="9"/>
      <c r="EI106" s="9" t="s">
        <v>2090</v>
      </c>
      <c r="EJ106" t="s">
        <v>2097</v>
      </c>
      <c r="EN106" t="s">
        <v>2098</v>
      </c>
      <c r="EO106" t="s">
        <v>368</v>
      </c>
    </row>
    <row r="107" spans="3:145" x14ac:dyDescent="0.3">
      <c r="C107" t="s">
        <v>2104</v>
      </c>
      <c r="D107" t="s">
        <v>2099</v>
      </c>
      <c r="E107" s="8">
        <v>46084</v>
      </c>
      <c r="F107" t="s">
        <v>330</v>
      </c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L107" s="9"/>
      <c r="CM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  <c r="CZ107" s="9"/>
      <c r="DA107" s="9"/>
      <c r="DB107" s="9"/>
      <c r="DC107" s="9"/>
      <c r="DD107" s="9"/>
      <c r="DE107" s="9"/>
      <c r="DF107" s="9"/>
      <c r="DG107" s="9"/>
      <c r="DH107" s="9" t="s">
        <v>333</v>
      </c>
      <c r="DI107" s="9"/>
      <c r="DJ107" s="9"/>
      <c r="DK107" s="9" t="s">
        <v>333</v>
      </c>
      <c r="DL107" s="9" t="s">
        <v>913</v>
      </c>
      <c r="DM107" s="9"/>
      <c r="DN107" s="9"/>
      <c r="DO107" s="9" t="s">
        <v>333</v>
      </c>
      <c r="DP107" s="9"/>
      <c r="DQ107" s="9"/>
      <c r="DR107" s="9"/>
      <c r="DS107" s="9"/>
      <c r="DT107" s="9"/>
      <c r="DU107" s="9"/>
      <c r="DV107" s="9"/>
      <c r="DW107" s="9"/>
      <c r="DX107" s="9"/>
      <c r="DY107" s="9"/>
      <c r="DZ107" s="9"/>
      <c r="EA107" s="9"/>
      <c r="EB107" s="9"/>
      <c r="EC107" s="9"/>
      <c r="ED107" s="9" t="s">
        <v>679</v>
      </c>
      <c r="EE107" s="9" t="s">
        <v>914</v>
      </c>
      <c r="EF107" s="9" t="s">
        <v>493</v>
      </c>
      <c r="EG107" s="9"/>
      <c r="EH107" s="9"/>
      <c r="EI107" s="9" t="s">
        <v>2105</v>
      </c>
      <c r="EJ107" t="s">
        <v>2112</v>
      </c>
      <c r="EN107" t="s">
        <v>2113</v>
      </c>
      <c r="EO107" t="s">
        <v>368</v>
      </c>
    </row>
    <row r="108" spans="3:145" x14ac:dyDescent="0.3">
      <c r="C108" t="s">
        <v>2126</v>
      </c>
      <c r="D108" t="s">
        <v>2115</v>
      </c>
      <c r="E108" s="8">
        <v>46084</v>
      </c>
      <c r="F108" t="s">
        <v>353</v>
      </c>
      <c r="G108" s="9" t="s">
        <v>308</v>
      </c>
      <c r="H108" s="9" t="s">
        <v>308</v>
      </c>
      <c r="I108" s="9" t="s">
        <v>308</v>
      </c>
      <c r="J108" s="9" t="s">
        <v>2129</v>
      </c>
      <c r="K108" s="9" t="s">
        <v>2130</v>
      </c>
      <c r="L108" s="9" t="s">
        <v>2131</v>
      </c>
      <c r="M108" s="9" t="s">
        <v>2132</v>
      </c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L108" s="9"/>
      <c r="CM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  <c r="DC108" s="9"/>
      <c r="DD108" s="9"/>
      <c r="DE108" s="9"/>
      <c r="DF108" s="9"/>
      <c r="DG108" s="9"/>
      <c r="DH108" s="9" t="s">
        <v>913</v>
      </c>
      <c r="DI108" s="9" t="s">
        <v>321</v>
      </c>
      <c r="DJ108" s="9" t="s">
        <v>356</v>
      </c>
      <c r="DK108" s="9" t="s">
        <v>763</v>
      </c>
      <c r="DL108" s="9" t="s">
        <v>333</v>
      </c>
      <c r="DM108" s="9" t="s">
        <v>314</v>
      </c>
      <c r="DN108" s="9" t="s">
        <v>316</v>
      </c>
      <c r="DO108" s="9" t="s">
        <v>763</v>
      </c>
      <c r="DP108" s="9"/>
      <c r="DQ108" s="9"/>
      <c r="DR108" s="9" t="s">
        <v>89</v>
      </c>
      <c r="DS108" s="9" t="s">
        <v>59</v>
      </c>
      <c r="DT108" s="9" t="s">
        <v>570</v>
      </c>
      <c r="DU108" s="9" t="s">
        <v>722</v>
      </c>
      <c r="DV108" s="9"/>
      <c r="DW108" s="9"/>
      <c r="DX108" s="9" t="s">
        <v>89</v>
      </c>
      <c r="DY108" s="9" t="s">
        <v>59</v>
      </c>
      <c r="DZ108" s="9" t="s">
        <v>496</v>
      </c>
      <c r="EA108" s="9" t="s">
        <v>429</v>
      </c>
      <c r="EB108" s="9" t="s">
        <v>429</v>
      </c>
      <c r="EC108" s="9"/>
      <c r="ED108" s="9" t="s">
        <v>2127</v>
      </c>
      <c r="EE108" s="9" t="s">
        <v>2009</v>
      </c>
      <c r="EF108" s="9" t="s">
        <v>575</v>
      </c>
      <c r="EG108" s="9" t="s">
        <v>815</v>
      </c>
      <c r="EH108" s="9" t="s">
        <v>311</v>
      </c>
      <c r="EI108" s="9" t="s">
        <v>2128</v>
      </c>
      <c r="EJ108" t="s">
        <v>2133</v>
      </c>
      <c r="EN108" t="s">
        <v>2134</v>
      </c>
      <c r="EO108" t="s">
        <v>437</v>
      </c>
    </row>
    <row r="109" spans="3:145" x14ac:dyDescent="0.3">
      <c r="C109" t="s">
        <v>2148</v>
      </c>
      <c r="D109" t="s">
        <v>2135</v>
      </c>
      <c r="E109" s="8">
        <v>46085</v>
      </c>
      <c r="F109" t="s">
        <v>1195</v>
      </c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 t="s">
        <v>335</v>
      </c>
      <c r="DI109" s="9" t="s">
        <v>322</v>
      </c>
      <c r="DJ109" s="9" t="s">
        <v>356</v>
      </c>
      <c r="DK109" s="9"/>
      <c r="DL109" s="9" t="s">
        <v>335</v>
      </c>
      <c r="DM109" s="9" t="s">
        <v>805</v>
      </c>
      <c r="DN109" s="9" t="s">
        <v>356</v>
      </c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9"/>
      <c r="EA109" s="9"/>
      <c r="EB109" s="9"/>
      <c r="EC109" s="9"/>
      <c r="ED109" s="9" t="s">
        <v>679</v>
      </c>
      <c r="EE109" s="9" t="s">
        <v>1525</v>
      </c>
      <c r="EF109" s="9" t="s">
        <v>493</v>
      </c>
      <c r="EG109" s="9" t="s">
        <v>1023</v>
      </c>
      <c r="EH109" s="9" t="s">
        <v>311</v>
      </c>
      <c r="EI109" s="9" t="s">
        <v>2149</v>
      </c>
      <c r="EJ109" t="s">
        <v>2150</v>
      </c>
      <c r="EN109" t="s">
        <v>2151</v>
      </c>
      <c r="EO109" t="s">
        <v>368</v>
      </c>
    </row>
    <row r="110" spans="3:145" x14ac:dyDescent="0.3">
      <c r="C110" t="s">
        <v>2200</v>
      </c>
      <c r="D110" t="s">
        <v>2176</v>
      </c>
      <c r="E110" s="8">
        <v>46090</v>
      </c>
      <c r="F110" t="s">
        <v>897</v>
      </c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  <c r="BP110" s="9"/>
      <c r="BQ110" s="9"/>
      <c r="BR110" s="9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9"/>
      <c r="CE110" s="9"/>
      <c r="CF110" s="9"/>
      <c r="CG110" s="9"/>
      <c r="CH110" s="9"/>
      <c r="CI110" s="9"/>
      <c r="CJ110" s="9"/>
      <c r="CK110" s="9"/>
      <c r="CL110" s="9"/>
      <c r="CM110" s="9"/>
      <c r="CN110" s="9"/>
      <c r="CO110" s="9"/>
      <c r="CP110" s="9"/>
      <c r="CQ110" s="9"/>
      <c r="CR110" s="9"/>
      <c r="CS110" s="9"/>
      <c r="CT110" s="9"/>
      <c r="CU110" s="9"/>
      <c r="CV110" s="9"/>
      <c r="CW110" s="9"/>
      <c r="CX110" s="9"/>
      <c r="CY110" s="9"/>
      <c r="CZ110" s="9"/>
      <c r="DA110" s="9"/>
      <c r="DB110" s="9"/>
      <c r="DC110" s="9"/>
      <c r="DD110" s="9"/>
      <c r="DE110" s="9"/>
      <c r="DF110" s="9"/>
      <c r="DG110" s="9"/>
      <c r="DH110" s="9" t="s">
        <v>313</v>
      </c>
      <c r="DI110" s="9" t="s">
        <v>802</v>
      </c>
      <c r="DJ110" s="9" t="s">
        <v>33</v>
      </c>
      <c r="DK110" s="9"/>
      <c r="DL110" s="9" t="s">
        <v>313</v>
      </c>
      <c r="DM110" s="9" t="s">
        <v>396</v>
      </c>
      <c r="DN110" s="9" t="s">
        <v>316</v>
      </c>
      <c r="DO110" s="9"/>
      <c r="DP110" s="9"/>
      <c r="DQ110" s="9"/>
      <c r="DR110" s="9" t="s">
        <v>90</v>
      </c>
      <c r="DS110" s="9"/>
      <c r="DT110" s="9"/>
      <c r="DU110" s="9"/>
      <c r="DV110" s="9"/>
      <c r="DW110" s="9"/>
      <c r="DX110" s="9" t="s">
        <v>90</v>
      </c>
      <c r="DY110" s="9"/>
      <c r="DZ110" s="9"/>
      <c r="EA110" s="9"/>
      <c r="EB110" s="9"/>
      <c r="EC110" s="9"/>
      <c r="ED110" s="9" t="s">
        <v>679</v>
      </c>
      <c r="EE110" s="9" t="s">
        <v>914</v>
      </c>
      <c r="EF110" s="9" t="s">
        <v>499</v>
      </c>
      <c r="EG110" s="9" t="s">
        <v>571</v>
      </c>
      <c r="EH110" s="9" t="s">
        <v>311</v>
      </c>
      <c r="EI110" s="9" t="s">
        <v>2201</v>
      </c>
      <c r="EJ110" t="s">
        <v>2202</v>
      </c>
      <c r="EN110" t="s">
        <v>2203</v>
      </c>
      <c r="EO110" t="s">
        <v>437</v>
      </c>
    </row>
    <row r="111" spans="3:145" x14ac:dyDescent="0.3">
      <c r="C111" t="s">
        <v>2204</v>
      </c>
      <c r="D111" t="s">
        <v>2057</v>
      </c>
      <c r="E111" s="8">
        <v>46090</v>
      </c>
      <c r="F111" t="s">
        <v>2205</v>
      </c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 t="s">
        <v>342</v>
      </c>
      <c r="DI111" s="9" t="s">
        <v>322</v>
      </c>
      <c r="DJ111" s="9" t="s">
        <v>316</v>
      </c>
      <c r="DK111" s="9"/>
      <c r="DL111" s="9" t="s">
        <v>342</v>
      </c>
      <c r="DM111" s="9" t="s">
        <v>322</v>
      </c>
      <c r="DN111" s="9" t="s">
        <v>591</v>
      </c>
      <c r="DO111" s="9"/>
      <c r="DP111" s="9"/>
      <c r="DQ111" s="9"/>
      <c r="DR111" s="9" t="s">
        <v>85</v>
      </c>
      <c r="DS111" s="9"/>
      <c r="DT111" s="9"/>
      <c r="DU111" s="9"/>
      <c r="DV111" s="9"/>
      <c r="DW111" s="9"/>
      <c r="DX111" s="9" t="s">
        <v>85</v>
      </c>
      <c r="DY111" s="9"/>
      <c r="DZ111" s="9"/>
      <c r="EA111" s="9"/>
      <c r="EB111" s="9"/>
      <c r="EC111" s="9"/>
      <c r="ED111" s="9" t="s">
        <v>679</v>
      </c>
      <c r="EE111" s="9" t="s">
        <v>1586</v>
      </c>
      <c r="EF111" s="9" t="s">
        <v>575</v>
      </c>
      <c r="EG111" s="9" t="s">
        <v>815</v>
      </c>
      <c r="EH111" s="9" t="s">
        <v>311</v>
      </c>
      <c r="EI111" s="9" t="s">
        <v>2206</v>
      </c>
      <c r="EJ111" t="s">
        <v>2207</v>
      </c>
      <c r="EN111" t="s">
        <v>2208</v>
      </c>
      <c r="EO111" t="s">
        <v>437</v>
      </c>
    </row>
    <row r="112" spans="3:145" x14ac:dyDescent="0.3">
      <c r="C112" t="s">
        <v>2209</v>
      </c>
      <c r="D112" t="s">
        <v>2167</v>
      </c>
      <c r="E112" s="8">
        <v>46090</v>
      </c>
      <c r="F112" t="s">
        <v>2210</v>
      </c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  <c r="DC112" s="9"/>
      <c r="DD112" s="9"/>
      <c r="DE112" s="9"/>
      <c r="DF112" s="9"/>
      <c r="DG112" s="9"/>
      <c r="DH112" s="9" t="s">
        <v>913</v>
      </c>
      <c r="DI112" s="9" t="s">
        <v>321</v>
      </c>
      <c r="DJ112" s="9" t="s">
        <v>46</v>
      </c>
      <c r="DK112" s="9" t="s">
        <v>763</v>
      </c>
      <c r="DL112" s="9" t="s">
        <v>912</v>
      </c>
      <c r="DM112" s="9" t="s">
        <v>314</v>
      </c>
      <c r="DN112" s="9" t="s">
        <v>316</v>
      </c>
      <c r="DO112" s="9" t="s">
        <v>763</v>
      </c>
      <c r="DP112" s="9"/>
      <c r="DQ112" s="9"/>
      <c r="DR112" s="9" t="s">
        <v>90</v>
      </c>
      <c r="DS112" s="9" t="s">
        <v>54</v>
      </c>
      <c r="DT112" s="9"/>
      <c r="DU112" s="9"/>
      <c r="DV112" s="9"/>
      <c r="DW112" s="9"/>
      <c r="DX112" s="9" t="s">
        <v>90</v>
      </c>
      <c r="DY112" s="9" t="s">
        <v>54</v>
      </c>
      <c r="DZ112" s="9"/>
      <c r="EA112" s="9"/>
      <c r="EB112" s="9"/>
      <c r="EC112" s="9"/>
      <c r="ED112" s="9" t="s">
        <v>2211</v>
      </c>
      <c r="EE112" s="9" t="s">
        <v>2155</v>
      </c>
      <c r="EF112" s="9" t="s">
        <v>575</v>
      </c>
      <c r="EG112" s="9" t="s">
        <v>815</v>
      </c>
      <c r="EH112" s="9" t="s">
        <v>311</v>
      </c>
      <c r="EI112" s="9" t="s">
        <v>2214</v>
      </c>
      <c r="EJ112" t="s">
        <v>2215</v>
      </c>
      <c r="EN112" t="s">
        <v>2216</v>
      </c>
      <c r="EO112" t="s">
        <v>437</v>
      </c>
    </row>
    <row r="113" spans="3:145" x14ac:dyDescent="0.3">
      <c r="C113" t="s">
        <v>2212</v>
      </c>
      <c r="D113" t="s">
        <v>2172</v>
      </c>
      <c r="E113" s="8">
        <v>46090</v>
      </c>
      <c r="F113" t="s">
        <v>1383</v>
      </c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9"/>
      <c r="CE113" s="9"/>
      <c r="CF113" s="9"/>
      <c r="CG113" s="9"/>
      <c r="CH113" s="9"/>
      <c r="CI113" s="9"/>
      <c r="CJ113" s="9"/>
      <c r="CK113" s="9"/>
      <c r="CL113" s="9"/>
      <c r="CM113" s="9"/>
      <c r="CN113" s="9"/>
      <c r="CO113" s="9"/>
      <c r="CP113" s="9"/>
      <c r="CQ113" s="9"/>
      <c r="CR113" s="9"/>
      <c r="CS113" s="9"/>
      <c r="CT113" s="9"/>
      <c r="CU113" s="9"/>
      <c r="CV113" s="9"/>
      <c r="CW113" s="9"/>
      <c r="CX113" s="9"/>
      <c r="CY113" s="9"/>
      <c r="CZ113" s="9"/>
      <c r="DA113" s="9"/>
      <c r="DB113" s="9"/>
      <c r="DC113" s="9"/>
      <c r="DD113" s="9"/>
      <c r="DE113" s="9"/>
      <c r="DF113" s="9"/>
      <c r="DG113" s="9"/>
      <c r="DH113" s="9" t="s">
        <v>396</v>
      </c>
      <c r="DI113" s="9" t="s">
        <v>396</v>
      </c>
      <c r="DJ113" s="9" t="s">
        <v>41</v>
      </c>
      <c r="DK113" s="9" t="s">
        <v>341</v>
      </c>
      <c r="DL113" s="9" t="s">
        <v>802</v>
      </c>
      <c r="DM113" s="9" t="s">
        <v>322</v>
      </c>
      <c r="DN113" s="9" t="s">
        <v>316</v>
      </c>
      <c r="DO113" s="9" t="s">
        <v>341</v>
      </c>
      <c r="DP113" s="9"/>
      <c r="DQ113" s="9"/>
      <c r="DR113" s="9" t="s">
        <v>90</v>
      </c>
      <c r="DS113" s="9" t="s">
        <v>49</v>
      </c>
      <c r="DT113" s="9"/>
      <c r="DU113" s="9"/>
      <c r="DV113" s="9"/>
      <c r="DW113" s="9"/>
      <c r="DX113" s="9" t="s">
        <v>90</v>
      </c>
      <c r="DY113" s="9" t="s">
        <v>49</v>
      </c>
      <c r="DZ113" s="9"/>
      <c r="EA113" s="9"/>
      <c r="EB113" s="9"/>
      <c r="EC113" s="9"/>
      <c r="ED113" s="9" t="s">
        <v>1029</v>
      </c>
      <c r="EE113" s="9" t="s">
        <v>1586</v>
      </c>
      <c r="EF113" s="9" t="s">
        <v>575</v>
      </c>
      <c r="EG113" s="9" t="s">
        <v>1023</v>
      </c>
      <c r="EH113" s="9" t="s">
        <v>311</v>
      </c>
      <c r="EI113" s="9" t="s">
        <v>2213</v>
      </c>
      <c r="EJ113" t="s">
        <v>2217</v>
      </c>
      <c r="EN113" t="s">
        <v>2218</v>
      </c>
      <c r="EO113" t="s">
        <v>437</v>
      </c>
    </row>
    <row r="114" spans="3:145" x14ac:dyDescent="0.3">
      <c r="C114" t="s">
        <v>2230</v>
      </c>
      <c r="D114" t="s">
        <v>2219</v>
      </c>
      <c r="E114" s="8">
        <v>46090</v>
      </c>
      <c r="F114" t="s">
        <v>1195</v>
      </c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9"/>
      <c r="CE114" s="9"/>
      <c r="CF114" s="9"/>
      <c r="CG114" s="9"/>
      <c r="CH114" s="9"/>
      <c r="CI114" s="9"/>
      <c r="CJ114" s="9"/>
      <c r="CK114" s="9"/>
      <c r="CL114" s="9"/>
      <c r="CM114" s="9"/>
      <c r="CN114" s="9"/>
      <c r="CO114" s="9"/>
      <c r="CP114" s="9"/>
      <c r="CQ114" s="9"/>
      <c r="CR114" s="9"/>
      <c r="CS114" s="9"/>
      <c r="CT114" s="9"/>
      <c r="CU114" s="9"/>
      <c r="CV114" s="9"/>
      <c r="CW114" s="9"/>
      <c r="CX114" s="9"/>
      <c r="CY114" s="9"/>
      <c r="CZ114" s="9"/>
      <c r="DA114" s="9"/>
      <c r="DB114" s="9"/>
      <c r="DC114" s="9"/>
      <c r="DD114" s="9"/>
      <c r="DE114" s="9"/>
      <c r="DF114" s="9"/>
      <c r="DG114" s="9"/>
      <c r="DH114" s="9" t="s">
        <v>313</v>
      </c>
      <c r="DI114" s="9" t="s">
        <v>314</v>
      </c>
      <c r="DJ114" s="9" t="s">
        <v>993</v>
      </c>
      <c r="DK114" s="9"/>
      <c r="DL114" s="9" t="s">
        <v>313</v>
      </c>
      <c r="DM114" s="9" t="s">
        <v>321</v>
      </c>
      <c r="DN114" s="9" t="s">
        <v>41</v>
      </c>
      <c r="DO114" s="9"/>
      <c r="DP114" s="9"/>
      <c r="DQ114" s="9"/>
      <c r="DR114" s="9" t="s">
        <v>97</v>
      </c>
      <c r="DS114" s="9"/>
      <c r="DT114" s="9"/>
      <c r="DU114" s="9"/>
      <c r="DV114" s="9"/>
      <c r="DW114" s="9"/>
      <c r="DX114" s="9" t="s">
        <v>97</v>
      </c>
      <c r="DY114" s="9"/>
      <c r="DZ114" s="9"/>
      <c r="EA114" s="9"/>
      <c r="EB114" s="9"/>
      <c r="EC114" s="9"/>
      <c r="ED114" s="9" t="s">
        <v>679</v>
      </c>
      <c r="EE114" s="9" t="s">
        <v>2231</v>
      </c>
      <c r="EF114" s="9" t="s">
        <v>493</v>
      </c>
      <c r="EG114" s="9" t="s">
        <v>1229</v>
      </c>
      <c r="EH114" s="9" t="s">
        <v>311</v>
      </c>
      <c r="EI114" s="9" t="s">
        <v>2232</v>
      </c>
      <c r="EJ114" t="s">
        <v>2233</v>
      </c>
      <c r="EN114" t="s">
        <v>2234</v>
      </c>
      <c r="EO114" t="s">
        <v>368</v>
      </c>
    </row>
    <row r="115" spans="3:145" x14ac:dyDescent="0.3">
      <c r="C115" t="s">
        <v>2262</v>
      </c>
      <c r="D115" t="s">
        <v>2250</v>
      </c>
      <c r="E115" s="8">
        <v>46091</v>
      </c>
      <c r="F115" t="s">
        <v>2263</v>
      </c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L115" s="9"/>
      <c r="CM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  <c r="DC115" s="9"/>
      <c r="DD115" s="9"/>
      <c r="DE115" s="9"/>
      <c r="DF115" s="9"/>
      <c r="DG115" s="9"/>
      <c r="DH115" s="9" t="s">
        <v>313</v>
      </c>
      <c r="DI115" s="9" t="s">
        <v>314</v>
      </c>
      <c r="DJ115" s="9" t="s">
        <v>41</v>
      </c>
      <c r="DK115" s="9"/>
      <c r="DL115" s="9" t="s">
        <v>313</v>
      </c>
      <c r="DM115" s="9" t="s">
        <v>340</v>
      </c>
      <c r="DN115" s="9" t="s">
        <v>509</v>
      </c>
      <c r="DO115" s="9"/>
      <c r="DP115" s="9"/>
      <c r="DQ115" s="9"/>
      <c r="DR115" s="9" t="s">
        <v>96</v>
      </c>
      <c r="DS115" s="9"/>
      <c r="DT115" s="9"/>
      <c r="DU115" s="9"/>
      <c r="DV115" s="9"/>
      <c r="DW115" s="9"/>
      <c r="DX115" s="9" t="s">
        <v>96</v>
      </c>
      <c r="DY115" s="9"/>
      <c r="DZ115" s="9"/>
      <c r="EA115" s="9"/>
      <c r="EB115" s="9"/>
      <c r="EC115" s="9"/>
      <c r="ED115" s="9" t="s">
        <v>679</v>
      </c>
      <c r="EE115" s="9" t="s">
        <v>914</v>
      </c>
      <c r="EF115" s="9" t="s">
        <v>499</v>
      </c>
      <c r="EG115" s="9" t="s">
        <v>1229</v>
      </c>
      <c r="EH115" s="9" t="s">
        <v>311</v>
      </c>
      <c r="EI115" s="9" t="s">
        <v>2264</v>
      </c>
      <c r="EJ115" t="s">
        <v>2265</v>
      </c>
      <c r="EN115" t="s">
        <v>2266</v>
      </c>
      <c r="EO115" t="s">
        <v>437</v>
      </c>
    </row>
    <row r="116" spans="3:145" x14ac:dyDescent="0.3">
      <c r="C116" t="s">
        <v>2267</v>
      </c>
      <c r="D116" t="s">
        <v>2244</v>
      </c>
      <c r="E116" s="8">
        <v>46091</v>
      </c>
      <c r="F116" t="s">
        <v>2268</v>
      </c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9"/>
      <c r="CK116" s="9"/>
      <c r="CL116" s="9"/>
      <c r="CM116" s="9"/>
      <c r="CN116" s="9"/>
      <c r="CO116" s="9"/>
      <c r="CP116" s="9"/>
      <c r="CQ116" s="9"/>
      <c r="CR116" s="9"/>
      <c r="CS116" s="9"/>
      <c r="CT116" s="9"/>
      <c r="CU116" s="9"/>
      <c r="CV116" s="9"/>
      <c r="CW116" s="9"/>
      <c r="CX116" s="9"/>
      <c r="CY116" s="9"/>
      <c r="CZ116" s="9"/>
      <c r="DA116" s="9"/>
      <c r="DB116" s="9"/>
      <c r="DC116" s="9"/>
      <c r="DD116" s="9"/>
      <c r="DE116" s="9"/>
      <c r="DF116" s="9"/>
      <c r="DG116" s="9"/>
      <c r="DH116" s="9" t="s">
        <v>677</v>
      </c>
      <c r="DI116" s="9" t="s">
        <v>355</v>
      </c>
      <c r="DJ116" s="9" t="s">
        <v>2269</v>
      </c>
      <c r="DK116" s="9"/>
      <c r="DL116" s="9" t="s">
        <v>805</v>
      </c>
      <c r="DM116" s="9" t="s">
        <v>355</v>
      </c>
      <c r="DN116" s="9" t="s">
        <v>61</v>
      </c>
      <c r="DO116" s="9"/>
      <c r="DP116" s="9"/>
      <c r="DQ116" s="9"/>
      <c r="DR116" s="9"/>
      <c r="DS116" s="9"/>
      <c r="DT116" s="9"/>
      <c r="DU116" s="9"/>
      <c r="DV116" s="9"/>
      <c r="DW116" s="9"/>
      <c r="DX116" s="9"/>
      <c r="DY116" s="9"/>
      <c r="DZ116" s="9"/>
      <c r="EA116" s="9"/>
      <c r="EB116" s="9"/>
      <c r="EC116" s="9"/>
      <c r="ED116" s="9" t="s">
        <v>679</v>
      </c>
      <c r="EE116" s="9" t="s">
        <v>492</v>
      </c>
      <c r="EF116" s="9" t="s">
        <v>493</v>
      </c>
      <c r="EG116" s="9" t="s">
        <v>2270</v>
      </c>
      <c r="EH116" s="9" t="s">
        <v>311</v>
      </c>
      <c r="EI116" s="9" t="s">
        <v>2271</v>
      </c>
      <c r="EJ116" t="s">
        <v>2272</v>
      </c>
      <c r="EN116" t="s">
        <v>2273</v>
      </c>
      <c r="EO116" t="s">
        <v>437</v>
      </c>
    </row>
    <row r="117" spans="3:145" x14ac:dyDescent="0.3">
      <c r="C117" t="s">
        <v>2278</v>
      </c>
      <c r="D117" t="s">
        <v>2274</v>
      </c>
      <c r="E117" s="8">
        <v>46091</v>
      </c>
      <c r="F117" t="s">
        <v>353</v>
      </c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  <c r="BP117" s="9"/>
      <c r="BQ117" s="9"/>
      <c r="BR117" s="9"/>
      <c r="BS117" s="9"/>
      <c r="BT117" s="9"/>
      <c r="BU117" s="9"/>
      <c r="BV117" s="9"/>
      <c r="BW117" s="9"/>
      <c r="BX117" s="9"/>
      <c r="BY117" s="9"/>
      <c r="BZ117" s="9"/>
      <c r="CA117" s="9"/>
      <c r="CB117" s="9"/>
      <c r="CC117" s="9"/>
      <c r="CD117" s="9"/>
      <c r="CE117" s="9"/>
      <c r="CF117" s="9"/>
      <c r="CG117" s="9"/>
      <c r="CH117" s="9"/>
      <c r="CI117" s="9"/>
      <c r="CJ117" s="9"/>
      <c r="CK117" s="9"/>
      <c r="CL117" s="9"/>
      <c r="CM117" s="9"/>
      <c r="CN117" s="9"/>
      <c r="CO117" s="9"/>
      <c r="CP117" s="9"/>
      <c r="CQ117" s="9"/>
      <c r="CR117" s="9"/>
      <c r="CS117" s="9"/>
      <c r="CT117" s="9"/>
      <c r="CU117" s="9"/>
      <c r="CV117" s="9"/>
      <c r="CW117" s="9"/>
      <c r="CX117" s="9"/>
      <c r="CY117" s="9"/>
      <c r="CZ117" s="9"/>
      <c r="DA117" s="9"/>
      <c r="DB117" s="9"/>
      <c r="DC117" s="9"/>
      <c r="DD117" s="9"/>
      <c r="DE117" s="9"/>
      <c r="DF117" s="9"/>
      <c r="DG117" s="9"/>
      <c r="DH117" s="9" t="s">
        <v>355</v>
      </c>
      <c r="DI117" s="9" t="s">
        <v>355</v>
      </c>
      <c r="DJ117" s="9" t="s">
        <v>356</v>
      </c>
      <c r="DK117" s="9"/>
      <c r="DL117" s="9" t="s">
        <v>355</v>
      </c>
      <c r="DM117" s="9" t="s">
        <v>321</v>
      </c>
      <c r="DN117" s="9" t="s">
        <v>591</v>
      </c>
      <c r="DO117" s="9"/>
      <c r="DP117" s="9"/>
      <c r="DQ117" s="9"/>
      <c r="DR117" s="9" t="s">
        <v>91</v>
      </c>
      <c r="DS117" s="9"/>
      <c r="DT117" s="9"/>
      <c r="DU117" s="9"/>
      <c r="DV117" s="9"/>
      <c r="DW117" s="9"/>
      <c r="DX117" s="9" t="s">
        <v>91</v>
      </c>
      <c r="DY117" s="9"/>
      <c r="DZ117" s="9"/>
      <c r="EA117" s="9"/>
      <c r="EB117" s="9"/>
      <c r="EC117" s="9"/>
      <c r="ED117" s="9" t="s">
        <v>679</v>
      </c>
      <c r="EE117" s="9" t="s">
        <v>914</v>
      </c>
      <c r="EF117" s="9" t="s">
        <v>499</v>
      </c>
      <c r="EG117" s="9" t="s">
        <v>1023</v>
      </c>
      <c r="EH117" s="9" t="s">
        <v>311</v>
      </c>
      <c r="EI117" s="9" t="s">
        <v>2279</v>
      </c>
      <c r="EJ117" t="s">
        <v>2285</v>
      </c>
      <c r="EN117" t="s">
        <v>2286</v>
      </c>
      <c r="EO117" t="s">
        <v>437</v>
      </c>
    </row>
    <row r="118" spans="3:145" x14ac:dyDescent="0.3">
      <c r="C118" t="s">
        <v>2292</v>
      </c>
      <c r="D118" t="s">
        <v>2287</v>
      </c>
      <c r="E118" s="8">
        <v>46093</v>
      </c>
      <c r="F118" t="s">
        <v>893</v>
      </c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  <c r="CE118" s="9"/>
      <c r="CF118" s="9"/>
      <c r="CG118" s="9"/>
      <c r="CH118" s="9"/>
      <c r="CI118" s="9"/>
      <c r="CJ118" s="9"/>
      <c r="CK118" s="9"/>
      <c r="CL118" s="9"/>
      <c r="CM118" s="9"/>
      <c r="CN118" s="9"/>
      <c r="CO118" s="9"/>
      <c r="CP118" s="9"/>
      <c r="CQ118" s="9"/>
      <c r="CR118" s="9"/>
      <c r="CS118" s="9"/>
      <c r="CT118" s="9"/>
      <c r="CU118" s="9"/>
      <c r="CV118" s="9"/>
      <c r="CW118" s="9"/>
      <c r="CX118" s="9"/>
      <c r="CY118" s="9"/>
      <c r="CZ118" s="9"/>
      <c r="DA118" s="9"/>
      <c r="DB118" s="9"/>
      <c r="DC118" s="9"/>
      <c r="DD118" s="9"/>
      <c r="DE118" s="9"/>
      <c r="DF118" s="9"/>
      <c r="DG118" s="9"/>
      <c r="DH118" s="9" t="s">
        <v>313</v>
      </c>
      <c r="DI118" s="9" t="s">
        <v>340</v>
      </c>
      <c r="DJ118" s="9" t="s">
        <v>1374</v>
      </c>
      <c r="DK118" s="9"/>
      <c r="DL118" s="9" t="s">
        <v>313</v>
      </c>
      <c r="DM118" s="9" t="s">
        <v>321</v>
      </c>
      <c r="DN118" s="9" t="s">
        <v>316</v>
      </c>
      <c r="DO118" s="9"/>
      <c r="DP118" s="9"/>
      <c r="DQ118" s="9"/>
      <c r="DR118" s="9" t="s">
        <v>91</v>
      </c>
      <c r="DS118" s="9"/>
      <c r="DT118" s="9"/>
      <c r="DU118" s="9"/>
      <c r="DV118" s="9"/>
      <c r="DW118" s="9"/>
      <c r="DX118" s="9" t="s">
        <v>91</v>
      </c>
      <c r="DY118" s="9"/>
      <c r="DZ118" s="9"/>
      <c r="EA118" s="9"/>
      <c r="EB118" s="9"/>
      <c r="EC118" s="9"/>
      <c r="ED118" s="9" t="s">
        <v>679</v>
      </c>
      <c r="EE118" s="9" t="s">
        <v>2231</v>
      </c>
      <c r="EF118" s="9" t="s">
        <v>493</v>
      </c>
      <c r="EG118" s="9" t="s">
        <v>1229</v>
      </c>
      <c r="EH118" s="9" t="s">
        <v>311</v>
      </c>
      <c r="EI118" s="9" t="s">
        <v>2293</v>
      </c>
      <c r="EJ118" t="s">
        <v>2294</v>
      </c>
      <c r="EN118" t="s">
        <v>2295</v>
      </c>
      <c r="EO118" t="s">
        <v>437</v>
      </c>
    </row>
    <row r="119" spans="3:145" x14ac:dyDescent="0.3">
      <c r="C119" t="s">
        <v>2304</v>
      </c>
      <c r="D119" t="s">
        <v>2296</v>
      </c>
      <c r="E119" s="8">
        <v>46093</v>
      </c>
      <c r="F119" t="s">
        <v>353</v>
      </c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  <c r="BP119" s="9"/>
      <c r="BQ119" s="9"/>
      <c r="BR119" s="9"/>
      <c r="BS119" s="9"/>
      <c r="BT119" s="9"/>
      <c r="BU119" s="9"/>
      <c r="BV119" s="9"/>
      <c r="BW119" s="9"/>
      <c r="BX119" s="9"/>
      <c r="BY119" s="9"/>
      <c r="BZ119" s="9"/>
      <c r="CA119" s="9"/>
      <c r="CB119" s="9"/>
      <c r="CC119" s="9"/>
      <c r="CD119" s="9"/>
      <c r="CE119" s="9"/>
      <c r="CF119" s="9"/>
      <c r="CG119" s="9"/>
      <c r="CH119" s="9"/>
      <c r="CI119" s="9"/>
      <c r="CJ119" s="9"/>
      <c r="CK119" s="9"/>
      <c r="CL119" s="9"/>
      <c r="CM119" s="9"/>
      <c r="CN119" s="9"/>
      <c r="CO119" s="9"/>
      <c r="CP119" s="9"/>
      <c r="CQ119" s="9"/>
      <c r="CR119" s="9"/>
      <c r="CS119" s="9"/>
      <c r="CT119" s="9"/>
      <c r="CU119" s="9"/>
      <c r="CV119" s="9"/>
      <c r="CW119" s="9"/>
      <c r="CX119" s="9"/>
      <c r="CY119" s="9"/>
      <c r="CZ119" s="9"/>
      <c r="DA119" s="9"/>
      <c r="DB119" s="9"/>
      <c r="DC119" s="9"/>
      <c r="DD119" s="9"/>
      <c r="DE119" s="9"/>
      <c r="DF119" s="9"/>
      <c r="DG119" s="9"/>
      <c r="DH119" s="9" t="s">
        <v>342</v>
      </c>
      <c r="DI119" s="9" t="s">
        <v>340</v>
      </c>
      <c r="DJ119" s="9" t="s">
        <v>46</v>
      </c>
      <c r="DK119" s="9" t="s">
        <v>1927</v>
      </c>
      <c r="DL119" s="9" t="s">
        <v>313</v>
      </c>
      <c r="DM119" s="9" t="s">
        <v>314</v>
      </c>
      <c r="DN119" s="9" t="s">
        <v>36</v>
      </c>
      <c r="DO119" s="9" t="s">
        <v>1927</v>
      </c>
      <c r="DP119" s="9"/>
      <c r="DQ119" s="9"/>
      <c r="DR119" s="9" t="s">
        <v>91</v>
      </c>
      <c r="DS119" s="9"/>
      <c r="DT119" s="9"/>
      <c r="DU119" s="9"/>
      <c r="DV119" s="9"/>
      <c r="DW119" s="9"/>
      <c r="DX119" s="9" t="s">
        <v>91</v>
      </c>
      <c r="DY119" s="9"/>
      <c r="DZ119" s="9"/>
      <c r="EA119" s="9"/>
      <c r="EB119" s="9"/>
      <c r="EC119" s="9"/>
      <c r="ED119" s="9" t="s">
        <v>679</v>
      </c>
      <c r="EE119" s="9" t="s">
        <v>1044</v>
      </c>
      <c r="EF119" s="9" t="s">
        <v>493</v>
      </c>
      <c r="EG119" s="9"/>
      <c r="EH119" s="9" t="s">
        <v>311</v>
      </c>
      <c r="EI119" s="9" t="s">
        <v>2305</v>
      </c>
      <c r="EJ119" t="s">
        <v>2311</v>
      </c>
      <c r="EN119" t="s">
        <v>2312</v>
      </c>
      <c r="EO119" t="s">
        <v>368</v>
      </c>
    </row>
    <row r="120" spans="3:145" x14ac:dyDescent="0.3">
      <c r="C120" t="s">
        <v>2306</v>
      </c>
      <c r="D120" t="s">
        <v>2301</v>
      </c>
      <c r="E120" s="8">
        <v>46093</v>
      </c>
      <c r="F120" t="s">
        <v>897</v>
      </c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 t="s">
        <v>313</v>
      </c>
      <c r="DI120" s="9" t="s">
        <v>320</v>
      </c>
      <c r="DJ120" s="9" t="s">
        <v>41</v>
      </c>
      <c r="DK120" s="9"/>
      <c r="DL120" s="9" t="s">
        <v>313</v>
      </c>
      <c r="DM120" s="9" t="s">
        <v>355</v>
      </c>
      <c r="DN120" s="9" t="s">
        <v>2307</v>
      </c>
      <c r="DO120" s="9"/>
      <c r="DP120" s="9"/>
      <c r="DQ120" s="9"/>
      <c r="DR120" s="9" t="s">
        <v>85</v>
      </c>
      <c r="DS120" s="9"/>
      <c r="DT120" s="9"/>
      <c r="DU120" s="9"/>
      <c r="DV120" s="9"/>
      <c r="DW120" s="9"/>
      <c r="DX120" s="9" t="s">
        <v>85</v>
      </c>
      <c r="DY120" s="9"/>
      <c r="DZ120" s="9"/>
      <c r="EA120" s="9"/>
      <c r="EB120" s="9"/>
      <c r="EC120" s="9"/>
      <c r="ED120" s="9" t="s">
        <v>679</v>
      </c>
      <c r="EE120" s="9" t="s">
        <v>492</v>
      </c>
      <c r="EF120" s="9" t="s">
        <v>493</v>
      </c>
      <c r="EG120" s="9" t="s">
        <v>1229</v>
      </c>
      <c r="EH120" s="9" t="s">
        <v>311</v>
      </c>
      <c r="EI120" s="9" t="s">
        <v>2308</v>
      </c>
      <c r="EJ120" t="s">
        <v>2309</v>
      </c>
      <c r="EN120" t="s">
        <v>2310</v>
      </c>
      <c r="EO120" t="s">
        <v>437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74DA3-23E6-4427-A34E-15B9EE33A71C}">
  <sheetPr codeName="Hoja9"/>
  <dimension ref="C2:M95"/>
  <sheetViews>
    <sheetView workbookViewId="0">
      <selection activeCell="J6" sqref="J6"/>
    </sheetView>
  </sheetViews>
  <sheetFormatPr baseColWidth="10" defaultRowHeight="14.4" x14ac:dyDescent="0.3"/>
  <cols>
    <col min="3" max="3" width="11.5546875" customWidth="1"/>
    <col min="4" max="4" width="12.109375" bestFit="1" customWidth="1"/>
    <col min="5" max="5" width="15.109375" bestFit="1" customWidth="1"/>
    <col min="6" max="6" width="16.33203125" customWidth="1"/>
    <col min="8" max="8" width="12.44140625" customWidth="1"/>
    <col min="12" max="12" width="17.5546875" customWidth="1"/>
    <col min="13" max="13" width="14.33203125" bestFit="1" customWidth="1"/>
  </cols>
  <sheetData>
    <row r="2" spans="3:13" x14ac:dyDescent="0.3"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</row>
    <row r="4" spans="3:13" x14ac:dyDescent="0.3">
      <c r="C4" s="3" t="s">
        <v>211</v>
      </c>
      <c r="D4" s="3" t="s">
        <v>30</v>
      </c>
      <c r="E4" s="3" t="s">
        <v>212</v>
      </c>
      <c r="F4" s="3" t="s">
        <v>216</v>
      </c>
      <c r="G4" s="3" t="s">
        <v>213</v>
      </c>
      <c r="H4" s="3" t="s">
        <v>214</v>
      </c>
      <c r="I4" s="3" t="s">
        <v>215</v>
      </c>
      <c r="J4" s="3" t="s">
        <v>219</v>
      </c>
      <c r="K4" s="3" t="s">
        <v>220</v>
      </c>
      <c r="L4" s="3" t="s">
        <v>217</v>
      </c>
      <c r="M4" s="3" t="s">
        <v>218</v>
      </c>
    </row>
    <row r="5" spans="3:13" x14ac:dyDescent="0.3">
      <c r="C5" s="3" t="s">
        <v>300</v>
      </c>
      <c r="D5" s="14">
        <v>46027</v>
      </c>
      <c r="E5" t="s">
        <v>286</v>
      </c>
      <c r="F5" s="3">
        <v>3</v>
      </c>
      <c r="G5" s="3">
        <v>65</v>
      </c>
      <c r="H5" s="3">
        <v>0</v>
      </c>
      <c r="I5" s="3">
        <v>65</v>
      </c>
      <c r="J5" s="3">
        <v>65</v>
      </c>
      <c r="K5" s="3">
        <v>0</v>
      </c>
      <c r="L5" s="3" t="s">
        <v>301</v>
      </c>
      <c r="M5" s="3" t="s">
        <v>414</v>
      </c>
    </row>
    <row r="6" spans="3:13" x14ac:dyDescent="0.3">
      <c r="C6" s="3" t="s">
        <v>377</v>
      </c>
      <c r="D6" s="14">
        <v>46028</v>
      </c>
      <c r="E6" s="3" t="s">
        <v>346</v>
      </c>
      <c r="F6" s="3">
        <v>2</v>
      </c>
      <c r="G6" s="3">
        <v>216.2</v>
      </c>
      <c r="H6" s="3">
        <v>18.8</v>
      </c>
      <c r="I6" s="3">
        <v>216.2</v>
      </c>
      <c r="J6" s="3">
        <v>432.4</v>
      </c>
      <c r="K6" s="3">
        <v>-216.2</v>
      </c>
      <c r="L6" s="3" t="s">
        <v>301</v>
      </c>
      <c r="M6" s="3" t="s">
        <v>414</v>
      </c>
    </row>
    <row r="7" spans="3:13" x14ac:dyDescent="0.3">
      <c r="C7" s="3" t="s">
        <v>413</v>
      </c>
      <c r="D7" s="14">
        <v>46028</v>
      </c>
      <c r="E7" s="3" t="s">
        <v>362</v>
      </c>
      <c r="F7" s="3">
        <v>1</v>
      </c>
      <c r="G7" s="3">
        <v>5</v>
      </c>
      <c r="H7" s="3">
        <v>0</v>
      </c>
      <c r="I7" s="3">
        <v>5</v>
      </c>
      <c r="J7" s="3">
        <v>5</v>
      </c>
      <c r="K7" s="3">
        <v>0</v>
      </c>
      <c r="L7" s="3" t="s">
        <v>301</v>
      </c>
      <c r="M7" s="3" t="s">
        <v>414</v>
      </c>
    </row>
    <row r="8" spans="3:13" x14ac:dyDescent="0.3">
      <c r="C8" s="3" t="s">
        <v>440</v>
      </c>
      <c r="D8" s="14">
        <v>46028</v>
      </c>
      <c r="E8" s="3" t="s">
        <v>421</v>
      </c>
      <c r="F8" s="3">
        <v>3</v>
      </c>
      <c r="G8" s="3">
        <v>175</v>
      </c>
      <c r="H8" s="3">
        <v>0</v>
      </c>
      <c r="I8" s="3">
        <v>175</v>
      </c>
      <c r="J8" s="3">
        <v>175</v>
      </c>
      <c r="K8" s="3">
        <v>0</v>
      </c>
      <c r="L8" s="3" t="s">
        <v>301</v>
      </c>
      <c r="M8" s="3" t="s">
        <v>414</v>
      </c>
    </row>
    <row r="9" spans="3:13" x14ac:dyDescent="0.3">
      <c r="C9" s="3" t="s">
        <v>444</v>
      </c>
      <c r="D9" s="14">
        <v>46028</v>
      </c>
      <c r="E9" s="3" t="s">
        <v>371</v>
      </c>
      <c r="F9" s="3">
        <v>2</v>
      </c>
      <c r="G9" s="3">
        <v>200</v>
      </c>
      <c r="H9" s="3">
        <v>15</v>
      </c>
      <c r="I9" s="3">
        <v>200</v>
      </c>
      <c r="J9" s="3">
        <v>200</v>
      </c>
      <c r="K9" s="3">
        <v>0</v>
      </c>
      <c r="L9" s="3" t="s">
        <v>445</v>
      </c>
      <c r="M9" s="3" t="s">
        <v>414</v>
      </c>
    </row>
    <row r="10" spans="3:13" x14ac:dyDescent="0.3">
      <c r="C10" s="3" t="s">
        <v>458</v>
      </c>
      <c r="D10" s="14">
        <v>46028</v>
      </c>
      <c r="E10" s="3" t="s">
        <v>451</v>
      </c>
      <c r="F10" s="3">
        <v>1</v>
      </c>
      <c r="G10" s="3">
        <v>12</v>
      </c>
      <c r="H10" s="3">
        <v>0</v>
      </c>
      <c r="I10" s="3">
        <v>12</v>
      </c>
      <c r="J10" s="3">
        <v>12</v>
      </c>
      <c r="K10" s="3">
        <v>0</v>
      </c>
      <c r="L10" s="3" t="s">
        <v>301</v>
      </c>
      <c r="M10" s="3" t="s">
        <v>414</v>
      </c>
    </row>
    <row r="11" spans="3:13" x14ac:dyDescent="0.3">
      <c r="C11" s="3" t="s">
        <v>541</v>
      </c>
      <c r="D11" s="14">
        <v>46029</v>
      </c>
      <c r="E11" s="3" t="s">
        <v>470</v>
      </c>
      <c r="F11" s="3">
        <v>3</v>
      </c>
      <c r="G11" s="3">
        <v>40</v>
      </c>
      <c r="H11" s="3">
        <v>25</v>
      </c>
      <c r="I11" s="3">
        <v>40</v>
      </c>
      <c r="J11" s="3">
        <v>40</v>
      </c>
      <c r="K11" s="3">
        <v>0</v>
      </c>
      <c r="L11" s="3" t="s">
        <v>301</v>
      </c>
      <c r="M11" s="3" t="s">
        <v>414</v>
      </c>
    </row>
    <row r="12" spans="3:13" x14ac:dyDescent="0.3">
      <c r="C12" s="3" t="s">
        <v>550</v>
      </c>
      <c r="D12" s="14">
        <v>46029</v>
      </c>
      <c r="E12" s="3" t="s">
        <v>475</v>
      </c>
      <c r="F12" s="3">
        <v>2</v>
      </c>
      <c r="G12" s="3">
        <v>175</v>
      </c>
      <c r="H12" s="3">
        <v>0</v>
      </c>
      <c r="I12" s="3">
        <v>175</v>
      </c>
      <c r="J12" s="3">
        <v>175</v>
      </c>
      <c r="K12" s="3">
        <v>0</v>
      </c>
      <c r="L12" s="3" t="s">
        <v>301</v>
      </c>
      <c r="M12" s="3" t="s">
        <v>414</v>
      </c>
    </row>
    <row r="13" spans="3:13" x14ac:dyDescent="0.3">
      <c r="C13" s="3" t="s">
        <v>555</v>
      </c>
      <c r="D13" s="14">
        <v>46029</v>
      </c>
      <c r="E13" s="3" t="s">
        <v>481</v>
      </c>
      <c r="F13" s="3">
        <v>2</v>
      </c>
      <c r="G13" s="3">
        <v>225</v>
      </c>
      <c r="H13" s="3">
        <v>25</v>
      </c>
      <c r="I13" s="3">
        <v>225</v>
      </c>
      <c r="J13" s="3">
        <v>0</v>
      </c>
      <c r="K13" s="3">
        <v>225</v>
      </c>
      <c r="L13" s="3" t="s">
        <v>301</v>
      </c>
      <c r="M13" s="3" t="s">
        <v>274</v>
      </c>
    </row>
    <row r="14" spans="3:13" x14ac:dyDescent="0.3">
      <c r="C14" s="3" t="s">
        <v>580</v>
      </c>
      <c r="D14" s="14">
        <v>46029</v>
      </c>
      <c r="E14" s="3" t="s">
        <v>558</v>
      </c>
      <c r="F14" s="3">
        <v>2</v>
      </c>
      <c r="G14" s="3">
        <v>235</v>
      </c>
      <c r="H14" s="3">
        <v>0</v>
      </c>
      <c r="I14" s="3">
        <v>235</v>
      </c>
      <c r="J14" s="3">
        <v>50</v>
      </c>
      <c r="K14" s="3">
        <v>185</v>
      </c>
      <c r="L14" s="3" t="s">
        <v>301</v>
      </c>
      <c r="M14" s="3" t="s">
        <v>274</v>
      </c>
    </row>
    <row r="15" spans="3:13" x14ac:dyDescent="0.3">
      <c r="C15" s="3" t="s">
        <v>596</v>
      </c>
      <c r="D15" s="14">
        <v>46030</v>
      </c>
      <c r="E15" s="3" t="s">
        <v>584</v>
      </c>
      <c r="F15" s="3">
        <v>2</v>
      </c>
      <c r="G15" s="3">
        <v>80</v>
      </c>
      <c r="H15" s="3">
        <v>10</v>
      </c>
      <c r="I15" s="3">
        <v>80</v>
      </c>
      <c r="J15" s="3">
        <v>80</v>
      </c>
      <c r="K15" s="3">
        <v>0</v>
      </c>
      <c r="L15" s="3" t="s">
        <v>301</v>
      </c>
      <c r="M15" s="3" t="s">
        <v>414</v>
      </c>
    </row>
    <row r="16" spans="3:13" x14ac:dyDescent="0.3">
      <c r="C16" s="3" t="s">
        <v>641</v>
      </c>
      <c r="D16" s="14">
        <v>46030</v>
      </c>
      <c r="E16" s="3" t="s">
        <v>610</v>
      </c>
      <c r="F16" s="3">
        <v>3</v>
      </c>
      <c r="G16" s="3">
        <v>330</v>
      </c>
      <c r="H16" s="3">
        <v>5</v>
      </c>
      <c r="I16" s="3">
        <v>330</v>
      </c>
      <c r="J16" s="3">
        <v>100</v>
      </c>
      <c r="K16" s="3">
        <v>230</v>
      </c>
      <c r="L16" s="3" t="s">
        <v>301</v>
      </c>
      <c r="M16" s="3" t="s">
        <v>274</v>
      </c>
    </row>
    <row r="17" spans="3:13" x14ac:dyDescent="0.3">
      <c r="C17" s="3" t="s">
        <v>659</v>
      </c>
      <c r="D17" s="14">
        <v>46030</v>
      </c>
      <c r="E17" s="3" t="s">
        <v>634</v>
      </c>
      <c r="F17" s="3">
        <v>1</v>
      </c>
      <c r="G17" s="3">
        <v>220</v>
      </c>
      <c r="H17" s="3">
        <v>15</v>
      </c>
      <c r="I17" s="3">
        <v>220</v>
      </c>
      <c r="J17" s="3">
        <v>110</v>
      </c>
      <c r="K17" s="3">
        <v>110</v>
      </c>
      <c r="L17" s="3" t="s">
        <v>445</v>
      </c>
      <c r="M17" s="3" t="s">
        <v>274</v>
      </c>
    </row>
    <row r="18" spans="3:13" x14ac:dyDescent="0.3">
      <c r="C18" s="3" t="s">
        <v>683</v>
      </c>
      <c r="D18" s="14">
        <v>46031</v>
      </c>
      <c r="E18" s="3" t="s">
        <v>667</v>
      </c>
      <c r="F18" s="3">
        <v>3</v>
      </c>
      <c r="G18" s="3">
        <v>40</v>
      </c>
      <c r="H18" s="3">
        <v>25</v>
      </c>
      <c r="I18" s="3">
        <v>40</v>
      </c>
      <c r="J18" s="3">
        <v>40</v>
      </c>
      <c r="K18" s="3">
        <v>0</v>
      </c>
      <c r="L18" s="3" t="s">
        <v>445</v>
      </c>
      <c r="M18" s="3" t="s">
        <v>414</v>
      </c>
    </row>
    <row r="19" spans="3:13" x14ac:dyDescent="0.3">
      <c r="C19" s="3" t="s">
        <v>705</v>
      </c>
      <c r="D19" s="14">
        <v>46031</v>
      </c>
      <c r="E19" s="3" t="s">
        <v>693</v>
      </c>
      <c r="F19" s="3">
        <v>1</v>
      </c>
      <c r="G19" s="3">
        <v>5</v>
      </c>
      <c r="H19" s="3">
        <v>0</v>
      </c>
      <c r="I19" s="3">
        <v>5</v>
      </c>
      <c r="J19" s="3">
        <v>5</v>
      </c>
      <c r="K19" s="3">
        <v>0</v>
      </c>
      <c r="L19" s="3" t="s">
        <v>301</v>
      </c>
      <c r="M19" s="3" t="s">
        <v>414</v>
      </c>
    </row>
    <row r="20" spans="3:13" x14ac:dyDescent="0.3">
      <c r="C20" s="3" t="s">
        <v>726</v>
      </c>
      <c r="D20" s="14">
        <v>46031</v>
      </c>
      <c r="E20" s="3" t="s">
        <v>710</v>
      </c>
      <c r="F20" s="3">
        <v>2</v>
      </c>
      <c r="G20" s="3">
        <v>290</v>
      </c>
      <c r="H20" s="3">
        <v>15</v>
      </c>
      <c r="I20" s="3">
        <v>290</v>
      </c>
      <c r="J20" s="3">
        <v>100</v>
      </c>
      <c r="K20" s="3">
        <v>190</v>
      </c>
      <c r="L20" s="3" t="s">
        <v>445</v>
      </c>
      <c r="M20" s="3" t="s">
        <v>274</v>
      </c>
    </row>
    <row r="21" spans="3:13" x14ac:dyDescent="0.3">
      <c r="C21" s="3" t="s">
        <v>734</v>
      </c>
      <c r="D21" s="14">
        <v>46031</v>
      </c>
      <c r="E21" s="3" t="s">
        <v>283</v>
      </c>
      <c r="F21" s="3">
        <v>2</v>
      </c>
      <c r="G21" s="3">
        <v>180</v>
      </c>
      <c r="H21" s="3">
        <v>10</v>
      </c>
      <c r="I21" s="3">
        <v>180</v>
      </c>
      <c r="J21" s="3">
        <v>140</v>
      </c>
      <c r="K21" s="3">
        <v>40</v>
      </c>
      <c r="L21" s="3" t="s">
        <v>301</v>
      </c>
      <c r="M21" s="3" t="s">
        <v>274</v>
      </c>
    </row>
    <row r="22" spans="3:13" x14ac:dyDescent="0.3">
      <c r="C22" s="3" t="s">
        <v>771</v>
      </c>
      <c r="D22" s="14">
        <v>46032</v>
      </c>
      <c r="E22" s="3" t="s">
        <v>752</v>
      </c>
      <c r="F22" s="3">
        <v>2</v>
      </c>
      <c r="G22" s="3">
        <v>140</v>
      </c>
      <c r="H22" s="3">
        <v>10</v>
      </c>
      <c r="I22" s="3">
        <v>140</v>
      </c>
      <c r="J22" s="3">
        <v>20</v>
      </c>
      <c r="K22" s="3">
        <v>120</v>
      </c>
      <c r="L22" s="3" t="s">
        <v>301</v>
      </c>
      <c r="M22" s="3" t="s">
        <v>274</v>
      </c>
    </row>
    <row r="23" spans="3:13" x14ac:dyDescent="0.3">
      <c r="C23" s="3" t="s">
        <v>822</v>
      </c>
      <c r="D23" s="14">
        <v>46035</v>
      </c>
      <c r="E23" s="3" t="s">
        <v>808</v>
      </c>
      <c r="F23" s="3">
        <v>3</v>
      </c>
      <c r="G23" s="3">
        <v>120</v>
      </c>
      <c r="H23" s="3">
        <v>5</v>
      </c>
      <c r="I23" s="3">
        <v>120</v>
      </c>
      <c r="J23" s="3">
        <v>60</v>
      </c>
      <c r="K23" s="3">
        <v>60</v>
      </c>
      <c r="L23" s="3" t="s">
        <v>445</v>
      </c>
      <c r="M23" s="3" t="s">
        <v>274</v>
      </c>
    </row>
    <row r="24" spans="3:13" x14ac:dyDescent="0.3">
      <c r="C24" s="3" t="s">
        <v>839</v>
      </c>
      <c r="D24" s="14">
        <v>46035</v>
      </c>
      <c r="E24" s="3" t="s">
        <v>826</v>
      </c>
      <c r="F24" s="3">
        <v>3</v>
      </c>
      <c r="G24" s="3">
        <v>190</v>
      </c>
      <c r="H24" s="3">
        <v>0</v>
      </c>
      <c r="I24" s="3">
        <v>190</v>
      </c>
      <c r="J24" s="3">
        <v>100</v>
      </c>
      <c r="K24" s="3">
        <v>90</v>
      </c>
      <c r="L24" s="3" t="s">
        <v>301</v>
      </c>
      <c r="M24" s="3" t="s">
        <v>274</v>
      </c>
    </row>
    <row r="25" spans="3:13" x14ac:dyDescent="0.3">
      <c r="C25" s="3" t="s">
        <v>857</v>
      </c>
      <c r="D25" s="14">
        <v>46035</v>
      </c>
      <c r="E25" s="3" t="s">
        <v>844</v>
      </c>
      <c r="F25" s="3">
        <v>2</v>
      </c>
      <c r="G25" s="3">
        <v>266</v>
      </c>
      <c r="H25" s="3">
        <v>14</v>
      </c>
      <c r="I25" s="3">
        <v>266</v>
      </c>
      <c r="J25" s="3">
        <v>150</v>
      </c>
      <c r="K25" s="3">
        <v>116</v>
      </c>
      <c r="L25" s="3" t="s">
        <v>445</v>
      </c>
      <c r="M25" s="3" t="s">
        <v>274</v>
      </c>
    </row>
    <row r="26" spans="3:13" x14ac:dyDescent="0.3">
      <c r="C26" s="3" t="s">
        <v>875</v>
      </c>
      <c r="D26" s="14">
        <v>46035</v>
      </c>
      <c r="E26" s="3" t="s">
        <v>861</v>
      </c>
      <c r="F26" s="3">
        <v>1</v>
      </c>
      <c r="G26" s="3">
        <v>175</v>
      </c>
      <c r="H26" s="3">
        <v>10</v>
      </c>
      <c r="I26" s="3">
        <v>175</v>
      </c>
      <c r="J26" s="3">
        <v>60</v>
      </c>
      <c r="K26" s="3">
        <v>115</v>
      </c>
      <c r="L26" s="3" t="s">
        <v>301</v>
      </c>
      <c r="M26" s="3" t="s">
        <v>274</v>
      </c>
    </row>
    <row r="27" spans="3:13" x14ac:dyDescent="0.3">
      <c r="C27" s="3" t="s">
        <v>901</v>
      </c>
      <c r="D27" s="14">
        <v>46035</v>
      </c>
      <c r="E27" s="3" t="s">
        <v>887</v>
      </c>
      <c r="F27" s="3">
        <v>2</v>
      </c>
      <c r="G27" s="3">
        <v>130</v>
      </c>
      <c r="H27" s="3">
        <v>20</v>
      </c>
      <c r="I27" s="3">
        <v>130</v>
      </c>
      <c r="J27" s="3">
        <v>60</v>
      </c>
      <c r="K27" s="3">
        <v>70</v>
      </c>
      <c r="L27" s="3" t="s">
        <v>301</v>
      </c>
      <c r="M27" s="3" t="s">
        <v>274</v>
      </c>
    </row>
    <row r="28" spans="3:13" x14ac:dyDescent="0.3">
      <c r="C28" s="3" t="s">
        <v>919</v>
      </c>
      <c r="D28" s="14">
        <v>46035</v>
      </c>
      <c r="E28" s="3" t="s">
        <v>904</v>
      </c>
      <c r="F28" s="3">
        <v>2</v>
      </c>
      <c r="G28" s="3">
        <v>270</v>
      </c>
      <c r="H28" s="3">
        <v>30</v>
      </c>
      <c r="I28" s="3">
        <v>270</v>
      </c>
      <c r="J28" s="3">
        <v>70</v>
      </c>
      <c r="K28" s="3">
        <v>200</v>
      </c>
      <c r="L28" s="3" t="s">
        <v>301</v>
      </c>
      <c r="M28" s="3" t="s">
        <v>274</v>
      </c>
    </row>
    <row r="29" spans="3:13" x14ac:dyDescent="0.3">
      <c r="C29" s="3" t="s">
        <v>935</v>
      </c>
      <c r="D29" s="14">
        <v>46036</v>
      </c>
      <c r="E29" s="3" t="s">
        <v>793</v>
      </c>
      <c r="F29" s="3">
        <v>1</v>
      </c>
      <c r="G29" s="3">
        <v>250</v>
      </c>
      <c r="H29" s="3">
        <v>0</v>
      </c>
      <c r="I29" s="3">
        <v>250</v>
      </c>
      <c r="J29" s="3">
        <v>50</v>
      </c>
      <c r="K29" s="3">
        <v>200</v>
      </c>
      <c r="L29" s="3" t="s">
        <v>301</v>
      </c>
      <c r="M29" s="3" t="s">
        <v>274</v>
      </c>
    </row>
    <row r="30" spans="3:13" x14ac:dyDescent="0.3">
      <c r="C30" s="3" t="s">
        <v>979</v>
      </c>
      <c r="D30" s="14">
        <v>46038</v>
      </c>
      <c r="E30" s="3" t="s">
        <v>968</v>
      </c>
      <c r="F30" s="3">
        <v>2</v>
      </c>
      <c r="G30" s="3">
        <v>135</v>
      </c>
      <c r="H30" s="3">
        <v>0</v>
      </c>
      <c r="I30" s="3">
        <v>135</v>
      </c>
      <c r="J30" s="3">
        <v>40</v>
      </c>
      <c r="K30" s="3">
        <v>95</v>
      </c>
      <c r="L30" s="3" t="s">
        <v>301</v>
      </c>
      <c r="M30" s="3" t="s">
        <v>274</v>
      </c>
    </row>
    <row r="31" spans="3:13" x14ac:dyDescent="0.3">
      <c r="C31" s="3" t="s">
        <v>1005</v>
      </c>
      <c r="D31" s="14">
        <v>46038</v>
      </c>
      <c r="E31" s="3" t="s">
        <v>985</v>
      </c>
      <c r="F31" s="3">
        <v>5</v>
      </c>
      <c r="G31" s="3">
        <v>165</v>
      </c>
      <c r="H31" s="3">
        <v>25</v>
      </c>
      <c r="I31" s="3">
        <v>165</v>
      </c>
      <c r="J31" s="3">
        <v>40</v>
      </c>
      <c r="K31" s="3">
        <v>125</v>
      </c>
      <c r="L31" s="3" t="s">
        <v>301</v>
      </c>
      <c r="M31" s="3" t="s">
        <v>274</v>
      </c>
    </row>
    <row r="32" spans="3:13" x14ac:dyDescent="0.3">
      <c r="C32" s="3" t="s">
        <v>1026</v>
      </c>
      <c r="D32" s="14">
        <v>46038</v>
      </c>
      <c r="E32" s="3" t="s">
        <v>1011</v>
      </c>
      <c r="F32" s="3">
        <v>1</v>
      </c>
      <c r="G32" s="3">
        <v>310</v>
      </c>
      <c r="H32" s="3">
        <v>0</v>
      </c>
      <c r="I32" s="3">
        <v>310</v>
      </c>
      <c r="J32" s="3">
        <v>40</v>
      </c>
      <c r="K32" s="3">
        <v>270</v>
      </c>
      <c r="L32" s="3" t="s">
        <v>301</v>
      </c>
      <c r="M32" s="3" t="s">
        <v>274</v>
      </c>
    </row>
    <row r="33" spans="3:13" x14ac:dyDescent="0.3">
      <c r="C33" s="3" t="s">
        <v>1048</v>
      </c>
      <c r="D33" s="14">
        <v>46039</v>
      </c>
      <c r="E33" s="3" t="s">
        <v>1034</v>
      </c>
      <c r="F33" s="3">
        <v>3</v>
      </c>
      <c r="G33" s="3">
        <v>180</v>
      </c>
      <c r="H33" s="3">
        <v>0</v>
      </c>
      <c r="I33" s="3">
        <v>180</v>
      </c>
      <c r="J33" s="3">
        <v>180</v>
      </c>
      <c r="K33" s="3">
        <v>0</v>
      </c>
      <c r="L33" s="3" t="s">
        <v>445</v>
      </c>
      <c r="M33" s="3" t="s">
        <v>414</v>
      </c>
    </row>
    <row r="34" spans="3:13" x14ac:dyDescent="0.3">
      <c r="C34" s="3" t="s">
        <v>1076</v>
      </c>
      <c r="D34" s="14">
        <v>46039</v>
      </c>
      <c r="E34" s="3" t="s">
        <v>1051</v>
      </c>
      <c r="F34" s="3">
        <v>2</v>
      </c>
      <c r="G34" s="3">
        <v>260</v>
      </c>
      <c r="H34" s="3">
        <v>10</v>
      </c>
      <c r="I34" s="3">
        <v>260</v>
      </c>
      <c r="J34" s="3">
        <v>260</v>
      </c>
      <c r="K34" s="3">
        <v>0</v>
      </c>
      <c r="L34" s="3" t="s">
        <v>1077</v>
      </c>
      <c r="M34" s="3" t="s">
        <v>414</v>
      </c>
    </row>
    <row r="35" spans="3:13" x14ac:dyDescent="0.3">
      <c r="C35" s="3" t="s">
        <v>1101</v>
      </c>
      <c r="D35" s="14">
        <v>46041</v>
      </c>
      <c r="E35" s="3" t="s">
        <v>1084</v>
      </c>
      <c r="F35" s="3">
        <v>2</v>
      </c>
      <c r="G35" s="3">
        <v>130</v>
      </c>
      <c r="H35" s="3">
        <v>60</v>
      </c>
      <c r="I35" s="3">
        <v>130</v>
      </c>
      <c r="J35" s="3">
        <v>0</v>
      </c>
      <c r="K35" s="3">
        <v>130</v>
      </c>
      <c r="L35" s="3" t="s">
        <v>301</v>
      </c>
      <c r="M35" s="3" t="s">
        <v>274</v>
      </c>
    </row>
    <row r="36" spans="3:13" x14ac:dyDescent="0.3">
      <c r="C36" s="3" t="s">
        <v>1115</v>
      </c>
      <c r="D36" s="14">
        <v>46041</v>
      </c>
      <c r="E36" s="3" t="s">
        <v>1106</v>
      </c>
      <c r="F36" s="3">
        <v>2</v>
      </c>
      <c r="G36" s="3">
        <v>120</v>
      </c>
      <c r="H36" s="3">
        <v>15</v>
      </c>
      <c r="I36" s="3">
        <v>120</v>
      </c>
      <c r="J36" s="3">
        <v>40</v>
      </c>
      <c r="K36" s="3">
        <v>80</v>
      </c>
      <c r="L36" s="3" t="s">
        <v>301</v>
      </c>
      <c r="M36" s="3" t="s">
        <v>274</v>
      </c>
    </row>
    <row r="37" spans="3:13" x14ac:dyDescent="0.3">
      <c r="C37" s="3" t="s">
        <v>1148</v>
      </c>
      <c r="D37" s="14">
        <v>46043</v>
      </c>
      <c r="E37" s="3" t="s">
        <v>1139</v>
      </c>
      <c r="F37" s="3">
        <v>2</v>
      </c>
      <c r="G37" s="3">
        <v>130</v>
      </c>
      <c r="H37" s="3">
        <v>0</v>
      </c>
      <c r="I37" s="3">
        <v>130</v>
      </c>
      <c r="J37" s="3">
        <v>40</v>
      </c>
      <c r="K37" s="3">
        <v>90</v>
      </c>
      <c r="L37" s="3" t="s">
        <v>301</v>
      </c>
      <c r="M37" s="3" t="s">
        <v>274</v>
      </c>
    </row>
    <row r="38" spans="3:13" x14ac:dyDescent="0.3">
      <c r="C38" s="3" t="s">
        <v>1163</v>
      </c>
      <c r="D38" s="14">
        <v>46043</v>
      </c>
      <c r="E38" s="3" t="s">
        <v>1153</v>
      </c>
      <c r="F38" s="3">
        <v>3</v>
      </c>
      <c r="G38" s="3">
        <v>110</v>
      </c>
      <c r="H38" s="3">
        <v>0</v>
      </c>
      <c r="I38" s="3">
        <v>110</v>
      </c>
      <c r="J38" s="3">
        <v>60</v>
      </c>
      <c r="K38" s="3">
        <v>50</v>
      </c>
      <c r="L38" s="3" t="s">
        <v>301</v>
      </c>
      <c r="M38" s="3" t="s">
        <v>274</v>
      </c>
    </row>
    <row r="39" spans="3:13" x14ac:dyDescent="0.3">
      <c r="C39" s="3" t="s">
        <v>1181</v>
      </c>
      <c r="D39" s="14">
        <v>46044</v>
      </c>
      <c r="E39" s="3" t="s">
        <v>1170</v>
      </c>
      <c r="F39" s="3">
        <v>2</v>
      </c>
      <c r="G39" s="3">
        <v>345</v>
      </c>
      <c r="H39" s="3">
        <v>15</v>
      </c>
      <c r="I39" s="3">
        <v>345</v>
      </c>
      <c r="J39" s="3">
        <v>345</v>
      </c>
      <c r="K39" s="3">
        <v>0</v>
      </c>
      <c r="L39" s="3" t="s">
        <v>1077</v>
      </c>
      <c r="M39" s="3" t="s">
        <v>414</v>
      </c>
    </row>
    <row r="40" spans="3:13" x14ac:dyDescent="0.3">
      <c r="C40" s="3" t="s">
        <v>1199</v>
      </c>
      <c r="D40" s="14">
        <v>46045</v>
      </c>
      <c r="E40" s="3" t="s">
        <v>1187</v>
      </c>
      <c r="F40" s="3">
        <v>1</v>
      </c>
      <c r="G40" s="3">
        <v>150</v>
      </c>
      <c r="H40" s="3">
        <v>5</v>
      </c>
      <c r="I40" s="3">
        <v>150</v>
      </c>
      <c r="J40" s="3">
        <v>50</v>
      </c>
      <c r="K40" s="3">
        <v>100</v>
      </c>
      <c r="L40" s="3" t="s">
        <v>445</v>
      </c>
      <c r="M40" s="3" t="s">
        <v>274</v>
      </c>
    </row>
    <row r="41" spans="3:13" x14ac:dyDescent="0.3">
      <c r="C41" s="3" t="s">
        <v>1236</v>
      </c>
      <c r="D41" s="14">
        <v>46045</v>
      </c>
      <c r="E41" s="3" t="s">
        <v>1220</v>
      </c>
      <c r="F41" s="3">
        <v>2</v>
      </c>
      <c r="G41" s="3">
        <v>155</v>
      </c>
      <c r="H41" s="3">
        <v>0</v>
      </c>
      <c r="I41" s="3">
        <v>155</v>
      </c>
      <c r="J41" s="3">
        <v>0</v>
      </c>
      <c r="K41" s="3">
        <v>155</v>
      </c>
      <c r="L41" s="3" t="s">
        <v>301</v>
      </c>
      <c r="M41" s="3" t="s">
        <v>274</v>
      </c>
    </row>
    <row r="42" spans="3:13" x14ac:dyDescent="0.3">
      <c r="C42" s="3" t="s">
        <v>1255</v>
      </c>
      <c r="D42" s="14">
        <v>46045</v>
      </c>
      <c r="E42" s="3" t="s">
        <v>1241</v>
      </c>
      <c r="F42" s="3">
        <v>2</v>
      </c>
      <c r="G42" s="3">
        <v>110</v>
      </c>
      <c r="H42" s="3">
        <v>10</v>
      </c>
      <c r="I42" s="3">
        <v>110</v>
      </c>
      <c r="J42" s="3">
        <v>50</v>
      </c>
      <c r="K42" s="3">
        <v>60</v>
      </c>
      <c r="L42" s="3" t="s">
        <v>301</v>
      </c>
      <c r="M42" s="3" t="s">
        <v>274</v>
      </c>
    </row>
    <row r="43" spans="3:13" x14ac:dyDescent="0.3">
      <c r="C43" s="3" t="s">
        <v>1273</v>
      </c>
      <c r="D43" s="14">
        <v>46048</v>
      </c>
      <c r="E43" s="3" t="s">
        <v>1263</v>
      </c>
      <c r="F43" s="3">
        <v>2</v>
      </c>
      <c r="G43" s="3">
        <v>119.6</v>
      </c>
      <c r="H43" s="3">
        <v>10.4</v>
      </c>
      <c r="I43" s="3">
        <v>119.6</v>
      </c>
      <c r="J43" s="3">
        <v>40</v>
      </c>
      <c r="K43" s="3">
        <v>79.599999999999994</v>
      </c>
      <c r="L43" s="3" t="s">
        <v>301</v>
      </c>
      <c r="M43" s="3" t="s">
        <v>274</v>
      </c>
    </row>
    <row r="44" spans="3:13" x14ac:dyDescent="0.3">
      <c r="C44" s="3" t="s">
        <v>1285</v>
      </c>
      <c r="D44" s="14">
        <v>46049</v>
      </c>
      <c r="E44" s="3" t="s">
        <v>1278</v>
      </c>
      <c r="F44" s="3">
        <v>4</v>
      </c>
      <c r="G44" s="3">
        <v>45</v>
      </c>
      <c r="H44" s="3">
        <v>25</v>
      </c>
      <c r="I44" s="3">
        <v>45</v>
      </c>
      <c r="J44" s="3">
        <v>45</v>
      </c>
      <c r="K44" s="3">
        <v>0</v>
      </c>
      <c r="L44" s="3" t="s">
        <v>301</v>
      </c>
      <c r="M44" s="3" t="s">
        <v>414</v>
      </c>
    </row>
    <row r="45" spans="3:13" x14ac:dyDescent="0.3">
      <c r="C45" s="3" t="s">
        <v>1357</v>
      </c>
      <c r="D45" s="14">
        <v>46052</v>
      </c>
      <c r="E45" s="3" t="s">
        <v>1320</v>
      </c>
      <c r="F45" s="3">
        <v>2</v>
      </c>
      <c r="G45" s="3">
        <v>45</v>
      </c>
      <c r="H45" s="3">
        <v>25</v>
      </c>
      <c r="I45" s="3">
        <v>45</v>
      </c>
      <c r="J45" s="3">
        <v>25</v>
      </c>
      <c r="K45" s="3">
        <v>20</v>
      </c>
      <c r="L45" s="3" t="s">
        <v>301</v>
      </c>
      <c r="M45" s="3" t="s">
        <v>274</v>
      </c>
    </row>
    <row r="46" spans="3:13" x14ac:dyDescent="0.3">
      <c r="C46" s="3" t="s">
        <v>1368</v>
      </c>
      <c r="D46" s="14">
        <v>46052</v>
      </c>
      <c r="E46" s="3" t="s">
        <v>1351</v>
      </c>
      <c r="F46" s="3">
        <v>2</v>
      </c>
      <c r="G46" s="3">
        <v>170</v>
      </c>
      <c r="H46" s="3">
        <v>10</v>
      </c>
      <c r="I46" s="3">
        <v>170</v>
      </c>
      <c r="J46" s="3">
        <v>170</v>
      </c>
      <c r="K46" s="3">
        <v>0</v>
      </c>
      <c r="L46" s="3" t="s">
        <v>301</v>
      </c>
      <c r="M46" s="3" t="s">
        <v>414</v>
      </c>
    </row>
    <row r="47" spans="3:13" x14ac:dyDescent="0.3">
      <c r="C47" s="3" t="s">
        <v>1393</v>
      </c>
      <c r="D47" s="14">
        <v>46055</v>
      </c>
      <c r="E47" s="3" t="s">
        <v>1384</v>
      </c>
      <c r="F47" s="3">
        <v>3</v>
      </c>
      <c r="G47" s="3">
        <v>140</v>
      </c>
      <c r="H47" s="3">
        <v>30</v>
      </c>
      <c r="I47" s="3">
        <v>140</v>
      </c>
      <c r="J47" s="3">
        <v>70</v>
      </c>
      <c r="K47" s="3">
        <v>70</v>
      </c>
      <c r="L47" s="3" t="s">
        <v>445</v>
      </c>
      <c r="M47" s="3" t="s">
        <v>274</v>
      </c>
    </row>
    <row r="48" spans="3:13" x14ac:dyDescent="0.3">
      <c r="C48" s="3" t="s">
        <v>1427</v>
      </c>
      <c r="D48" s="14">
        <v>46057</v>
      </c>
      <c r="E48" s="3" t="s">
        <v>1415</v>
      </c>
      <c r="F48" s="3">
        <v>3</v>
      </c>
      <c r="G48" s="3">
        <v>40</v>
      </c>
      <c r="H48" s="3">
        <v>25</v>
      </c>
      <c r="I48" s="3">
        <v>40</v>
      </c>
      <c r="J48" s="3">
        <v>40</v>
      </c>
      <c r="K48" s="3">
        <v>0</v>
      </c>
      <c r="L48" s="3" t="s">
        <v>301</v>
      </c>
      <c r="M48" s="3" t="s">
        <v>414</v>
      </c>
    </row>
    <row r="49" spans="3:13" x14ac:dyDescent="0.3">
      <c r="C49" s="3" t="s">
        <v>1447</v>
      </c>
      <c r="D49" s="14">
        <v>46058</v>
      </c>
      <c r="E49" s="3"/>
      <c r="F49" s="3">
        <v>3</v>
      </c>
      <c r="G49" s="3">
        <v>180</v>
      </c>
      <c r="H49" s="3">
        <v>5</v>
      </c>
      <c r="I49" s="3">
        <v>180</v>
      </c>
      <c r="J49" s="3">
        <v>50</v>
      </c>
      <c r="K49" s="3">
        <v>130</v>
      </c>
      <c r="L49" s="3" t="s">
        <v>445</v>
      </c>
      <c r="M49" s="3" t="s">
        <v>274</v>
      </c>
    </row>
    <row r="50" spans="3:13" x14ac:dyDescent="0.3">
      <c r="C50" s="3" t="s">
        <v>1468</v>
      </c>
      <c r="D50" s="14">
        <v>46058</v>
      </c>
      <c r="E50" s="3" t="s">
        <v>1457</v>
      </c>
      <c r="F50" s="3">
        <v>1</v>
      </c>
      <c r="G50" s="3">
        <v>100</v>
      </c>
      <c r="H50" s="3">
        <v>50</v>
      </c>
      <c r="I50" s="3">
        <v>100</v>
      </c>
      <c r="J50" s="3">
        <v>100</v>
      </c>
      <c r="K50" s="3">
        <v>0</v>
      </c>
      <c r="L50" s="3" t="s">
        <v>445</v>
      </c>
      <c r="M50" s="3" t="s">
        <v>414</v>
      </c>
    </row>
    <row r="51" spans="3:13" x14ac:dyDescent="0.3">
      <c r="C51" s="3" t="s">
        <v>1480</v>
      </c>
      <c r="D51" s="14">
        <v>46058</v>
      </c>
      <c r="E51" s="3" t="s">
        <v>1474</v>
      </c>
      <c r="F51" s="3">
        <v>1</v>
      </c>
      <c r="G51" s="3">
        <v>12</v>
      </c>
      <c r="H51" s="3">
        <v>0</v>
      </c>
      <c r="I51" s="3">
        <v>12</v>
      </c>
      <c r="J51" s="3">
        <v>0</v>
      </c>
      <c r="K51" s="3">
        <v>12</v>
      </c>
      <c r="L51" s="3" t="s">
        <v>301</v>
      </c>
      <c r="M51" s="3" t="s">
        <v>274</v>
      </c>
    </row>
    <row r="52" spans="3:13" x14ac:dyDescent="0.3">
      <c r="C52" s="3" t="s">
        <v>1501</v>
      </c>
      <c r="D52" s="14">
        <v>46058</v>
      </c>
      <c r="E52" s="3" t="s">
        <v>1486</v>
      </c>
      <c r="F52" s="3">
        <v>1</v>
      </c>
      <c r="G52" s="3">
        <v>55</v>
      </c>
      <c r="H52" s="3">
        <v>0</v>
      </c>
      <c r="I52" s="3">
        <v>55</v>
      </c>
      <c r="J52" s="3">
        <v>55</v>
      </c>
      <c r="K52" s="3">
        <v>0</v>
      </c>
      <c r="L52" s="3" t="s">
        <v>445</v>
      </c>
      <c r="M52" s="3" t="s">
        <v>414</v>
      </c>
    </row>
    <row r="53" spans="3:13" x14ac:dyDescent="0.3">
      <c r="C53" s="3" t="s">
        <v>1537</v>
      </c>
      <c r="D53" s="14">
        <v>46060</v>
      </c>
      <c r="E53" s="3" t="s">
        <v>1529</v>
      </c>
      <c r="F53" s="3">
        <v>2</v>
      </c>
      <c r="G53" s="3">
        <v>50</v>
      </c>
      <c r="H53" s="3">
        <v>20</v>
      </c>
      <c r="I53" s="3">
        <v>50</v>
      </c>
      <c r="J53" s="3">
        <v>50</v>
      </c>
      <c r="K53" s="3">
        <v>0</v>
      </c>
      <c r="L53" s="3" t="s">
        <v>445</v>
      </c>
      <c r="M53" s="3" t="s">
        <v>414</v>
      </c>
    </row>
    <row r="54" spans="3:13" x14ac:dyDescent="0.3">
      <c r="C54" s="3" t="s">
        <v>1541</v>
      </c>
      <c r="D54" s="14">
        <v>46060</v>
      </c>
      <c r="E54" s="3" t="s">
        <v>1529</v>
      </c>
      <c r="F54" s="3">
        <v>3</v>
      </c>
      <c r="G54" s="3">
        <v>115</v>
      </c>
      <c r="H54" s="3">
        <v>20</v>
      </c>
      <c r="I54" s="3">
        <v>115</v>
      </c>
      <c r="J54" s="3">
        <v>115</v>
      </c>
      <c r="K54" s="3">
        <v>0</v>
      </c>
      <c r="L54" s="3" t="s">
        <v>445</v>
      </c>
      <c r="M54" s="3" t="s">
        <v>414</v>
      </c>
    </row>
    <row r="55" spans="3:13" x14ac:dyDescent="0.3">
      <c r="C55" s="3" t="s">
        <v>1556</v>
      </c>
      <c r="D55" s="14">
        <v>46062</v>
      </c>
      <c r="E55" s="3" t="s">
        <v>1544</v>
      </c>
      <c r="F55" s="3">
        <v>2</v>
      </c>
      <c r="G55" s="3">
        <v>85</v>
      </c>
      <c r="H55" s="3">
        <v>10</v>
      </c>
      <c r="I55" s="3">
        <v>85</v>
      </c>
      <c r="J55" s="3">
        <v>30</v>
      </c>
      <c r="K55" s="3">
        <v>55</v>
      </c>
      <c r="L55" s="3" t="s">
        <v>301</v>
      </c>
      <c r="M55" s="3" t="s">
        <v>274</v>
      </c>
    </row>
    <row r="56" spans="3:13" x14ac:dyDescent="0.3">
      <c r="C56" s="3" t="s">
        <v>1566</v>
      </c>
      <c r="D56" s="14">
        <v>46062</v>
      </c>
      <c r="E56" s="3" t="s">
        <v>1548</v>
      </c>
      <c r="F56" s="3">
        <v>3</v>
      </c>
      <c r="G56" s="3">
        <v>60</v>
      </c>
      <c r="H56" s="3">
        <v>25</v>
      </c>
      <c r="I56" s="3">
        <v>60</v>
      </c>
      <c r="J56" s="3">
        <v>0</v>
      </c>
      <c r="K56" s="3">
        <v>60</v>
      </c>
      <c r="L56" s="3" t="s">
        <v>301</v>
      </c>
      <c r="M56" s="3" t="s">
        <v>274</v>
      </c>
    </row>
    <row r="57" spans="3:13" x14ac:dyDescent="0.3">
      <c r="C57" s="3" t="s">
        <v>1616</v>
      </c>
      <c r="D57" s="14">
        <v>46064</v>
      </c>
      <c r="E57" s="3" t="s">
        <v>1593</v>
      </c>
      <c r="F57" s="3">
        <v>5</v>
      </c>
      <c r="G57" s="3">
        <v>270</v>
      </c>
      <c r="H57" s="3">
        <v>25</v>
      </c>
      <c r="I57" s="3">
        <v>270</v>
      </c>
      <c r="J57" s="3">
        <v>200</v>
      </c>
      <c r="K57" s="3">
        <v>70</v>
      </c>
      <c r="L57" s="3" t="s">
        <v>301</v>
      </c>
      <c r="M57" s="3" t="s">
        <v>274</v>
      </c>
    </row>
    <row r="58" spans="3:13" x14ac:dyDescent="0.3">
      <c r="C58" s="3" t="s">
        <v>1634</v>
      </c>
      <c r="D58" s="14">
        <v>46066</v>
      </c>
      <c r="E58" s="3" t="s">
        <v>1626</v>
      </c>
      <c r="F58" s="3">
        <v>1</v>
      </c>
      <c r="G58" s="3">
        <v>370</v>
      </c>
      <c r="H58" s="3">
        <v>0</v>
      </c>
      <c r="I58" s="3">
        <v>370</v>
      </c>
      <c r="J58" s="3">
        <v>200</v>
      </c>
      <c r="K58" s="3">
        <v>170</v>
      </c>
      <c r="L58" s="3" t="s">
        <v>445</v>
      </c>
      <c r="M58" s="3" t="s">
        <v>274</v>
      </c>
    </row>
    <row r="59" spans="3:13" x14ac:dyDescent="0.3">
      <c r="C59" s="3" t="s">
        <v>1648</v>
      </c>
      <c r="D59" s="14">
        <v>46066</v>
      </c>
      <c r="E59" s="3" t="s">
        <v>1640</v>
      </c>
      <c r="F59" s="3">
        <v>2</v>
      </c>
      <c r="G59" s="3">
        <v>55</v>
      </c>
      <c r="H59" s="3">
        <v>5</v>
      </c>
      <c r="I59" s="3">
        <v>55</v>
      </c>
      <c r="J59" s="3">
        <v>55</v>
      </c>
      <c r="K59" s="3">
        <v>0</v>
      </c>
      <c r="L59" s="3" t="s">
        <v>301</v>
      </c>
      <c r="M59" s="3" t="s">
        <v>414</v>
      </c>
    </row>
    <row r="60" spans="3:13" x14ac:dyDescent="0.3">
      <c r="C60" s="3" t="s">
        <v>1660</v>
      </c>
      <c r="D60" s="14">
        <v>46066</v>
      </c>
      <c r="E60" s="3" t="s">
        <v>1651</v>
      </c>
      <c r="F60" s="3">
        <v>3</v>
      </c>
      <c r="G60" s="3">
        <v>290</v>
      </c>
      <c r="H60" s="3">
        <v>45</v>
      </c>
      <c r="I60" s="3">
        <v>290</v>
      </c>
      <c r="J60" s="3">
        <v>145</v>
      </c>
      <c r="K60" s="3">
        <v>145</v>
      </c>
      <c r="L60" s="3" t="s">
        <v>301</v>
      </c>
      <c r="M60" s="3" t="s">
        <v>274</v>
      </c>
    </row>
    <row r="61" spans="3:13" x14ac:dyDescent="0.3">
      <c r="C61" s="3" t="s">
        <v>1677</v>
      </c>
      <c r="D61" s="14">
        <v>46070</v>
      </c>
      <c r="E61" s="3" t="s">
        <v>1668</v>
      </c>
      <c r="F61" s="3">
        <v>1</v>
      </c>
      <c r="G61" s="3">
        <v>220</v>
      </c>
      <c r="H61" s="3">
        <v>30</v>
      </c>
      <c r="I61" s="3">
        <v>220</v>
      </c>
      <c r="J61" s="3">
        <v>120</v>
      </c>
      <c r="K61" s="3">
        <v>100</v>
      </c>
      <c r="L61" s="3" t="s">
        <v>301</v>
      </c>
      <c r="M61" s="3" t="s">
        <v>274</v>
      </c>
    </row>
    <row r="62" spans="3:13" x14ac:dyDescent="0.3">
      <c r="C62" s="3" t="s">
        <v>1696</v>
      </c>
      <c r="D62" s="14">
        <v>46070</v>
      </c>
      <c r="E62" s="3" t="s">
        <v>1685</v>
      </c>
      <c r="F62" s="3">
        <v>3</v>
      </c>
      <c r="G62" s="3">
        <v>40</v>
      </c>
      <c r="H62" s="3">
        <v>25</v>
      </c>
      <c r="I62" s="3">
        <v>40</v>
      </c>
      <c r="J62" s="3">
        <v>40</v>
      </c>
      <c r="K62" s="3">
        <v>0</v>
      </c>
      <c r="L62" s="3" t="s">
        <v>301</v>
      </c>
      <c r="M62" s="3" t="s">
        <v>414</v>
      </c>
    </row>
    <row r="63" spans="3:13" x14ac:dyDescent="0.3">
      <c r="C63" s="3" t="s">
        <v>1729</v>
      </c>
      <c r="D63" s="14">
        <v>46070</v>
      </c>
      <c r="E63" s="3" t="s">
        <v>1699</v>
      </c>
      <c r="F63" s="3">
        <v>5</v>
      </c>
      <c r="G63" s="3">
        <v>370</v>
      </c>
      <c r="H63" s="3">
        <v>40</v>
      </c>
      <c r="I63" s="3">
        <v>370</v>
      </c>
      <c r="J63" s="3">
        <v>200</v>
      </c>
      <c r="K63" s="3">
        <v>170</v>
      </c>
      <c r="L63" s="3" t="s">
        <v>445</v>
      </c>
      <c r="M63" s="3" t="s">
        <v>274</v>
      </c>
    </row>
    <row r="64" spans="3:13" x14ac:dyDescent="0.3">
      <c r="C64" s="3" t="s">
        <v>1750</v>
      </c>
      <c r="D64" s="14">
        <v>46071</v>
      </c>
      <c r="E64" s="3" t="s">
        <v>1744</v>
      </c>
      <c r="F64" s="3">
        <v>2</v>
      </c>
      <c r="G64" s="3">
        <v>185</v>
      </c>
      <c r="H64" s="3">
        <v>30</v>
      </c>
      <c r="I64" s="3">
        <v>185</v>
      </c>
      <c r="J64" s="3">
        <v>60</v>
      </c>
      <c r="K64" s="3">
        <v>125</v>
      </c>
      <c r="L64" s="3" t="s">
        <v>301</v>
      </c>
      <c r="M64" s="3" t="s">
        <v>274</v>
      </c>
    </row>
    <row r="65" spans="3:13" x14ac:dyDescent="0.3">
      <c r="C65" s="3" t="s">
        <v>1769</v>
      </c>
      <c r="D65" s="14">
        <v>46071</v>
      </c>
      <c r="E65" s="3" t="s">
        <v>1757</v>
      </c>
      <c r="F65" s="3">
        <v>1</v>
      </c>
      <c r="G65" s="3">
        <v>50</v>
      </c>
      <c r="H65" s="3">
        <v>5</v>
      </c>
      <c r="I65" s="3">
        <v>50</v>
      </c>
      <c r="J65" s="3">
        <v>50</v>
      </c>
      <c r="K65" s="3">
        <v>0</v>
      </c>
      <c r="L65" s="3" t="s">
        <v>445</v>
      </c>
      <c r="M65" s="3" t="s">
        <v>414</v>
      </c>
    </row>
    <row r="66" spans="3:13" x14ac:dyDescent="0.3">
      <c r="C66" s="3" t="s">
        <v>1786</v>
      </c>
      <c r="D66" s="14">
        <v>46071</v>
      </c>
      <c r="E66" s="3" t="s">
        <v>1772</v>
      </c>
      <c r="F66" s="3">
        <v>2</v>
      </c>
      <c r="G66" s="3">
        <v>220</v>
      </c>
      <c r="H66" s="3">
        <v>15</v>
      </c>
      <c r="I66" s="3">
        <v>220</v>
      </c>
      <c r="J66" s="3">
        <v>100</v>
      </c>
      <c r="K66" s="3">
        <v>120</v>
      </c>
      <c r="L66" s="3" t="s">
        <v>445</v>
      </c>
      <c r="M66" s="3" t="s">
        <v>274</v>
      </c>
    </row>
    <row r="67" spans="3:13" x14ac:dyDescent="0.3">
      <c r="C67" s="3" t="s">
        <v>1805</v>
      </c>
      <c r="D67" s="14">
        <v>46072</v>
      </c>
      <c r="E67" s="3" t="s">
        <v>1795</v>
      </c>
      <c r="F67" s="3">
        <v>1</v>
      </c>
      <c r="G67" s="3">
        <v>115</v>
      </c>
      <c r="H67" s="3">
        <v>0</v>
      </c>
      <c r="I67" s="3">
        <v>115</v>
      </c>
      <c r="J67" s="3">
        <v>115</v>
      </c>
      <c r="K67" s="3">
        <v>0</v>
      </c>
      <c r="L67" s="3" t="s">
        <v>445</v>
      </c>
      <c r="M67" s="3" t="s">
        <v>414</v>
      </c>
    </row>
    <row r="68" spans="3:13" x14ac:dyDescent="0.3">
      <c r="C68" s="3" t="s">
        <v>1819</v>
      </c>
      <c r="D68" s="14">
        <v>46072</v>
      </c>
      <c r="E68" s="3" t="s">
        <v>1810</v>
      </c>
      <c r="F68" s="3">
        <v>2</v>
      </c>
      <c r="G68" s="3">
        <v>190</v>
      </c>
      <c r="H68" s="3">
        <v>0</v>
      </c>
      <c r="I68" s="3">
        <v>190</v>
      </c>
      <c r="J68" s="3">
        <v>0</v>
      </c>
      <c r="K68" s="3">
        <v>190</v>
      </c>
      <c r="L68" s="3" t="s">
        <v>301</v>
      </c>
      <c r="M68" s="3" t="s">
        <v>274</v>
      </c>
    </row>
    <row r="69" spans="3:13" x14ac:dyDescent="0.3">
      <c r="C69" s="3" t="s">
        <v>1834</v>
      </c>
      <c r="D69" s="14">
        <v>46073</v>
      </c>
      <c r="E69" s="3" t="s">
        <v>1824</v>
      </c>
      <c r="F69" s="3">
        <v>2</v>
      </c>
      <c r="G69" s="3">
        <v>140</v>
      </c>
      <c r="H69" s="3">
        <v>0</v>
      </c>
      <c r="I69" s="3">
        <v>140</v>
      </c>
      <c r="J69" s="3">
        <v>140</v>
      </c>
      <c r="K69" s="3">
        <v>0</v>
      </c>
      <c r="L69" s="3" t="s">
        <v>1077</v>
      </c>
      <c r="M69" s="3" t="s">
        <v>414</v>
      </c>
    </row>
    <row r="70" spans="3:13" x14ac:dyDescent="0.3">
      <c r="C70" s="3" t="s">
        <v>1860</v>
      </c>
      <c r="D70" s="14">
        <v>46076</v>
      </c>
      <c r="E70" s="3" t="s">
        <v>1851</v>
      </c>
      <c r="F70" s="3">
        <v>1</v>
      </c>
      <c r="G70" s="3">
        <v>300</v>
      </c>
      <c r="H70" s="3">
        <v>0</v>
      </c>
      <c r="I70" s="3">
        <v>300</v>
      </c>
      <c r="J70" s="3">
        <v>150</v>
      </c>
      <c r="K70" s="3">
        <v>150</v>
      </c>
      <c r="L70" s="3" t="s">
        <v>1861</v>
      </c>
      <c r="M70" s="3" t="s">
        <v>274</v>
      </c>
    </row>
    <row r="71" spans="3:13" x14ac:dyDescent="0.3">
      <c r="C71" s="3" t="s">
        <v>1866</v>
      </c>
      <c r="D71" s="14">
        <v>46076</v>
      </c>
      <c r="E71" s="3" t="s">
        <v>1846</v>
      </c>
      <c r="F71" s="3">
        <v>4</v>
      </c>
      <c r="G71" s="3">
        <v>190</v>
      </c>
      <c r="H71" s="3">
        <v>15</v>
      </c>
      <c r="I71" s="3">
        <v>190</v>
      </c>
      <c r="J71" s="3">
        <v>100</v>
      </c>
      <c r="K71" s="3">
        <v>90</v>
      </c>
      <c r="L71" s="3" t="s">
        <v>301</v>
      </c>
      <c r="M71" s="3" t="s">
        <v>274</v>
      </c>
    </row>
    <row r="72" spans="3:13" x14ac:dyDescent="0.3">
      <c r="C72" s="3" t="s">
        <v>1886</v>
      </c>
      <c r="D72" s="14">
        <v>46076</v>
      </c>
      <c r="E72" s="3" t="s">
        <v>1875</v>
      </c>
      <c r="F72" s="3">
        <v>1</v>
      </c>
      <c r="G72" s="3">
        <v>65</v>
      </c>
      <c r="H72" s="3">
        <v>0</v>
      </c>
      <c r="I72" s="3">
        <v>65</v>
      </c>
      <c r="J72" s="3">
        <v>0</v>
      </c>
      <c r="K72" s="3">
        <v>65</v>
      </c>
      <c r="L72" s="3" t="s">
        <v>445</v>
      </c>
      <c r="M72" s="3" t="s">
        <v>274</v>
      </c>
    </row>
    <row r="73" spans="3:13" x14ac:dyDescent="0.3">
      <c r="C73" s="3" t="s">
        <v>1889</v>
      </c>
      <c r="D73" s="14">
        <v>46076</v>
      </c>
      <c r="E73" s="3" t="s">
        <v>1869</v>
      </c>
      <c r="F73" s="3">
        <v>1</v>
      </c>
      <c r="G73" s="3">
        <v>185</v>
      </c>
      <c r="H73" s="3">
        <v>0</v>
      </c>
      <c r="I73" s="3">
        <v>185</v>
      </c>
      <c r="J73" s="3">
        <v>100</v>
      </c>
      <c r="K73" s="3">
        <v>85</v>
      </c>
      <c r="L73" s="3" t="s">
        <v>445</v>
      </c>
      <c r="M73" s="3" t="s">
        <v>274</v>
      </c>
    </row>
    <row r="74" spans="3:13" x14ac:dyDescent="0.3">
      <c r="C74" s="3" t="s">
        <v>1897</v>
      </c>
      <c r="D74" s="14">
        <v>46076</v>
      </c>
      <c r="E74" s="3" t="s">
        <v>1881</v>
      </c>
      <c r="F74" s="3">
        <v>2</v>
      </c>
      <c r="G74" s="3">
        <v>95</v>
      </c>
      <c r="H74" s="3">
        <v>15</v>
      </c>
      <c r="I74" s="3">
        <v>95</v>
      </c>
      <c r="J74" s="3">
        <v>60</v>
      </c>
      <c r="K74" s="3">
        <v>35</v>
      </c>
      <c r="L74" s="3" t="s">
        <v>301</v>
      </c>
      <c r="M74" s="3" t="s">
        <v>274</v>
      </c>
    </row>
    <row r="75" spans="3:13" x14ac:dyDescent="0.3">
      <c r="C75" s="3" t="s">
        <v>1946</v>
      </c>
      <c r="D75" s="14">
        <v>46077</v>
      </c>
      <c r="E75" s="3" t="s">
        <v>1935</v>
      </c>
      <c r="F75" s="3">
        <v>2</v>
      </c>
      <c r="G75" s="3">
        <v>285</v>
      </c>
      <c r="H75" s="3">
        <v>15</v>
      </c>
      <c r="I75" s="3">
        <v>285</v>
      </c>
      <c r="J75" s="3">
        <v>150</v>
      </c>
      <c r="K75" s="3">
        <v>135</v>
      </c>
      <c r="L75" s="3" t="s">
        <v>445</v>
      </c>
      <c r="M75" s="3" t="s">
        <v>274</v>
      </c>
    </row>
    <row r="76" spans="3:13" x14ac:dyDescent="0.3">
      <c r="C76" s="3" t="s">
        <v>1957</v>
      </c>
      <c r="D76" s="14">
        <v>46077</v>
      </c>
      <c r="E76" s="3" t="s">
        <v>1950</v>
      </c>
      <c r="F76" s="3">
        <v>2</v>
      </c>
      <c r="G76" s="3">
        <v>270</v>
      </c>
      <c r="H76" s="3">
        <v>0</v>
      </c>
      <c r="I76" s="3">
        <v>270</v>
      </c>
      <c r="J76" s="3">
        <v>270</v>
      </c>
      <c r="K76" s="3">
        <v>0</v>
      </c>
      <c r="L76" s="3" t="s">
        <v>1077</v>
      </c>
      <c r="M76" s="3" t="s">
        <v>414</v>
      </c>
    </row>
    <row r="77" spans="3:13" x14ac:dyDescent="0.3">
      <c r="C77" s="3" t="s">
        <v>1975</v>
      </c>
      <c r="D77" s="14">
        <v>46078</v>
      </c>
      <c r="E77" s="3" t="s">
        <v>1970</v>
      </c>
      <c r="F77" s="3">
        <v>2</v>
      </c>
      <c r="G77" s="3">
        <v>60</v>
      </c>
      <c r="H77" s="3">
        <v>0</v>
      </c>
      <c r="I77" s="3">
        <v>60</v>
      </c>
      <c r="J77" s="3">
        <v>25</v>
      </c>
      <c r="K77" s="3">
        <v>35</v>
      </c>
      <c r="L77" s="3" t="s">
        <v>445</v>
      </c>
      <c r="M77" s="3" t="s">
        <v>274</v>
      </c>
    </row>
    <row r="78" spans="3:13" x14ac:dyDescent="0.3">
      <c r="C78" s="3" t="s">
        <v>1999</v>
      </c>
      <c r="D78" s="14">
        <v>46078</v>
      </c>
      <c r="E78" s="3" t="s">
        <v>1984</v>
      </c>
      <c r="F78" s="3">
        <v>4</v>
      </c>
      <c r="G78" s="3">
        <v>400</v>
      </c>
      <c r="H78" s="3">
        <v>35</v>
      </c>
      <c r="I78" s="3">
        <v>400</v>
      </c>
      <c r="J78" s="3">
        <v>260</v>
      </c>
      <c r="K78" s="3">
        <v>140</v>
      </c>
      <c r="L78" s="3" t="s">
        <v>301</v>
      </c>
      <c r="M78" s="3" t="s">
        <v>274</v>
      </c>
    </row>
    <row r="79" spans="3:13" x14ac:dyDescent="0.3">
      <c r="C79" s="3" t="s">
        <v>2026</v>
      </c>
      <c r="D79" s="14">
        <v>46080</v>
      </c>
      <c r="E79" s="3" t="s">
        <v>1680</v>
      </c>
      <c r="F79" s="3">
        <v>3</v>
      </c>
      <c r="G79" s="3">
        <v>130</v>
      </c>
      <c r="H79" s="3">
        <v>0</v>
      </c>
      <c r="I79" s="3">
        <v>130</v>
      </c>
      <c r="J79" s="3">
        <v>130</v>
      </c>
      <c r="K79" s="3">
        <v>0</v>
      </c>
      <c r="L79" s="3" t="s">
        <v>445</v>
      </c>
      <c r="M79" s="3" t="s">
        <v>414</v>
      </c>
    </row>
    <row r="80" spans="3:13" x14ac:dyDescent="0.3">
      <c r="C80" s="3" t="s">
        <v>2039</v>
      </c>
      <c r="D80" s="14">
        <v>46081</v>
      </c>
      <c r="E80" s="3" t="s">
        <v>2033</v>
      </c>
      <c r="F80" s="3">
        <v>1</v>
      </c>
      <c r="G80" s="3">
        <v>25</v>
      </c>
      <c r="H80" s="3">
        <v>0</v>
      </c>
      <c r="I80" s="3">
        <v>25</v>
      </c>
      <c r="J80" s="3">
        <v>25</v>
      </c>
      <c r="K80" s="3">
        <v>0</v>
      </c>
      <c r="L80" s="3" t="s">
        <v>445</v>
      </c>
      <c r="M80" s="3" t="s">
        <v>414</v>
      </c>
    </row>
    <row r="81" spans="3:13" x14ac:dyDescent="0.3">
      <c r="C81" s="3" t="s">
        <v>2077</v>
      </c>
      <c r="D81" s="14">
        <v>46084</v>
      </c>
      <c r="E81" s="3" t="s">
        <v>2067</v>
      </c>
      <c r="F81" s="3">
        <v>1</v>
      </c>
      <c r="G81" s="3">
        <v>350</v>
      </c>
      <c r="H81" s="3">
        <v>0</v>
      </c>
      <c r="I81" s="3">
        <v>350</v>
      </c>
      <c r="J81" s="3">
        <v>350</v>
      </c>
      <c r="K81" s="3">
        <v>0</v>
      </c>
      <c r="L81" s="3" t="s">
        <v>301</v>
      </c>
      <c r="M81" s="3" t="s">
        <v>414</v>
      </c>
    </row>
    <row r="82" spans="3:13" x14ac:dyDescent="0.3">
      <c r="C82" s="3" t="s">
        <v>2081</v>
      </c>
      <c r="D82" s="14">
        <v>46084</v>
      </c>
      <c r="E82" s="3" t="s">
        <v>2067</v>
      </c>
      <c r="F82" s="3">
        <v>1</v>
      </c>
      <c r="G82" s="3">
        <v>350</v>
      </c>
      <c r="H82" s="3">
        <v>0</v>
      </c>
      <c r="I82" s="3">
        <v>350</v>
      </c>
      <c r="J82" s="3">
        <v>350</v>
      </c>
      <c r="K82" s="3">
        <v>0</v>
      </c>
      <c r="L82" s="3" t="s">
        <v>301</v>
      </c>
      <c r="M82" s="3" t="s">
        <v>414</v>
      </c>
    </row>
    <row r="83" spans="3:13" x14ac:dyDescent="0.3">
      <c r="C83" s="3" t="s">
        <v>2091</v>
      </c>
      <c r="D83" s="14">
        <v>46084</v>
      </c>
      <c r="E83" s="3" t="s">
        <v>2084</v>
      </c>
      <c r="F83" s="3">
        <v>2</v>
      </c>
      <c r="G83" s="3">
        <v>185</v>
      </c>
      <c r="H83" s="3">
        <v>0</v>
      </c>
      <c r="I83" s="3">
        <v>185</v>
      </c>
      <c r="J83" s="3">
        <v>60</v>
      </c>
      <c r="K83" s="3">
        <v>125</v>
      </c>
      <c r="L83" s="3" t="s">
        <v>301</v>
      </c>
      <c r="M83" s="3" t="s">
        <v>274</v>
      </c>
    </row>
    <row r="84" spans="3:13" x14ac:dyDescent="0.3">
      <c r="C84" s="3" t="s">
        <v>2108</v>
      </c>
      <c r="D84" s="14">
        <v>46084</v>
      </c>
      <c r="E84" s="3" t="s">
        <v>2099</v>
      </c>
      <c r="F84" s="3">
        <v>2</v>
      </c>
      <c r="G84" s="3">
        <v>120</v>
      </c>
      <c r="H84" s="3">
        <v>0</v>
      </c>
      <c r="I84" s="3">
        <v>120</v>
      </c>
      <c r="J84" s="3">
        <v>0</v>
      </c>
      <c r="K84" s="3">
        <v>120</v>
      </c>
      <c r="L84" s="3" t="s">
        <v>301</v>
      </c>
      <c r="M84" s="3" t="s">
        <v>274</v>
      </c>
    </row>
    <row r="85" spans="3:13" x14ac:dyDescent="0.3">
      <c r="C85" s="3" t="s">
        <v>2122</v>
      </c>
      <c r="D85" s="14">
        <v>46084</v>
      </c>
      <c r="E85" s="3" t="s">
        <v>2115</v>
      </c>
      <c r="F85" s="3">
        <v>2</v>
      </c>
      <c r="G85" s="3">
        <v>290</v>
      </c>
      <c r="H85" s="3">
        <v>30</v>
      </c>
      <c r="I85" s="3">
        <v>290</v>
      </c>
      <c r="J85" s="3">
        <v>0</v>
      </c>
      <c r="K85" s="3">
        <v>290</v>
      </c>
      <c r="L85" s="3" t="s">
        <v>1077</v>
      </c>
      <c r="M85" s="3" t="s">
        <v>274</v>
      </c>
    </row>
    <row r="86" spans="3:13" x14ac:dyDescent="0.3">
      <c r="C86" s="3" t="s">
        <v>2146</v>
      </c>
      <c r="D86" s="14">
        <v>46085</v>
      </c>
      <c r="E86" s="3" t="s">
        <v>2135</v>
      </c>
      <c r="F86" s="3">
        <v>1</v>
      </c>
      <c r="G86" s="3">
        <v>65</v>
      </c>
      <c r="H86" s="3">
        <v>0</v>
      </c>
      <c r="I86" s="3">
        <v>65</v>
      </c>
      <c r="J86" s="3">
        <v>65</v>
      </c>
      <c r="K86" s="3">
        <v>0</v>
      </c>
      <c r="L86" s="3" t="s">
        <v>1861</v>
      </c>
      <c r="M86" s="3" t="s">
        <v>414</v>
      </c>
    </row>
    <row r="87" spans="3:13" x14ac:dyDescent="0.3">
      <c r="C87" s="3" t="s">
        <v>2163</v>
      </c>
      <c r="D87" s="14">
        <v>46086</v>
      </c>
      <c r="E87" s="3" t="s">
        <v>2067</v>
      </c>
      <c r="F87" s="3">
        <v>4</v>
      </c>
      <c r="G87" s="3">
        <v>350</v>
      </c>
      <c r="H87" s="3">
        <v>55</v>
      </c>
      <c r="I87" s="3">
        <v>350</v>
      </c>
      <c r="J87" s="3">
        <v>350</v>
      </c>
      <c r="K87" s="3">
        <v>0</v>
      </c>
      <c r="L87" s="3" t="s">
        <v>301</v>
      </c>
      <c r="M87" s="3" t="s">
        <v>414</v>
      </c>
    </row>
    <row r="88" spans="3:13" x14ac:dyDescent="0.3">
      <c r="C88" s="3" t="s">
        <v>2184</v>
      </c>
      <c r="D88" s="14">
        <v>46088</v>
      </c>
      <c r="E88" s="3" t="s">
        <v>2176</v>
      </c>
      <c r="F88" s="3">
        <v>4</v>
      </c>
      <c r="G88" s="3">
        <v>320</v>
      </c>
      <c r="H88" s="3">
        <v>15</v>
      </c>
      <c r="I88" s="3">
        <v>320</v>
      </c>
      <c r="J88" s="3">
        <v>0</v>
      </c>
      <c r="K88" s="3">
        <v>320</v>
      </c>
      <c r="L88" s="3" t="s">
        <v>301</v>
      </c>
      <c r="M88" s="3" t="s">
        <v>274</v>
      </c>
    </row>
    <row r="89" spans="3:13" x14ac:dyDescent="0.3">
      <c r="C89" s="3" t="s">
        <v>2192</v>
      </c>
      <c r="D89" s="14">
        <v>46088</v>
      </c>
      <c r="E89" s="3" t="s">
        <v>2167</v>
      </c>
      <c r="F89" s="3">
        <v>2</v>
      </c>
      <c r="G89" s="3">
        <v>300</v>
      </c>
      <c r="H89" s="3">
        <v>30</v>
      </c>
      <c r="I89" s="3">
        <v>300</v>
      </c>
      <c r="J89" s="3">
        <v>0</v>
      </c>
      <c r="K89" s="3">
        <v>300</v>
      </c>
      <c r="L89" s="3" t="s">
        <v>301</v>
      </c>
      <c r="M89" s="3" t="s">
        <v>274</v>
      </c>
    </row>
    <row r="90" spans="3:13" x14ac:dyDescent="0.3">
      <c r="C90" s="3" t="s">
        <v>2196</v>
      </c>
      <c r="D90" s="14">
        <v>46088</v>
      </c>
      <c r="E90" s="3" t="s">
        <v>2172</v>
      </c>
      <c r="F90" s="3">
        <v>1</v>
      </c>
      <c r="G90" s="3">
        <v>150</v>
      </c>
      <c r="H90" s="3">
        <v>0</v>
      </c>
      <c r="I90" s="3">
        <v>150</v>
      </c>
      <c r="J90" s="3">
        <v>0</v>
      </c>
      <c r="K90" s="3">
        <v>150</v>
      </c>
      <c r="L90" s="3" t="s">
        <v>301</v>
      </c>
      <c r="M90" s="3" t="s">
        <v>274</v>
      </c>
    </row>
    <row r="91" spans="3:13" x14ac:dyDescent="0.3">
      <c r="C91" s="3" t="s">
        <v>2226</v>
      </c>
      <c r="D91" s="14">
        <v>46090</v>
      </c>
      <c r="E91" s="3" t="s">
        <v>2219</v>
      </c>
      <c r="F91" s="3">
        <v>2</v>
      </c>
      <c r="G91" s="3">
        <v>100</v>
      </c>
      <c r="H91" s="3">
        <v>5</v>
      </c>
      <c r="I91" s="3">
        <v>100</v>
      </c>
      <c r="J91" s="3">
        <v>0</v>
      </c>
      <c r="K91" s="3">
        <v>100</v>
      </c>
      <c r="L91" s="3" t="s">
        <v>301</v>
      </c>
      <c r="M91" s="3" t="s">
        <v>274</v>
      </c>
    </row>
    <row r="92" spans="3:13" x14ac:dyDescent="0.3">
      <c r="C92" s="3" t="s">
        <v>2242</v>
      </c>
      <c r="D92" s="14">
        <v>46090</v>
      </c>
      <c r="E92" s="3" t="s">
        <v>2235</v>
      </c>
      <c r="F92" s="3">
        <v>1</v>
      </c>
      <c r="G92" s="3">
        <v>50</v>
      </c>
      <c r="H92" s="3">
        <v>0</v>
      </c>
      <c r="I92" s="3">
        <v>50</v>
      </c>
      <c r="J92" s="3">
        <v>50</v>
      </c>
      <c r="K92" s="3">
        <v>0</v>
      </c>
      <c r="L92" s="3" t="s">
        <v>1077</v>
      </c>
      <c r="M92" s="3" t="s">
        <v>414</v>
      </c>
    </row>
    <row r="93" spans="3:13" x14ac:dyDescent="0.3">
      <c r="C93" s="3" t="s">
        <v>2259</v>
      </c>
      <c r="D93" s="14">
        <v>46091</v>
      </c>
      <c r="E93" s="3" t="s">
        <v>2250</v>
      </c>
      <c r="F93" s="3">
        <v>3</v>
      </c>
      <c r="G93" s="3">
        <v>240</v>
      </c>
      <c r="H93" s="3">
        <v>15</v>
      </c>
      <c r="I93" s="3">
        <v>240</v>
      </c>
      <c r="J93" s="3">
        <v>140</v>
      </c>
      <c r="K93" s="3">
        <v>100</v>
      </c>
      <c r="L93" s="3" t="s">
        <v>301</v>
      </c>
      <c r="M93" s="3" t="s">
        <v>274</v>
      </c>
    </row>
    <row r="94" spans="3:13" x14ac:dyDescent="0.3">
      <c r="C94" s="3" t="s">
        <v>2282</v>
      </c>
      <c r="D94" s="14">
        <v>46091</v>
      </c>
      <c r="E94" s="3" t="s">
        <v>2274</v>
      </c>
      <c r="F94" s="3">
        <v>2</v>
      </c>
      <c r="G94" s="3">
        <v>170</v>
      </c>
      <c r="H94" s="3">
        <v>0</v>
      </c>
      <c r="I94" s="3">
        <v>170</v>
      </c>
      <c r="J94" s="3">
        <v>85</v>
      </c>
      <c r="K94" s="3">
        <v>85</v>
      </c>
      <c r="L94" s="3" t="s">
        <v>445</v>
      </c>
      <c r="M94" s="3" t="s">
        <v>274</v>
      </c>
    </row>
    <row r="95" spans="3:13" x14ac:dyDescent="0.3">
      <c r="C95" s="3" t="s">
        <v>2316</v>
      </c>
      <c r="D95" s="14">
        <v>46093</v>
      </c>
      <c r="E95" s="3" t="s">
        <v>2296</v>
      </c>
      <c r="F95" s="3">
        <v>4</v>
      </c>
      <c r="G95" s="3">
        <v>240</v>
      </c>
      <c r="H95" s="3">
        <v>20</v>
      </c>
      <c r="I95" s="3">
        <v>240</v>
      </c>
      <c r="J95" s="3">
        <v>240</v>
      </c>
      <c r="K95" s="3">
        <v>0</v>
      </c>
      <c r="L95" s="3" t="s">
        <v>445</v>
      </c>
      <c r="M95" s="3" t="s">
        <v>414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E81A5-2B9C-4487-BD80-168952FE0F18}">
  <sheetPr codeName="Hoja10"/>
  <dimension ref="C5:H204"/>
  <sheetViews>
    <sheetView workbookViewId="0">
      <selection activeCell="A11" sqref="A8:XFD11"/>
    </sheetView>
  </sheetViews>
  <sheetFormatPr baseColWidth="10" defaultRowHeight="14.4" x14ac:dyDescent="0.3"/>
  <cols>
    <col min="3" max="3" width="11.6640625" customWidth="1"/>
    <col min="4" max="4" width="14.6640625" customWidth="1"/>
  </cols>
  <sheetData>
    <row r="5" spans="3:8" x14ac:dyDescent="0.3">
      <c r="C5" t="s">
        <v>221</v>
      </c>
      <c r="D5" t="s">
        <v>222</v>
      </c>
      <c r="E5" t="s">
        <v>223</v>
      </c>
      <c r="F5" t="s">
        <v>256</v>
      </c>
      <c r="G5" t="s">
        <v>224</v>
      </c>
      <c r="H5" t="s">
        <v>213</v>
      </c>
    </row>
    <row r="6" spans="3:8" x14ac:dyDescent="0.3">
      <c r="C6" t="s">
        <v>195</v>
      </c>
    </row>
    <row r="8" spans="3:8" x14ac:dyDescent="0.3">
      <c r="C8" t="s">
        <v>300</v>
      </c>
      <c r="D8" t="s">
        <v>292</v>
      </c>
      <c r="E8">
        <v>32.5</v>
      </c>
      <c r="F8">
        <v>1</v>
      </c>
      <c r="G8">
        <v>0</v>
      </c>
      <c r="H8">
        <v>32.5</v>
      </c>
    </row>
    <row r="9" spans="3:8" x14ac:dyDescent="0.3">
      <c r="C9" t="s">
        <v>300</v>
      </c>
      <c r="D9" t="s">
        <v>294</v>
      </c>
      <c r="E9">
        <v>5</v>
      </c>
      <c r="F9">
        <v>1</v>
      </c>
      <c r="G9">
        <v>0</v>
      </c>
      <c r="H9">
        <v>5</v>
      </c>
    </row>
    <row r="10" spans="3:8" x14ac:dyDescent="0.3">
      <c r="C10" t="s">
        <v>300</v>
      </c>
      <c r="D10" t="s">
        <v>290</v>
      </c>
      <c r="E10">
        <v>27.5</v>
      </c>
      <c r="F10">
        <v>1</v>
      </c>
      <c r="G10">
        <v>0</v>
      </c>
      <c r="H10">
        <v>27.5</v>
      </c>
    </row>
    <row r="11" spans="3:8" x14ac:dyDescent="0.3">
      <c r="C11" t="s">
        <v>377</v>
      </c>
      <c r="D11" t="s">
        <v>369</v>
      </c>
      <c r="E11">
        <v>60</v>
      </c>
      <c r="F11">
        <v>2</v>
      </c>
      <c r="G11">
        <v>9.6</v>
      </c>
      <c r="H11">
        <v>110.4</v>
      </c>
    </row>
    <row r="12" spans="3:8" x14ac:dyDescent="0.3">
      <c r="C12" t="s">
        <v>377</v>
      </c>
      <c r="D12">
        <v>240017</v>
      </c>
      <c r="E12">
        <v>115</v>
      </c>
      <c r="F12">
        <v>1</v>
      </c>
      <c r="G12">
        <v>9.1999999999999993</v>
      </c>
      <c r="H12">
        <v>105.8</v>
      </c>
    </row>
    <row r="13" spans="3:8" x14ac:dyDescent="0.3">
      <c r="C13" t="s">
        <v>413</v>
      </c>
      <c r="D13" t="s">
        <v>410</v>
      </c>
      <c r="E13">
        <v>5</v>
      </c>
      <c r="F13">
        <v>1</v>
      </c>
      <c r="G13">
        <v>0</v>
      </c>
      <c r="H13">
        <v>5</v>
      </c>
    </row>
    <row r="14" spans="3:8" x14ac:dyDescent="0.3">
      <c r="C14" t="s">
        <v>440</v>
      </c>
      <c r="D14" t="s">
        <v>369</v>
      </c>
      <c r="E14">
        <v>60</v>
      </c>
      <c r="F14">
        <v>1</v>
      </c>
      <c r="G14">
        <v>0</v>
      </c>
      <c r="H14">
        <v>60</v>
      </c>
    </row>
    <row r="15" spans="3:8" x14ac:dyDescent="0.3">
      <c r="C15" t="s">
        <v>440</v>
      </c>
      <c r="D15" t="s">
        <v>418</v>
      </c>
      <c r="E15">
        <v>65</v>
      </c>
      <c r="F15">
        <v>1</v>
      </c>
      <c r="G15">
        <v>0</v>
      </c>
      <c r="H15">
        <v>65</v>
      </c>
    </row>
    <row r="16" spans="3:8" x14ac:dyDescent="0.3">
      <c r="C16" t="s">
        <v>440</v>
      </c>
      <c r="D16" t="s">
        <v>438</v>
      </c>
      <c r="E16">
        <v>50</v>
      </c>
      <c r="F16">
        <v>1</v>
      </c>
      <c r="G16">
        <v>0</v>
      </c>
      <c r="H16">
        <v>50</v>
      </c>
    </row>
    <row r="17" spans="3:8" x14ac:dyDescent="0.3">
      <c r="C17" t="s">
        <v>444</v>
      </c>
      <c r="D17" t="s">
        <v>418</v>
      </c>
      <c r="E17">
        <v>65</v>
      </c>
      <c r="F17">
        <v>2</v>
      </c>
      <c r="G17">
        <v>5</v>
      </c>
      <c r="H17">
        <v>125</v>
      </c>
    </row>
    <row r="18" spans="3:8" x14ac:dyDescent="0.3">
      <c r="C18" t="s">
        <v>444</v>
      </c>
      <c r="D18" t="s">
        <v>416</v>
      </c>
      <c r="E18">
        <v>85</v>
      </c>
      <c r="F18">
        <v>1</v>
      </c>
      <c r="G18">
        <v>10</v>
      </c>
      <c r="H18">
        <v>75</v>
      </c>
    </row>
    <row r="19" spans="3:8" x14ac:dyDescent="0.3">
      <c r="C19" t="s">
        <v>458</v>
      </c>
      <c r="D19" t="s">
        <v>457</v>
      </c>
      <c r="E19">
        <v>12</v>
      </c>
      <c r="F19">
        <v>1</v>
      </c>
      <c r="G19">
        <v>0</v>
      </c>
      <c r="H19">
        <v>12</v>
      </c>
    </row>
    <row r="20" spans="3:8" x14ac:dyDescent="0.3">
      <c r="C20" t="s">
        <v>541</v>
      </c>
      <c r="D20" t="s">
        <v>537</v>
      </c>
      <c r="E20">
        <v>25</v>
      </c>
      <c r="F20">
        <v>1</v>
      </c>
      <c r="G20">
        <v>25</v>
      </c>
      <c r="H20">
        <v>0</v>
      </c>
    </row>
    <row r="21" spans="3:8" x14ac:dyDescent="0.3">
      <c r="C21" t="s">
        <v>541</v>
      </c>
      <c r="D21" t="s">
        <v>539</v>
      </c>
      <c r="E21">
        <v>17.5</v>
      </c>
      <c r="F21">
        <v>2</v>
      </c>
      <c r="G21">
        <v>0</v>
      </c>
      <c r="H21">
        <v>35</v>
      </c>
    </row>
    <row r="22" spans="3:8" x14ac:dyDescent="0.3">
      <c r="C22" t="s">
        <v>541</v>
      </c>
      <c r="D22" t="s">
        <v>294</v>
      </c>
      <c r="E22">
        <v>5</v>
      </c>
      <c r="F22">
        <v>1</v>
      </c>
      <c r="G22">
        <v>0</v>
      </c>
      <c r="H22">
        <v>5</v>
      </c>
    </row>
    <row r="23" spans="3:8" x14ac:dyDescent="0.3">
      <c r="C23" t="s">
        <v>550</v>
      </c>
      <c r="D23" t="s">
        <v>369</v>
      </c>
      <c r="E23">
        <v>60</v>
      </c>
      <c r="F23">
        <v>2</v>
      </c>
      <c r="G23">
        <v>0</v>
      </c>
      <c r="H23">
        <v>120</v>
      </c>
    </row>
    <row r="24" spans="3:8" x14ac:dyDescent="0.3">
      <c r="C24" t="s">
        <v>550</v>
      </c>
      <c r="D24" t="s">
        <v>547</v>
      </c>
      <c r="E24">
        <v>55</v>
      </c>
      <c r="F24">
        <v>1</v>
      </c>
      <c r="G24">
        <v>0</v>
      </c>
      <c r="H24">
        <v>55</v>
      </c>
    </row>
    <row r="25" spans="3:8" x14ac:dyDescent="0.3">
      <c r="C25" t="s">
        <v>555</v>
      </c>
      <c r="D25" t="s">
        <v>553</v>
      </c>
      <c r="E25">
        <v>130</v>
      </c>
      <c r="F25">
        <v>1</v>
      </c>
      <c r="G25">
        <v>13</v>
      </c>
      <c r="H25">
        <v>117</v>
      </c>
    </row>
    <row r="26" spans="3:8" x14ac:dyDescent="0.3">
      <c r="C26" t="s">
        <v>555</v>
      </c>
      <c r="D26" t="s">
        <v>369</v>
      </c>
      <c r="E26">
        <v>60</v>
      </c>
      <c r="F26">
        <v>2</v>
      </c>
      <c r="G26">
        <v>12</v>
      </c>
      <c r="H26">
        <v>108</v>
      </c>
    </row>
    <row r="27" spans="3:8" x14ac:dyDescent="0.3">
      <c r="C27" t="s">
        <v>580</v>
      </c>
      <c r="D27" t="s">
        <v>576</v>
      </c>
      <c r="E27">
        <v>130</v>
      </c>
      <c r="F27">
        <v>1</v>
      </c>
      <c r="G27">
        <v>0</v>
      </c>
      <c r="H27">
        <v>130</v>
      </c>
    </row>
    <row r="28" spans="3:8" x14ac:dyDescent="0.3">
      <c r="C28" t="s">
        <v>580</v>
      </c>
      <c r="D28" t="s">
        <v>577</v>
      </c>
      <c r="E28">
        <v>52.5</v>
      </c>
      <c r="F28">
        <v>2</v>
      </c>
      <c r="G28">
        <v>0</v>
      </c>
      <c r="H28">
        <v>105</v>
      </c>
    </row>
    <row r="29" spans="3:8" x14ac:dyDescent="0.3">
      <c r="C29" t="s">
        <v>596</v>
      </c>
      <c r="D29" t="s">
        <v>594</v>
      </c>
      <c r="E29">
        <v>35</v>
      </c>
      <c r="F29">
        <v>1</v>
      </c>
      <c r="G29">
        <v>5</v>
      </c>
      <c r="H29">
        <v>30</v>
      </c>
    </row>
    <row r="30" spans="3:8" x14ac:dyDescent="0.3">
      <c r="C30" t="s">
        <v>596</v>
      </c>
      <c r="D30" t="s">
        <v>290</v>
      </c>
      <c r="E30">
        <v>27.5</v>
      </c>
      <c r="F30">
        <v>2</v>
      </c>
      <c r="G30">
        <v>5</v>
      </c>
      <c r="H30">
        <v>50</v>
      </c>
    </row>
    <row r="31" spans="3:8" x14ac:dyDescent="0.3">
      <c r="C31" t="s">
        <v>641</v>
      </c>
      <c r="D31" t="s">
        <v>626</v>
      </c>
      <c r="E31">
        <v>170</v>
      </c>
      <c r="F31">
        <v>1</v>
      </c>
      <c r="G31">
        <v>0</v>
      </c>
      <c r="H31">
        <v>170</v>
      </c>
    </row>
    <row r="32" spans="3:8" x14ac:dyDescent="0.3">
      <c r="C32" t="s">
        <v>641</v>
      </c>
      <c r="D32" t="s">
        <v>628</v>
      </c>
      <c r="E32">
        <v>80</v>
      </c>
      <c r="F32">
        <v>1</v>
      </c>
      <c r="G32">
        <v>0</v>
      </c>
      <c r="H32">
        <v>80</v>
      </c>
    </row>
    <row r="33" spans="3:8" x14ac:dyDescent="0.3">
      <c r="C33" t="s">
        <v>641</v>
      </c>
      <c r="D33" t="s">
        <v>629</v>
      </c>
      <c r="E33">
        <v>85</v>
      </c>
      <c r="F33">
        <v>1</v>
      </c>
      <c r="G33">
        <v>5</v>
      </c>
      <c r="H33">
        <v>80</v>
      </c>
    </row>
    <row r="34" spans="3:8" x14ac:dyDescent="0.3">
      <c r="C34" t="s">
        <v>659</v>
      </c>
      <c r="D34" t="s">
        <v>657</v>
      </c>
      <c r="E34">
        <v>235</v>
      </c>
      <c r="F34">
        <v>1</v>
      </c>
      <c r="G34">
        <v>15</v>
      </c>
      <c r="H34">
        <v>220</v>
      </c>
    </row>
    <row r="35" spans="3:8" x14ac:dyDescent="0.3">
      <c r="C35" t="s">
        <v>683</v>
      </c>
      <c r="D35" t="s">
        <v>539</v>
      </c>
      <c r="E35">
        <v>17.5</v>
      </c>
      <c r="F35">
        <v>2</v>
      </c>
      <c r="G35">
        <v>0</v>
      </c>
      <c r="H35">
        <v>35</v>
      </c>
    </row>
    <row r="36" spans="3:8" x14ac:dyDescent="0.3">
      <c r="C36" t="s">
        <v>683</v>
      </c>
      <c r="D36" t="s">
        <v>294</v>
      </c>
      <c r="E36">
        <v>5</v>
      </c>
      <c r="F36">
        <v>1</v>
      </c>
      <c r="G36">
        <v>0</v>
      </c>
      <c r="H36">
        <v>5</v>
      </c>
    </row>
    <row r="37" spans="3:8" x14ac:dyDescent="0.3">
      <c r="C37" t="s">
        <v>683</v>
      </c>
      <c r="D37" t="s">
        <v>681</v>
      </c>
      <c r="E37">
        <v>25</v>
      </c>
      <c r="F37">
        <v>1</v>
      </c>
      <c r="G37">
        <v>25</v>
      </c>
      <c r="H37">
        <v>0</v>
      </c>
    </row>
    <row r="38" spans="3:8" x14ac:dyDescent="0.3">
      <c r="C38" t="s">
        <v>705</v>
      </c>
      <c r="D38" t="s">
        <v>294</v>
      </c>
      <c r="E38">
        <v>5</v>
      </c>
      <c r="F38">
        <v>1</v>
      </c>
      <c r="G38">
        <v>0</v>
      </c>
      <c r="H38">
        <v>5</v>
      </c>
    </row>
    <row r="39" spans="3:8" x14ac:dyDescent="0.3">
      <c r="C39" t="s">
        <v>726</v>
      </c>
      <c r="D39" t="s">
        <v>724</v>
      </c>
      <c r="E39">
        <v>70</v>
      </c>
      <c r="F39">
        <v>1</v>
      </c>
      <c r="G39">
        <v>0</v>
      </c>
      <c r="H39">
        <v>70</v>
      </c>
    </row>
    <row r="40" spans="3:8" x14ac:dyDescent="0.3">
      <c r="C40" t="s">
        <v>726</v>
      </c>
      <c r="D40" t="s">
        <v>657</v>
      </c>
      <c r="E40">
        <v>235</v>
      </c>
      <c r="F40">
        <v>1</v>
      </c>
      <c r="G40">
        <v>15</v>
      </c>
      <c r="H40">
        <v>220</v>
      </c>
    </row>
    <row r="41" spans="3:8" x14ac:dyDescent="0.3">
      <c r="C41" t="s">
        <v>734</v>
      </c>
      <c r="D41" t="s">
        <v>732</v>
      </c>
      <c r="E41">
        <v>37.5</v>
      </c>
      <c r="F41">
        <v>2</v>
      </c>
      <c r="G41">
        <v>0</v>
      </c>
      <c r="H41">
        <v>75</v>
      </c>
    </row>
    <row r="42" spans="3:8" x14ac:dyDescent="0.3">
      <c r="C42" t="s">
        <v>734</v>
      </c>
      <c r="D42" t="s">
        <v>731</v>
      </c>
      <c r="E42">
        <v>115</v>
      </c>
      <c r="F42">
        <v>1</v>
      </c>
      <c r="G42">
        <v>10</v>
      </c>
      <c r="H42">
        <v>105</v>
      </c>
    </row>
    <row r="43" spans="3:8" x14ac:dyDescent="0.3">
      <c r="C43" t="s">
        <v>771</v>
      </c>
      <c r="D43" t="s">
        <v>767</v>
      </c>
      <c r="E43">
        <v>75</v>
      </c>
      <c r="F43">
        <v>1</v>
      </c>
      <c r="G43">
        <v>0</v>
      </c>
      <c r="H43">
        <v>75</v>
      </c>
    </row>
    <row r="44" spans="3:8" x14ac:dyDescent="0.3">
      <c r="C44" t="s">
        <v>771</v>
      </c>
      <c r="D44" t="s">
        <v>769</v>
      </c>
      <c r="E44">
        <v>37.5</v>
      </c>
      <c r="F44">
        <v>2</v>
      </c>
      <c r="G44">
        <v>10</v>
      </c>
      <c r="H44">
        <v>65</v>
      </c>
    </row>
    <row r="45" spans="3:8" x14ac:dyDescent="0.3">
      <c r="C45" t="s">
        <v>822</v>
      </c>
      <c r="D45">
        <v>85831</v>
      </c>
      <c r="E45">
        <v>25</v>
      </c>
      <c r="F45">
        <v>1</v>
      </c>
      <c r="G45">
        <v>5</v>
      </c>
      <c r="H45">
        <v>20</v>
      </c>
    </row>
    <row r="46" spans="3:8" x14ac:dyDescent="0.3">
      <c r="C46" t="s">
        <v>822</v>
      </c>
      <c r="D46" t="s">
        <v>820</v>
      </c>
      <c r="E46">
        <v>47.5</v>
      </c>
      <c r="F46">
        <v>1</v>
      </c>
      <c r="G46">
        <v>0</v>
      </c>
      <c r="H46">
        <v>47.5</v>
      </c>
    </row>
    <row r="47" spans="3:8" x14ac:dyDescent="0.3">
      <c r="C47" t="s">
        <v>822</v>
      </c>
      <c r="D47" t="s">
        <v>577</v>
      </c>
      <c r="E47">
        <v>52.5</v>
      </c>
      <c r="F47">
        <v>1</v>
      </c>
      <c r="G47">
        <v>0</v>
      </c>
      <c r="H47">
        <v>52.5</v>
      </c>
    </row>
    <row r="48" spans="3:8" x14ac:dyDescent="0.3">
      <c r="C48" t="s">
        <v>839</v>
      </c>
      <c r="D48" t="s">
        <v>837</v>
      </c>
      <c r="E48">
        <v>130</v>
      </c>
      <c r="F48">
        <v>1</v>
      </c>
      <c r="G48">
        <v>0</v>
      </c>
      <c r="H48">
        <v>130</v>
      </c>
    </row>
    <row r="49" spans="3:8" x14ac:dyDescent="0.3">
      <c r="C49" t="s">
        <v>839</v>
      </c>
      <c r="D49" t="s">
        <v>292</v>
      </c>
      <c r="E49">
        <v>32.5</v>
      </c>
      <c r="F49">
        <v>1</v>
      </c>
      <c r="G49">
        <v>0</v>
      </c>
      <c r="H49">
        <v>32.5</v>
      </c>
    </row>
    <row r="50" spans="3:8" x14ac:dyDescent="0.3">
      <c r="C50" t="s">
        <v>839</v>
      </c>
      <c r="D50" t="s">
        <v>290</v>
      </c>
      <c r="E50">
        <v>27.5</v>
      </c>
      <c r="F50">
        <v>1</v>
      </c>
      <c r="G50">
        <v>0</v>
      </c>
      <c r="H50">
        <v>27.5</v>
      </c>
    </row>
    <row r="51" spans="3:8" x14ac:dyDescent="0.3">
      <c r="C51" t="s">
        <v>857</v>
      </c>
      <c r="D51" t="s">
        <v>853</v>
      </c>
      <c r="E51">
        <v>100</v>
      </c>
      <c r="F51">
        <v>2</v>
      </c>
      <c r="G51">
        <v>0</v>
      </c>
      <c r="H51">
        <v>200</v>
      </c>
    </row>
    <row r="52" spans="3:8" x14ac:dyDescent="0.3">
      <c r="C52" t="s">
        <v>857</v>
      </c>
      <c r="D52" t="s">
        <v>855</v>
      </c>
      <c r="E52">
        <v>80</v>
      </c>
      <c r="F52">
        <v>1</v>
      </c>
      <c r="G52">
        <v>14</v>
      </c>
      <c r="H52">
        <v>66</v>
      </c>
    </row>
    <row r="53" spans="3:8" x14ac:dyDescent="0.3">
      <c r="C53" t="s">
        <v>875</v>
      </c>
      <c r="D53" t="s">
        <v>873</v>
      </c>
      <c r="E53">
        <v>92.5</v>
      </c>
      <c r="F53">
        <v>2</v>
      </c>
      <c r="G53">
        <v>10</v>
      </c>
      <c r="H53">
        <v>175</v>
      </c>
    </row>
    <row r="54" spans="3:8" x14ac:dyDescent="0.3">
      <c r="C54" t="s">
        <v>901</v>
      </c>
      <c r="D54" t="s">
        <v>899</v>
      </c>
      <c r="E54">
        <v>115</v>
      </c>
      <c r="F54">
        <v>1</v>
      </c>
      <c r="G54">
        <v>20</v>
      </c>
      <c r="H54">
        <v>95</v>
      </c>
    </row>
    <row r="55" spans="3:8" x14ac:dyDescent="0.3">
      <c r="C55" t="s">
        <v>901</v>
      </c>
      <c r="D55" t="s">
        <v>539</v>
      </c>
      <c r="E55">
        <v>17.5</v>
      </c>
      <c r="F55">
        <v>2</v>
      </c>
      <c r="G55">
        <v>0</v>
      </c>
      <c r="H55">
        <v>35</v>
      </c>
    </row>
    <row r="56" spans="3:8" x14ac:dyDescent="0.3">
      <c r="C56" t="s">
        <v>919</v>
      </c>
      <c r="D56" t="s">
        <v>873</v>
      </c>
      <c r="E56">
        <v>92.5</v>
      </c>
      <c r="F56">
        <v>2</v>
      </c>
      <c r="G56">
        <v>18.5</v>
      </c>
      <c r="H56">
        <v>166.5</v>
      </c>
    </row>
    <row r="57" spans="3:8" x14ac:dyDescent="0.3">
      <c r="C57" t="s">
        <v>919</v>
      </c>
      <c r="D57" t="s">
        <v>918</v>
      </c>
      <c r="E57">
        <v>115</v>
      </c>
      <c r="F57">
        <v>1</v>
      </c>
      <c r="G57">
        <v>11.5</v>
      </c>
      <c r="H57">
        <v>103.5</v>
      </c>
    </row>
    <row r="58" spans="3:8" x14ac:dyDescent="0.3">
      <c r="C58" t="s">
        <v>935</v>
      </c>
      <c r="D58" t="s">
        <v>933</v>
      </c>
      <c r="E58">
        <v>125</v>
      </c>
      <c r="F58">
        <v>2</v>
      </c>
      <c r="G58">
        <v>0</v>
      </c>
      <c r="H58">
        <v>250</v>
      </c>
    </row>
    <row r="59" spans="3:8" x14ac:dyDescent="0.3">
      <c r="C59" t="s">
        <v>979</v>
      </c>
      <c r="D59" t="s">
        <v>977</v>
      </c>
      <c r="E59">
        <v>72.5</v>
      </c>
      <c r="F59">
        <v>1</v>
      </c>
      <c r="G59">
        <v>0</v>
      </c>
      <c r="H59">
        <v>72.5</v>
      </c>
    </row>
    <row r="60" spans="3:8" x14ac:dyDescent="0.3">
      <c r="C60" t="s">
        <v>979</v>
      </c>
      <c r="D60" t="s">
        <v>369</v>
      </c>
      <c r="E60">
        <v>62.5</v>
      </c>
      <c r="F60">
        <v>1</v>
      </c>
      <c r="G60">
        <v>0</v>
      </c>
      <c r="H60">
        <v>62.5</v>
      </c>
    </row>
    <row r="61" spans="3:8" x14ac:dyDescent="0.3">
      <c r="C61" t="s">
        <v>1005</v>
      </c>
      <c r="D61" t="s">
        <v>1003</v>
      </c>
      <c r="E61">
        <v>22.5</v>
      </c>
      <c r="F61">
        <v>1</v>
      </c>
      <c r="G61">
        <v>0</v>
      </c>
      <c r="H61">
        <v>22.5</v>
      </c>
    </row>
    <row r="62" spans="3:8" x14ac:dyDescent="0.3">
      <c r="C62" t="s">
        <v>1005</v>
      </c>
      <c r="D62" t="s">
        <v>539</v>
      </c>
      <c r="E62">
        <v>17.5</v>
      </c>
      <c r="F62">
        <v>1</v>
      </c>
      <c r="G62">
        <v>0</v>
      </c>
      <c r="H62">
        <v>17.5</v>
      </c>
    </row>
    <row r="63" spans="3:8" x14ac:dyDescent="0.3">
      <c r="C63" t="s">
        <v>1005</v>
      </c>
      <c r="D63" t="s">
        <v>997</v>
      </c>
      <c r="E63">
        <v>25</v>
      </c>
      <c r="F63">
        <v>1</v>
      </c>
      <c r="G63">
        <v>25</v>
      </c>
      <c r="H63">
        <v>0</v>
      </c>
    </row>
    <row r="64" spans="3:8" x14ac:dyDescent="0.3">
      <c r="C64" t="s">
        <v>1005</v>
      </c>
      <c r="D64" t="s">
        <v>1001</v>
      </c>
      <c r="E64">
        <v>72.5</v>
      </c>
      <c r="F64">
        <v>1</v>
      </c>
      <c r="G64">
        <v>0</v>
      </c>
      <c r="H64">
        <v>72.5</v>
      </c>
    </row>
    <row r="65" spans="3:8" x14ac:dyDescent="0.3">
      <c r="C65" t="s">
        <v>1005</v>
      </c>
      <c r="D65" t="s">
        <v>999</v>
      </c>
      <c r="E65">
        <v>52.5</v>
      </c>
      <c r="F65">
        <v>1</v>
      </c>
      <c r="G65">
        <v>0</v>
      </c>
      <c r="H65">
        <v>52.5</v>
      </c>
    </row>
    <row r="66" spans="3:8" x14ac:dyDescent="0.3">
      <c r="C66" t="s">
        <v>1026</v>
      </c>
      <c r="D66" t="s">
        <v>1024</v>
      </c>
      <c r="E66">
        <v>155</v>
      </c>
      <c r="F66">
        <v>2</v>
      </c>
      <c r="G66">
        <v>0</v>
      </c>
      <c r="H66">
        <v>310</v>
      </c>
    </row>
    <row r="67" spans="3:8" x14ac:dyDescent="0.3">
      <c r="C67" t="s">
        <v>1048</v>
      </c>
      <c r="D67" t="s">
        <v>369</v>
      </c>
      <c r="E67">
        <v>65</v>
      </c>
      <c r="F67">
        <v>1</v>
      </c>
      <c r="G67">
        <v>0</v>
      </c>
      <c r="H67">
        <v>65</v>
      </c>
    </row>
    <row r="68" spans="3:8" x14ac:dyDescent="0.3">
      <c r="C68" t="s">
        <v>1048</v>
      </c>
      <c r="D68" t="s">
        <v>418</v>
      </c>
      <c r="E68">
        <v>65</v>
      </c>
      <c r="F68">
        <v>1</v>
      </c>
      <c r="G68">
        <v>0</v>
      </c>
      <c r="H68">
        <v>65</v>
      </c>
    </row>
    <row r="69" spans="3:8" x14ac:dyDescent="0.3">
      <c r="C69" t="s">
        <v>1048</v>
      </c>
      <c r="D69" t="s">
        <v>1046</v>
      </c>
      <c r="E69">
        <v>50</v>
      </c>
      <c r="F69">
        <v>1</v>
      </c>
      <c r="G69">
        <v>0</v>
      </c>
      <c r="H69">
        <v>50</v>
      </c>
    </row>
    <row r="70" spans="3:8" x14ac:dyDescent="0.3">
      <c r="C70" t="s">
        <v>1076</v>
      </c>
      <c r="D70" t="s">
        <v>1074</v>
      </c>
      <c r="E70">
        <v>125</v>
      </c>
      <c r="F70">
        <v>1</v>
      </c>
      <c r="G70">
        <v>0</v>
      </c>
      <c r="H70">
        <v>125</v>
      </c>
    </row>
    <row r="71" spans="3:8" x14ac:dyDescent="0.3">
      <c r="C71" t="s">
        <v>1076</v>
      </c>
      <c r="D71" t="s">
        <v>977</v>
      </c>
      <c r="E71">
        <v>72.5</v>
      </c>
      <c r="F71">
        <v>2</v>
      </c>
      <c r="G71">
        <v>10</v>
      </c>
      <c r="H71">
        <v>135</v>
      </c>
    </row>
    <row r="72" spans="3:8" x14ac:dyDescent="0.3">
      <c r="C72" t="s">
        <v>1101</v>
      </c>
      <c r="D72" t="s">
        <v>1097</v>
      </c>
      <c r="E72">
        <v>60</v>
      </c>
      <c r="F72">
        <v>1</v>
      </c>
      <c r="G72">
        <v>60</v>
      </c>
      <c r="H72">
        <v>0</v>
      </c>
    </row>
    <row r="73" spans="3:8" x14ac:dyDescent="0.3">
      <c r="C73" t="s">
        <v>1101</v>
      </c>
      <c r="D73" t="s">
        <v>1099</v>
      </c>
      <c r="E73">
        <v>65</v>
      </c>
      <c r="F73">
        <v>2</v>
      </c>
      <c r="G73">
        <v>0</v>
      </c>
      <c r="H73">
        <v>130</v>
      </c>
    </row>
    <row r="74" spans="3:8" x14ac:dyDescent="0.3">
      <c r="C74" t="s">
        <v>1115</v>
      </c>
      <c r="D74" t="s">
        <v>1113</v>
      </c>
      <c r="E74">
        <v>80</v>
      </c>
      <c r="F74">
        <v>1</v>
      </c>
      <c r="G74">
        <v>0</v>
      </c>
      <c r="H74">
        <v>80</v>
      </c>
    </row>
    <row r="75" spans="3:8" x14ac:dyDescent="0.3">
      <c r="C75" t="s">
        <v>1115</v>
      </c>
      <c r="D75" t="s">
        <v>290</v>
      </c>
      <c r="E75">
        <v>27.5</v>
      </c>
      <c r="F75">
        <v>2</v>
      </c>
      <c r="G75">
        <v>15</v>
      </c>
      <c r="H75">
        <v>40</v>
      </c>
    </row>
    <row r="76" spans="3:8" x14ac:dyDescent="0.3">
      <c r="C76" t="s">
        <v>1148</v>
      </c>
      <c r="D76" t="s">
        <v>290</v>
      </c>
      <c r="E76">
        <v>27.5</v>
      </c>
      <c r="F76">
        <v>2</v>
      </c>
      <c r="G76">
        <v>0</v>
      </c>
      <c r="H76">
        <v>55</v>
      </c>
    </row>
    <row r="77" spans="3:8" x14ac:dyDescent="0.3">
      <c r="C77" t="s">
        <v>1148</v>
      </c>
      <c r="D77" t="s">
        <v>1146</v>
      </c>
      <c r="E77">
        <v>75</v>
      </c>
      <c r="F77">
        <v>1</v>
      </c>
      <c r="G77">
        <v>0</v>
      </c>
      <c r="H77">
        <v>75</v>
      </c>
    </row>
    <row r="78" spans="3:8" x14ac:dyDescent="0.3">
      <c r="C78" t="s">
        <v>1163</v>
      </c>
      <c r="D78">
        <v>231114</v>
      </c>
      <c r="E78">
        <v>50</v>
      </c>
      <c r="F78">
        <v>1</v>
      </c>
      <c r="G78">
        <v>0</v>
      </c>
      <c r="H78">
        <v>50</v>
      </c>
    </row>
    <row r="79" spans="3:8" x14ac:dyDescent="0.3">
      <c r="C79" t="s">
        <v>1163</v>
      </c>
      <c r="D79" t="s">
        <v>290</v>
      </c>
      <c r="E79">
        <v>27.5</v>
      </c>
      <c r="F79">
        <v>1</v>
      </c>
      <c r="G79">
        <v>0</v>
      </c>
      <c r="H79">
        <v>27.5</v>
      </c>
    </row>
    <row r="80" spans="3:8" x14ac:dyDescent="0.3">
      <c r="C80" t="s">
        <v>1163</v>
      </c>
      <c r="D80" t="s">
        <v>292</v>
      </c>
      <c r="E80">
        <v>32.5</v>
      </c>
      <c r="F80">
        <v>1</v>
      </c>
      <c r="G80">
        <v>0</v>
      </c>
      <c r="H80">
        <v>32.5</v>
      </c>
    </row>
    <row r="81" spans="3:8" x14ac:dyDescent="0.3">
      <c r="C81" t="s">
        <v>1181</v>
      </c>
      <c r="D81" t="s">
        <v>1179</v>
      </c>
      <c r="E81">
        <v>162.5</v>
      </c>
      <c r="F81">
        <v>2</v>
      </c>
      <c r="G81">
        <v>0</v>
      </c>
      <c r="H81">
        <v>325</v>
      </c>
    </row>
    <row r="82" spans="3:8" x14ac:dyDescent="0.3">
      <c r="C82" t="s">
        <v>1181</v>
      </c>
      <c r="D82">
        <v>210505</v>
      </c>
      <c r="E82">
        <v>35</v>
      </c>
      <c r="F82">
        <v>1</v>
      </c>
      <c r="G82">
        <v>15</v>
      </c>
      <c r="H82">
        <v>20</v>
      </c>
    </row>
    <row r="83" spans="3:8" x14ac:dyDescent="0.3">
      <c r="C83" t="s">
        <v>1199</v>
      </c>
      <c r="D83" t="s">
        <v>1197</v>
      </c>
      <c r="E83">
        <v>77.5</v>
      </c>
      <c r="F83">
        <v>2</v>
      </c>
      <c r="G83">
        <v>5</v>
      </c>
      <c r="H83">
        <v>150</v>
      </c>
    </row>
    <row r="84" spans="3:8" x14ac:dyDescent="0.3">
      <c r="C84" t="s">
        <v>1236</v>
      </c>
      <c r="D84" t="s">
        <v>1234</v>
      </c>
      <c r="E84">
        <v>60</v>
      </c>
      <c r="F84">
        <v>1</v>
      </c>
      <c r="G84">
        <v>0</v>
      </c>
      <c r="H84">
        <v>60</v>
      </c>
    </row>
    <row r="85" spans="3:8" x14ac:dyDescent="0.3">
      <c r="C85" t="s">
        <v>1236</v>
      </c>
      <c r="D85" t="s">
        <v>1232</v>
      </c>
      <c r="E85">
        <v>47.5</v>
      </c>
      <c r="F85">
        <v>2</v>
      </c>
      <c r="G85">
        <v>0</v>
      </c>
      <c r="H85">
        <v>95</v>
      </c>
    </row>
    <row r="86" spans="3:8" x14ac:dyDescent="0.3">
      <c r="C86" t="s">
        <v>1255</v>
      </c>
      <c r="D86" t="s">
        <v>1253</v>
      </c>
      <c r="E86">
        <v>55</v>
      </c>
      <c r="F86">
        <v>1</v>
      </c>
      <c r="G86">
        <v>5</v>
      </c>
      <c r="H86">
        <v>50</v>
      </c>
    </row>
    <row r="87" spans="3:8" x14ac:dyDescent="0.3">
      <c r="C87" t="s">
        <v>1255</v>
      </c>
      <c r="D87" t="s">
        <v>292</v>
      </c>
      <c r="E87">
        <v>32.5</v>
      </c>
      <c r="F87">
        <v>2</v>
      </c>
      <c r="G87">
        <v>5</v>
      </c>
      <c r="H87">
        <v>60</v>
      </c>
    </row>
    <row r="88" spans="3:8" x14ac:dyDescent="0.3">
      <c r="C88" t="s">
        <v>1273</v>
      </c>
      <c r="D88" t="s">
        <v>1271</v>
      </c>
      <c r="E88">
        <v>75</v>
      </c>
      <c r="F88">
        <v>1</v>
      </c>
      <c r="G88">
        <v>6</v>
      </c>
      <c r="H88">
        <v>69</v>
      </c>
    </row>
    <row r="89" spans="3:8" x14ac:dyDescent="0.3">
      <c r="C89" t="s">
        <v>1273</v>
      </c>
      <c r="D89" t="s">
        <v>290</v>
      </c>
      <c r="E89">
        <v>27.5</v>
      </c>
      <c r="F89">
        <v>2</v>
      </c>
      <c r="G89">
        <v>4.4000000000000004</v>
      </c>
      <c r="H89">
        <v>50.6</v>
      </c>
    </row>
    <row r="90" spans="3:8" x14ac:dyDescent="0.3">
      <c r="C90" t="s">
        <v>1285</v>
      </c>
      <c r="D90" t="s">
        <v>1283</v>
      </c>
      <c r="E90">
        <v>25</v>
      </c>
      <c r="F90">
        <v>1</v>
      </c>
      <c r="G90">
        <v>25</v>
      </c>
      <c r="H90">
        <v>0</v>
      </c>
    </row>
    <row r="91" spans="3:8" x14ac:dyDescent="0.3">
      <c r="C91" t="s">
        <v>1285</v>
      </c>
      <c r="D91" t="s">
        <v>539</v>
      </c>
      <c r="E91">
        <v>17.5</v>
      </c>
      <c r="F91">
        <v>1</v>
      </c>
      <c r="G91">
        <v>0</v>
      </c>
      <c r="H91">
        <v>17.5</v>
      </c>
    </row>
    <row r="92" spans="3:8" x14ac:dyDescent="0.3">
      <c r="C92" t="s">
        <v>1285</v>
      </c>
      <c r="D92" t="s">
        <v>1003</v>
      </c>
      <c r="E92">
        <v>22.5</v>
      </c>
      <c r="F92">
        <v>1</v>
      </c>
      <c r="G92">
        <v>0</v>
      </c>
      <c r="H92">
        <v>22.5</v>
      </c>
    </row>
    <row r="93" spans="3:8" x14ac:dyDescent="0.3">
      <c r="C93" t="s">
        <v>1285</v>
      </c>
      <c r="D93" t="s">
        <v>294</v>
      </c>
      <c r="E93">
        <v>5</v>
      </c>
      <c r="F93">
        <v>1</v>
      </c>
      <c r="G93">
        <v>0</v>
      </c>
      <c r="H93">
        <v>5</v>
      </c>
    </row>
    <row r="94" spans="3:8" x14ac:dyDescent="0.3">
      <c r="C94" t="s">
        <v>1357</v>
      </c>
      <c r="D94" t="s">
        <v>1003</v>
      </c>
      <c r="E94">
        <v>22.5</v>
      </c>
      <c r="F94">
        <v>2</v>
      </c>
      <c r="G94">
        <v>0</v>
      </c>
      <c r="H94">
        <v>45</v>
      </c>
    </row>
    <row r="95" spans="3:8" x14ac:dyDescent="0.3">
      <c r="C95" t="s">
        <v>1357</v>
      </c>
      <c r="D95" t="s">
        <v>1355</v>
      </c>
      <c r="E95">
        <v>25</v>
      </c>
      <c r="F95">
        <v>1</v>
      </c>
      <c r="G95">
        <v>25</v>
      </c>
      <c r="H95">
        <v>0</v>
      </c>
    </row>
    <row r="96" spans="3:8" x14ac:dyDescent="0.3">
      <c r="C96" t="s">
        <v>1368</v>
      </c>
      <c r="D96" t="s">
        <v>418</v>
      </c>
      <c r="E96">
        <v>65</v>
      </c>
      <c r="F96">
        <v>2</v>
      </c>
      <c r="G96">
        <v>10</v>
      </c>
      <c r="H96">
        <v>120</v>
      </c>
    </row>
    <row r="97" spans="3:8" x14ac:dyDescent="0.3">
      <c r="C97" t="s">
        <v>1368</v>
      </c>
      <c r="D97" t="s">
        <v>1366</v>
      </c>
      <c r="E97">
        <v>50</v>
      </c>
      <c r="F97">
        <v>1</v>
      </c>
      <c r="G97">
        <v>0</v>
      </c>
      <c r="H97">
        <v>50</v>
      </c>
    </row>
    <row r="98" spans="3:8" x14ac:dyDescent="0.3">
      <c r="C98" t="s">
        <v>1393</v>
      </c>
      <c r="D98" t="s">
        <v>1391</v>
      </c>
      <c r="E98">
        <v>40</v>
      </c>
      <c r="F98">
        <v>1</v>
      </c>
      <c r="G98">
        <v>20</v>
      </c>
      <c r="H98">
        <v>20</v>
      </c>
    </row>
    <row r="99" spans="3:8" x14ac:dyDescent="0.3">
      <c r="C99" t="s">
        <v>1393</v>
      </c>
      <c r="D99" t="s">
        <v>1389</v>
      </c>
      <c r="E99">
        <v>75</v>
      </c>
      <c r="F99">
        <v>1</v>
      </c>
      <c r="G99">
        <v>10</v>
      </c>
      <c r="H99">
        <v>65</v>
      </c>
    </row>
    <row r="100" spans="3:8" x14ac:dyDescent="0.3">
      <c r="C100" t="s">
        <v>1393</v>
      </c>
      <c r="D100" t="s">
        <v>290</v>
      </c>
      <c r="E100">
        <v>27.5</v>
      </c>
      <c r="F100">
        <v>2</v>
      </c>
      <c r="G100">
        <v>0</v>
      </c>
      <c r="H100">
        <v>55</v>
      </c>
    </row>
    <row r="101" spans="3:8" x14ac:dyDescent="0.3">
      <c r="C101" t="s">
        <v>1427</v>
      </c>
      <c r="D101" t="s">
        <v>1425</v>
      </c>
      <c r="E101">
        <v>25</v>
      </c>
      <c r="F101">
        <v>1</v>
      </c>
      <c r="G101">
        <v>25</v>
      </c>
      <c r="H101">
        <v>0</v>
      </c>
    </row>
    <row r="102" spans="3:8" x14ac:dyDescent="0.3">
      <c r="C102" t="s">
        <v>1427</v>
      </c>
      <c r="D102" t="s">
        <v>539</v>
      </c>
      <c r="E102">
        <v>17.5</v>
      </c>
      <c r="F102">
        <v>2</v>
      </c>
      <c r="G102">
        <v>0</v>
      </c>
      <c r="H102">
        <v>35</v>
      </c>
    </row>
    <row r="103" spans="3:8" x14ac:dyDescent="0.3">
      <c r="C103" t="s">
        <v>1427</v>
      </c>
      <c r="D103" t="s">
        <v>294</v>
      </c>
      <c r="E103">
        <v>5</v>
      </c>
      <c r="F103">
        <v>1</v>
      </c>
      <c r="G103">
        <v>0</v>
      </c>
      <c r="H103">
        <v>5</v>
      </c>
    </row>
    <row r="104" spans="3:8" x14ac:dyDescent="0.3">
      <c r="C104" t="s">
        <v>1447</v>
      </c>
      <c r="D104" t="s">
        <v>577</v>
      </c>
      <c r="E104">
        <v>65</v>
      </c>
      <c r="F104">
        <v>2</v>
      </c>
      <c r="G104">
        <v>0</v>
      </c>
      <c r="H104">
        <v>130</v>
      </c>
    </row>
    <row r="105" spans="3:8" x14ac:dyDescent="0.3">
      <c r="C105" t="s">
        <v>1447</v>
      </c>
      <c r="D105" t="s">
        <v>1445</v>
      </c>
      <c r="E105">
        <v>50</v>
      </c>
      <c r="F105">
        <v>1</v>
      </c>
      <c r="G105">
        <v>0</v>
      </c>
      <c r="H105">
        <v>50</v>
      </c>
    </row>
    <row r="106" spans="3:8" x14ac:dyDescent="0.3">
      <c r="C106" t="s">
        <v>1447</v>
      </c>
      <c r="D106" t="s">
        <v>294</v>
      </c>
      <c r="E106">
        <v>5</v>
      </c>
      <c r="F106">
        <v>1</v>
      </c>
      <c r="G106">
        <v>5</v>
      </c>
      <c r="H106">
        <v>0</v>
      </c>
    </row>
    <row r="107" spans="3:8" x14ac:dyDescent="0.3">
      <c r="C107" t="s">
        <v>1468</v>
      </c>
      <c r="D107" t="s">
        <v>1466</v>
      </c>
      <c r="E107">
        <v>75</v>
      </c>
      <c r="F107">
        <v>2</v>
      </c>
      <c r="G107">
        <v>50</v>
      </c>
      <c r="H107">
        <v>100</v>
      </c>
    </row>
    <row r="108" spans="3:8" x14ac:dyDescent="0.3">
      <c r="C108" t="s">
        <v>1480</v>
      </c>
      <c r="D108" t="s">
        <v>457</v>
      </c>
      <c r="E108">
        <v>12</v>
      </c>
      <c r="F108">
        <v>1</v>
      </c>
      <c r="G108">
        <v>0</v>
      </c>
      <c r="H108">
        <v>12</v>
      </c>
    </row>
    <row r="109" spans="3:8" x14ac:dyDescent="0.3">
      <c r="C109" t="s">
        <v>1501</v>
      </c>
      <c r="D109" t="s">
        <v>1499</v>
      </c>
      <c r="E109">
        <v>27.5</v>
      </c>
      <c r="F109">
        <v>2</v>
      </c>
      <c r="G109">
        <v>0</v>
      </c>
      <c r="H109">
        <v>55</v>
      </c>
    </row>
    <row r="110" spans="3:8" x14ac:dyDescent="0.3">
      <c r="C110" t="s">
        <v>1537</v>
      </c>
      <c r="D110" t="s">
        <v>1533</v>
      </c>
      <c r="E110">
        <v>30</v>
      </c>
      <c r="F110">
        <v>1</v>
      </c>
      <c r="G110">
        <v>10</v>
      </c>
      <c r="H110">
        <v>20</v>
      </c>
    </row>
    <row r="111" spans="3:8" x14ac:dyDescent="0.3">
      <c r="C111" t="s">
        <v>1537</v>
      </c>
      <c r="D111" t="s">
        <v>1535</v>
      </c>
      <c r="E111">
        <v>40</v>
      </c>
      <c r="F111">
        <v>1</v>
      </c>
      <c r="G111">
        <v>10</v>
      </c>
      <c r="H111">
        <v>30</v>
      </c>
    </row>
    <row r="112" spans="3:8" x14ac:dyDescent="0.3">
      <c r="C112" t="s">
        <v>1541</v>
      </c>
      <c r="D112" t="s">
        <v>1533</v>
      </c>
      <c r="E112">
        <v>30</v>
      </c>
      <c r="F112">
        <v>1</v>
      </c>
      <c r="G112">
        <v>10</v>
      </c>
      <c r="H112">
        <v>20</v>
      </c>
    </row>
    <row r="113" spans="3:8" x14ac:dyDescent="0.3">
      <c r="C113" t="s">
        <v>1541</v>
      </c>
      <c r="D113" t="s">
        <v>1535</v>
      </c>
      <c r="E113">
        <v>40</v>
      </c>
      <c r="F113">
        <v>1</v>
      </c>
      <c r="G113">
        <v>10</v>
      </c>
      <c r="H113">
        <v>30</v>
      </c>
    </row>
    <row r="114" spans="3:8" x14ac:dyDescent="0.3">
      <c r="C114" t="s">
        <v>1541</v>
      </c>
      <c r="D114" t="s">
        <v>1539</v>
      </c>
      <c r="E114">
        <v>65</v>
      </c>
      <c r="F114">
        <v>1</v>
      </c>
      <c r="G114">
        <v>0</v>
      </c>
      <c r="H114">
        <v>65</v>
      </c>
    </row>
    <row r="115" spans="3:8" x14ac:dyDescent="0.3">
      <c r="C115" t="s">
        <v>1556</v>
      </c>
      <c r="D115" t="s">
        <v>1554</v>
      </c>
      <c r="E115">
        <v>40</v>
      </c>
      <c r="F115">
        <v>1</v>
      </c>
      <c r="G115">
        <v>0</v>
      </c>
      <c r="H115">
        <v>40</v>
      </c>
    </row>
    <row r="116" spans="3:8" x14ac:dyDescent="0.3">
      <c r="C116" t="s">
        <v>1556</v>
      </c>
      <c r="D116" t="s">
        <v>290</v>
      </c>
      <c r="E116">
        <v>27.5</v>
      </c>
      <c r="F116">
        <v>2</v>
      </c>
      <c r="G116">
        <v>10</v>
      </c>
      <c r="H116">
        <v>45</v>
      </c>
    </row>
    <row r="117" spans="3:8" x14ac:dyDescent="0.3">
      <c r="C117" t="s">
        <v>1566</v>
      </c>
      <c r="D117" t="s">
        <v>1564</v>
      </c>
      <c r="E117">
        <v>25</v>
      </c>
      <c r="F117">
        <v>1</v>
      </c>
      <c r="G117">
        <v>25</v>
      </c>
      <c r="H117">
        <v>0</v>
      </c>
    </row>
    <row r="118" spans="3:8" x14ac:dyDescent="0.3">
      <c r="C118" t="s">
        <v>1566</v>
      </c>
      <c r="D118" t="s">
        <v>290</v>
      </c>
      <c r="E118">
        <v>27.5</v>
      </c>
      <c r="F118">
        <v>1</v>
      </c>
      <c r="G118">
        <v>0</v>
      </c>
      <c r="H118">
        <v>27.5</v>
      </c>
    </row>
    <row r="119" spans="3:8" x14ac:dyDescent="0.3">
      <c r="C119" t="s">
        <v>1566</v>
      </c>
      <c r="D119" t="s">
        <v>292</v>
      </c>
      <c r="E119">
        <v>32.5</v>
      </c>
      <c r="F119">
        <v>1</v>
      </c>
      <c r="G119">
        <v>0</v>
      </c>
      <c r="H119">
        <v>32.5</v>
      </c>
    </row>
    <row r="120" spans="3:8" x14ac:dyDescent="0.3">
      <c r="C120" t="s">
        <v>1616</v>
      </c>
      <c r="D120" t="s">
        <v>1614</v>
      </c>
      <c r="E120">
        <v>50</v>
      </c>
      <c r="F120">
        <v>1</v>
      </c>
      <c r="G120">
        <v>10</v>
      </c>
      <c r="H120">
        <v>40</v>
      </c>
    </row>
    <row r="121" spans="3:8" x14ac:dyDescent="0.3">
      <c r="C121" t="s">
        <v>1616</v>
      </c>
      <c r="D121">
        <v>7505</v>
      </c>
      <c r="E121">
        <v>70</v>
      </c>
      <c r="F121">
        <v>1</v>
      </c>
      <c r="G121">
        <v>10</v>
      </c>
      <c r="H121">
        <v>60</v>
      </c>
    </row>
    <row r="122" spans="3:8" x14ac:dyDescent="0.3">
      <c r="C122" t="s">
        <v>1616</v>
      </c>
      <c r="D122" t="s">
        <v>290</v>
      </c>
      <c r="E122">
        <v>27.5</v>
      </c>
      <c r="F122">
        <v>2</v>
      </c>
      <c r="G122">
        <v>0</v>
      </c>
      <c r="H122">
        <v>55</v>
      </c>
    </row>
    <row r="123" spans="3:8" x14ac:dyDescent="0.3">
      <c r="C123" t="s">
        <v>1616</v>
      </c>
      <c r="D123" t="s">
        <v>539</v>
      </c>
      <c r="E123">
        <v>17.5</v>
      </c>
      <c r="F123">
        <v>4</v>
      </c>
      <c r="G123">
        <v>0</v>
      </c>
      <c r="H123">
        <v>70</v>
      </c>
    </row>
    <row r="124" spans="3:8" x14ac:dyDescent="0.3">
      <c r="C124" t="s">
        <v>1616</v>
      </c>
      <c r="D124" t="s">
        <v>1611</v>
      </c>
      <c r="E124">
        <v>50</v>
      </c>
      <c r="F124">
        <v>1</v>
      </c>
      <c r="G124">
        <v>5</v>
      </c>
      <c r="H124">
        <v>45</v>
      </c>
    </row>
    <row r="125" spans="3:8" x14ac:dyDescent="0.3">
      <c r="C125" t="s">
        <v>1634</v>
      </c>
      <c r="D125" t="s">
        <v>873</v>
      </c>
      <c r="E125">
        <v>92.5</v>
      </c>
      <c r="F125">
        <v>4</v>
      </c>
      <c r="G125">
        <v>0</v>
      </c>
      <c r="H125">
        <v>370</v>
      </c>
    </row>
    <row r="126" spans="3:8" x14ac:dyDescent="0.3">
      <c r="C126" t="s">
        <v>1648</v>
      </c>
      <c r="D126" t="s">
        <v>290</v>
      </c>
      <c r="E126">
        <v>27.5</v>
      </c>
      <c r="F126">
        <v>1</v>
      </c>
      <c r="G126">
        <v>0</v>
      </c>
      <c r="H126">
        <v>27.5</v>
      </c>
    </row>
    <row r="127" spans="3:8" x14ac:dyDescent="0.3">
      <c r="C127" t="s">
        <v>1648</v>
      </c>
      <c r="D127" t="s">
        <v>292</v>
      </c>
      <c r="E127">
        <v>32.5</v>
      </c>
      <c r="F127">
        <v>1</v>
      </c>
      <c r="G127">
        <v>5</v>
      </c>
      <c r="H127">
        <v>27.5</v>
      </c>
    </row>
    <row r="128" spans="3:8" x14ac:dyDescent="0.3">
      <c r="C128" t="s">
        <v>1660</v>
      </c>
      <c r="D128" t="s">
        <v>369</v>
      </c>
      <c r="E128">
        <v>65</v>
      </c>
      <c r="F128">
        <v>2</v>
      </c>
      <c r="G128">
        <v>0</v>
      </c>
      <c r="H128">
        <v>130</v>
      </c>
    </row>
    <row r="129" spans="3:8" x14ac:dyDescent="0.3">
      <c r="C129" t="s">
        <v>1660</v>
      </c>
      <c r="D129" t="s">
        <v>418</v>
      </c>
      <c r="E129">
        <v>65</v>
      </c>
      <c r="F129">
        <v>2</v>
      </c>
      <c r="G129">
        <v>15</v>
      </c>
      <c r="H129">
        <v>115</v>
      </c>
    </row>
    <row r="130" spans="3:8" x14ac:dyDescent="0.3">
      <c r="C130" t="s">
        <v>1660</v>
      </c>
      <c r="D130" t="s">
        <v>1659</v>
      </c>
      <c r="E130">
        <v>75</v>
      </c>
      <c r="F130">
        <v>1</v>
      </c>
      <c r="G130">
        <v>30</v>
      </c>
      <c r="H130">
        <v>45</v>
      </c>
    </row>
    <row r="131" spans="3:8" x14ac:dyDescent="0.3">
      <c r="C131" t="s">
        <v>1677</v>
      </c>
      <c r="D131" t="s">
        <v>1675</v>
      </c>
      <c r="E131">
        <v>125</v>
      </c>
      <c r="F131">
        <v>2</v>
      </c>
      <c r="G131">
        <v>30</v>
      </c>
      <c r="H131">
        <v>220</v>
      </c>
    </row>
    <row r="132" spans="3:8" x14ac:dyDescent="0.3">
      <c r="C132" t="s">
        <v>1696</v>
      </c>
      <c r="D132" t="s">
        <v>539</v>
      </c>
      <c r="E132">
        <v>17.5</v>
      </c>
      <c r="F132">
        <v>2</v>
      </c>
      <c r="G132">
        <v>0</v>
      </c>
      <c r="H132">
        <v>35</v>
      </c>
    </row>
    <row r="133" spans="3:8" x14ac:dyDescent="0.3">
      <c r="C133" t="s">
        <v>1696</v>
      </c>
      <c r="D133">
        <v>9006</v>
      </c>
      <c r="E133">
        <v>25</v>
      </c>
      <c r="F133">
        <v>1</v>
      </c>
      <c r="G133">
        <v>25</v>
      </c>
      <c r="H133">
        <v>0</v>
      </c>
    </row>
    <row r="134" spans="3:8" x14ac:dyDescent="0.3">
      <c r="C134" t="s">
        <v>1696</v>
      </c>
      <c r="D134" t="s">
        <v>294</v>
      </c>
      <c r="E134">
        <v>5</v>
      </c>
      <c r="F134">
        <v>1</v>
      </c>
      <c r="G134">
        <v>0</v>
      </c>
      <c r="H134">
        <v>5</v>
      </c>
    </row>
    <row r="135" spans="3:8" x14ac:dyDescent="0.3">
      <c r="C135" t="s">
        <v>1729</v>
      </c>
      <c r="D135" t="s">
        <v>577</v>
      </c>
      <c r="E135">
        <v>65</v>
      </c>
      <c r="F135">
        <v>2</v>
      </c>
      <c r="G135">
        <v>0</v>
      </c>
      <c r="H135">
        <v>130</v>
      </c>
    </row>
    <row r="136" spans="3:8" x14ac:dyDescent="0.3">
      <c r="C136" t="s">
        <v>1729</v>
      </c>
      <c r="D136" t="s">
        <v>1725</v>
      </c>
      <c r="E136">
        <v>45</v>
      </c>
      <c r="F136">
        <v>1</v>
      </c>
      <c r="G136">
        <v>0</v>
      </c>
      <c r="H136">
        <v>45</v>
      </c>
    </row>
    <row r="137" spans="3:8" x14ac:dyDescent="0.3">
      <c r="C137" t="s">
        <v>1729</v>
      </c>
      <c r="D137" t="s">
        <v>577</v>
      </c>
      <c r="E137">
        <v>65</v>
      </c>
      <c r="F137">
        <v>2</v>
      </c>
      <c r="G137">
        <v>0</v>
      </c>
      <c r="H137">
        <v>130</v>
      </c>
    </row>
    <row r="138" spans="3:8" x14ac:dyDescent="0.3">
      <c r="C138" t="s">
        <v>1729</v>
      </c>
      <c r="D138" t="s">
        <v>1533</v>
      </c>
      <c r="E138">
        <v>30</v>
      </c>
      <c r="F138">
        <v>2</v>
      </c>
      <c r="G138">
        <v>0</v>
      </c>
      <c r="H138">
        <v>60</v>
      </c>
    </row>
    <row r="139" spans="3:8" x14ac:dyDescent="0.3">
      <c r="C139" t="s">
        <v>1729</v>
      </c>
      <c r="D139" t="s">
        <v>1727</v>
      </c>
      <c r="E139">
        <v>45</v>
      </c>
      <c r="F139">
        <v>1</v>
      </c>
      <c r="G139">
        <v>40</v>
      </c>
      <c r="H139">
        <v>5</v>
      </c>
    </row>
    <row r="140" spans="3:8" x14ac:dyDescent="0.3">
      <c r="C140" t="s">
        <v>1750</v>
      </c>
      <c r="D140" t="s">
        <v>369</v>
      </c>
      <c r="E140">
        <v>65</v>
      </c>
      <c r="F140">
        <v>2</v>
      </c>
      <c r="G140">
        <v>15</v>
      </c>
      <c r="H140">
        <v>115</v>
      </c>
    </row>
    <row r="141" spans="3:8" x14ac:dyDescent="0.3">
      <c r="C141" t="s">
        <v>1750</v>
      </c>
      <c r="D141">
        <v>12192</v>
      </c>
      <c r="E141">
        <v>85</v>
      </c>
      <c r="F141">
        <v>1</v>
      </c>
      <c r="G141">
        <v>15</v>
      </c>
      <c r="H141">
        <v>70</v>
      </c>
    </row>
    <row r="142" spans="3:8" x14ac:dyDescent="0.3">
      <c r="C142" t="s">
        <v>1769</v>
      </c>
      <c r="D142" t="s">
        <v>290</v>
      </c>
      <c r="E142">
        <v>27.5</v>
      </c>
      <c r="F142">
        <v>2</v>
      </c>
      <c r="G142">
        <v>5</v>
      </c>
      <c r="H142">
        <v>50</v>
      </c>
    </row>
    <row r="143" spans="3:8" x14ac:dyDescent="0.3">
      <c r="C143" t="s">
        <v>1786</v>
      </c>
      <c r="D143" t="s">
        <v>369</v>
      </c>
      <c r="E143">
        <v>60</v>
      </c>
      <c r="F143">
        <v>2</v>
      </c>
      <c r="G143">
        <v>10</v>
      </c>
      <c r="H143">
        <v>110</v>
      </c>
    </row>
    <row r="144" spans="3:8" x14ac:dyDescent="0.3">
      <c r="C144" t="s">
        <v>1786</v>
      </c>
      <c r="D144" t="s">
        <v>1784</v>
      </c>
      <c r="E144">
        <v>115</v>
      </c>
      <c r="F144">
        <v>1</v>
      </c>
      <c r="G144">
        <v>5</v>
      </c>
      <c r="H144">
        <v>110</v>
      </c>
    </row>
    <row r="145" spans="3:8" x14ac:dyDescent="0.3">
      <c r="C145" t="s">
        <v>1805</v>
      </c>
      <c r="D145" t="s">
        <v>1803</v>
      </c>
      <c r="E145">
        <v>57.5</v>
      </c>
      <c r="F145">
        <v>2</v>
      </c>
      <c r="G145">
        <v>0</v>
      </c>
      <c r="H145">
        <v>115</v>
      </c>
    </row>
    <row r="146" spans="3:8" x14ac:dyDescent="0.3">
      <c r="C146" t="s">
        <v>1819</v>
      </c>
      <c r="D146" t="s">
        <v>369</v>
      </c>
      <c r="E146">
        <v>60</v>
      </c>
      <c r="F146">
        <v>2</v>
      </c>
      <c r="G146">
        <v>0</v>
      </c>
      <c r="H146">
        <v>120</v>
      </c>
    </row>
    <row r="147" spans="3:8" x14ac:dyDescent="0.3">
      <c r="C147" t="s">
        <v>1819</v>
      </c>
      <c r="D147" t="s">
        <v>1817</v>
      </c>
      <c r="E147">
        <v>70</v>
      </c>
      <c r="F147">
        <v>1</v>
      </c>
      <c r="G147">
        <v>0</v>
      </c>
      <c r="H147">
        <v>70</v>
      </c>
    </row>
    <row r="148" spans="3:8" x14ac:dyDescent="0.3">
      <c r="C148" t="s">
        <v>1834</v>
      </c>
      <c r="D148" t="s">
        <v>1832</v>
      </c>
      <c r="E148">
        <v>85</v>
      </c>
      <c r="F148">
        <v>1</v>
      </c>
      <c r="G148">
        <v>0</v>
      </c>
      <c r="H148">
        <v>85</v>
      </c>
    </row>
    <row r="149" spans="3:8" x14ac:dyDescent="0.3">
      <c r="C149" t="s">
        <v>1834</v>
      </c>
      <c r="D149" t="s">
        <v>290</v>
      </c>
      <c r="E149">
        <v>27.5</v>
      </c>
      <c r="F149">
        <v>2</v>
      </c>
      <c r="G149">
        <v>0</v>
      </c>
      <c r="H149">
        <v>55</v>
      </c>
    </row>
    <row r="150" spans="3:8" x14ac:dyDescent="0.3">
      <c r="C150" t="s">
        <v>1860</v>
      </c>
      <c r="D150" t="s">
        <v>1858</v>
      </c>
      <c r="E150">
        <v>150</v>
      </c>
      <c r="F150">
        <v>2</v>
      </c>
      <c r="G150">
        <v>0</v>
      </c>
      <c r="H150">
        <v>300</v>
      </c>
    </row>
    <row r="151" spans="3:8" x14ac:dyDescent="0.3">
      <c r="C151" t="s">
        <v>1866</v>
      </c>
      <c r="D151" t="s">
        <v>418</v>
      </c>
      <c r="E151">
        <v>65</v>
      </c>
      <c r="F151">
        <v>1</v>
      </c>
      <c r="G151">
        <v>0</v>
      </c>
      <c r="H151">
        <v>65</v>
      </c>
    </row>
    <row r="152" spans="3:8" x14ac:dyDescent="0.3">
      <c r="C152" t="s">
        <v>1866</v>
      </c>
      <c r="D152" t="s">
        <v>369</v>
      </c>
      <c r="E152">
        <v>60</v>
      </c>
      <c r="F152">
        <v>1</v>
      </c>
      <c r="G152">
        <v>0</v>
      </c>
      <c r="H152">
        <v>60</v>
      </c>
    </row>
    <row r="153" spans="3:8" x14ac:dyDescent="0.3">
      <c r="C153" t="s">
        <v>1866</v>
      </c>
      <c r="D153" t="s">
        <v>1864</v>
      </c>
      <c r="E153">
        <v>75</v>
      </c>
      <c r="F153">
        <v>1</v>
      </c>
      <c r="G153">
        <v>10</v>
      </c>
      <c r="H153">
        <v>65</v>
      </c>
    </row>
    <row r="154" spans="3:8" x14ac:dyDescent="0.3">
      <c r="C154" t="s">
        <v>1866</v>
      </c>
      <c r="D154" t="s">
        <v>294</v>
      </c>
      <c r="E154">
        <v>5</v>
      </c>
      <c r="F154">
        <v>1</v>
      </c>
      <c r="G154">
        <v>5</v>
      </c>
      <c r="H154">
        <v>0</v>
      </c>
    </row>
    <row r="155" spans="3:8" x14ac:dyDescent="0.3">
      <c r="C155" t="s">
        <v>1886</v>
      </c>
      <c r="D155" t="s">
        <v>292</v>
      </c>
      <c r="E155">
        <v>32.5</v>
      </c>
      <c r="F155">
        <v>2</v>
      </c>
      <c r="G155">
        <v>0</v>
      </c>
      <c r="H155">
        <v>65</v>
      </c>
    </row>
    <row r="156" spans="3:8" x14ac:dyDescent="0.3">
      <c r="C156" t="s">
        <v>1889</v>
      </c>
      <c r="D156" t="s">
        <v>873</v>
      </c>
      <c r="E156">
        <v>92.5</v>
      </c>
      <c r="F156">
        <v>2</v>
      </c>
      <c r="G156">
        <v>0</v>
      </c>
      <c r="H156">
        <v>185</v>
      </c>
    </row>
    <row r="157" spans="3:8" x14ac:dyDescent="0.3">
      <c r="C157" t="s">
        <v>1897</v>
      </c>
      <c r="D157" t="s">
        <v>290</v>
      </c>
      <c r="E157">
        <v>27.5</v>
      </c>
      <c r="F157">
        <v>2</v>
      </c>
      <c r="G157">
        <v>5</v>
      </c>
      <c r="H157">
        <v>50</v>
      </c>
    </row>
    <row r="158" spans="3:8" x14ac:dyDescent="0.3">
      <c r="C158" t="s">
        <v>1897</v>
      </c>
      <c r="D158" t="s">
        <v>1895</v>
      </c>
      <c r="E158">
        <v>55</v>
      </c>
      <c r="F158">
        <v>1</v>
      </c>
      <c r="G158">
        <v>10</v>
      </c>
      <c r="H158">
        <v>45</v>
      </c>
    </row>
    <row r="159" spans="3:8" x14ac:dyDescent="0.3">
      <c r="C159" t="s">
        <v>1946</v>
      </c>
      <c r="D159" t="s">
        <v>873</v>
      </c>
      <c r="E159">
        <v>92.5</v>
      </c>
      <c r="F159">
        <v>2</v>
      </c>
      <c r="G159">
        <v>0</v>
      </c>
      <c r="H159">
        <v>185</v>
      </c>
    </row>
    <row r="160" spans="3:8" x14ac:dyDescent="0.3">
      <c r="C160" t="s">
        <v>1946</v>
      </c>
      <c r="D160" t="s">
        <v>1944</v>
      </c>
      <c r="E160">
        <v>115</v>
      </c>
      <c r="F160">
        <v>1</v>
      </c>
      <c r="G160">
        <v>15</v>
      </c>
      <c r="H160">
        <v>100</v>
      </c>
    </row>
    <row r="161" spans="3:8" x14ac:dyDescent="0.3">
      <c r="C161" t="s">
        <v>1957</v>
      </c>
      <c r="D161" t="s">
        <v>1955</v>
      </c>
      <c r="E161">
        <v>85</v>
      </c>
      <c r="F161">
        <v>1</v>
      </c>
      <c r="G161">
        <v>0</v>
      </c>
      <c r="H161">
        <v>85</v>
      </c>
    </row>
    <row r="162" spans="3:8" x14ac:dyDescent="0.3">
      <c r="C162" t="s">
        <v>1957</v>
      </c>
      <c r="D162" t="s">
        <v>873</v>
      </c>
      <c r="E162">
        <v>92.5</v>
      </c>
      <c r="F162">
        <v>2</v>
      </c>
      <c r="G162">
        <v>0</v>
      </c>
      <c r="H162">
        <v>185</v>
      </c>
    </row>
    <row r="163" spans="3:8" x14ac:dyDescent="0.3">
      <c r="C163" t="s">
        <v>1975</v>
      </c>
      <c r="D163" t="s">
        <v>290</v>
      </c>
      <c r="E163">
        <v>27.5</v>
      </c>
      <c r="F163">
        <v>2</v>
      </c>
      <c r="G163">
        <v>0</v>
      </c>
      <c r="H163">
        <v>55</v>
      </c>
    </row>
    <row r="164" spans="3:8" x14ac:dyDescent="0.3">
      <c r="C164" t="s">
        <v>1975</v>
      </c>
      <c r="D164" t="s">
        <v>294</v>
      </c>
      <c r="E164">
        <v>5</v>
      </c>
      <c r="F164">
        <v>1</v>
      </c>
      <c r="G164">
        <v>0</v>
      </c>
      <c r="H164">
        <v>5</v>
      </c>
    </row>
    <row r="165" spans="3:8" x14ac:dyDescent="0.3">
      <c r="C165" t="s">
        <v>1999</v>
      </c>
      <c r="D165" t="s">
        <v>290</v>
      </c>
      <c r="E165">
        <v>27.5</v>
      </c>
      <c r="F165">
        <v>2</v>
      </c>
      <c r="G165">
        <v>0</v>
      </c>
      <c r="H165">
        <v>55</v>
      </c>
    </row>
    <row r="166" spans="3:8" x14ac:dyDescent="0.3">
      <c r="C166" t="s">
        <v>1999</v>
      </c>
      <c r="D166" t="s">
        <v>1997</v>
      </c>
      <c r="E166">
        <v>75</v>
      </c>
      <c r="F166">
        <v>2</v>
      </c>
      <c r="G166">
        <v>0</v>
      </c>
      <c r="H166">
        <v>150</v>
      </c>
    </row>
    <row r="167" spans="3:8" x14ac:dyDescent="0.3">
      <c r="C167" t="s">
        <v>1999</v>
      </c>
      <c r="D167" t="s">
        <v>1995</v>
      </c>
      <c r="E167">
        <v>115</v>
      </c>
      <c r="F167">
        <v>1</v>
      </c>
      <c r="G167">
        <v>15</v>
      </c>
      <c r="H167">
        <v>100</v>
      </c>
    </row>
    <row r="168" spans="3:8" x14ac:dyDescent="0.3">
      <c r="C168" t="s">
        <v>1999</v>
      </c>
      <c r="D168" t="s">
        <v>1993</v>
      </c>
      <c r="E168">
        <v>115</v>
      </c>
      <c r="F168">
        <v>1</v>
      </c>
      <c r="G168">
        <v>20</v>
      </c>
      <c r="H168">
        <v>95</v>
      </c>
    </row>
    <row r="169" spans="3:8" x14ac:dyDescent="0.3">
      <c r="C169" t="s">
        <v>2026</v>
      </c>
      <c r="D169" t="s">
        <v>2023</v>
      </c>
      <c r="E169">
        <v>65</v>
      </c>
      <c r="F169">
        <v>1</v>
      </c>
      <c r="G169">
        <v>0</v>
      </c>
      <c r="H169">
        <v>65</v>
      </c>
    </row>
    <row r="170" spans="3:8" x14ac:dyDescent="0.3">
      <c r="C170" t="s">
        <v>2026</v>
      </c>
      <c r="D170" t="s">
        <v>2024</v>
      </c>
      <c r="E170">
        <v>37.5</v>
      </c>
      <c r="F170">
        <v>1</v>
      </c>
      <c r="G170">
        <v>0</v>
      </c>
      <c r="H170">
        <v>37.5</v>
      </c>
    </row>
    <row r="171" spans="3:8" x14ac:dyDescent="0.3">
      <c r="C171" t="s">
        <v>2026</v>
      </c>
      <c r="D171" t="s">
        <v>1499</v>
      </c>
      <c r="E171">
        <v>27.5</v>
      </c>
      <c r="F171">
        <v>1</v>
      </c>
      <c r="G171">
        <v>0</v>
      </c>
      <c r="H171">
        <v>27.5</v>
      </c>
    </row>
    <row r="172" spans="3:8" x14ac:dyDescent="0.3">
      <c r="C172" t="s">
        <v>2039</v>
      </c>
      <c r="D172" t="s">
        <v>2037</v>
      </c>
      <c r="E172">
        <v>25</v>
      </c>
      <c r="F172">
        <v>1</v>
      </c>
      <c r="G172">
        <v>0</v>
      </c>
      <c r="H172">
        <v>25</v>
      </c>
    </row>
    <row r="173" spans="3:8" x14ac:dyDescent="0.3">
      <c r="C173" t="s">
        <v>2077</v>
      </c>
      <c r="D173" t="s">
        <v>2075</v>
      </c>
      <c r="E173">
        <v>175</v>
      </c>
      <c r="F173">
        <v>2</v>
      </c>
      <c r="G173">
        <v>0</v>
      </c>
      <c r="H173">
        <v>350</v>
      </c>
    </row>
    <row r="174" spans="3:8" x14ac:dyDescent="0.3">
      <c r="C174" t="s">
        <v>2081</v>
      </c>
      <c r="D174" t="s">
        <v>2075</v>
      </c>
      <c r="E174">
        <v>175</v>
      </c>
      <c r="F174">
        <v>2</v>
      </c>
      <c r="G174">
        <v>0</v>
      </c>
      <c r="H174">
        <v>350</v>
      </c>
    </row>
    <row r="175" spans="3:8" x14ac:dyDescent="0.3">
      <c r="C175" t="s">
        <v>2091</v>
      </c>
      <c r="D175" t="s">
        <v>369</v>
      </c>
      <c r="E175">
        <v>60</v>
      </c>
      <c r="F175">
        <v>2</v>
      </c>
      <c r="G175">
        <v>0</v>
      </c>
      <c r="H175">
        <v>120</v>
      </c>
    </row>
    <row r="176" spans="3:8" x14ac:dyDescent="0.3">
      <c r="C176" t="s">
        <v>2091</v>
      </c>
      <c r="D176" t="s">
        <v>2089</v>
      </c>
      <c r="E176">
        <v>65</v>
      </c>
      <c r="F176">
        <v>1</v>
      </c>
      <c r="G176">
        <v>0</v>
      </c>
      <c r="H176">
        <v>65</v>
      </c>
    </row>
    <row r="177" spans="3:8" x14ac:dyDescent="0.3">
      <c r="C177" t="s">
        <v>2108</v>
      </c>
      <c r="D177" t="s">
        <v>292</v>
      </c>
      <c r="E177">
        <v>32.5</v>
      </c>
      <c r="F177">
        <v>2</v>
      </c>
      <c r="G177">
        <v>0</v>
      </c>
      <c r="H177">
        <v>65</v>
      </c>
    </row>
    <row r="178" spans="3:8" x14ac:dyDescent="0.3">
      <c r="C178" t="s">
        <v>2108</v>
      </c>
      <c r="D178" t="s">
        <v>2106</v>
      </c>
      <c r="E178">
        <v>55</v>
      </c>
      <c r="F178">
        <v>1</v>
      </c>
      <c r="G178">
        <v>0</v>
      </c>
      <c r="H178">
        <v>55</v>
      </c>
    </row>
    <row r="179" spans="3:8" x14ac:dyDescent="0.3">
      <c r="C179" t="s">
        <v>2122</v>
      </c>
      <c r="D179" t="s">
        <v>657</v>
      </c>
      <c r="E179">
        <v>120</v>
      </c>
      <c r="F179">
        <v>2</v>
      </c>
      <c r="G179">
        <v>15</v>
      </c>
      <c r="H179">
        <v>225</v>
      </c>
    </row>
    <row r="180" spans="3:8" x14ac:dyDescent="0.3">
      <c r="C180" t="s">
        <v>2122</v>
      </c>
      <c r="D180">
        <v>85001</v>
      </c>
      <c r="E180">
        <v>80</v>
      </c>
      <c r="F180">
        <v>1</v>
      </c>
      <c r="G180">
        <v>15</v>
      </c>
      <c r="H180">
        <v>65</v>
      </c>
    </row>
    <row r="181" spans="3:8" x14ac:dyDescent="0.3">
      <c r="C181" t="s">
        <v>2146</v>
      </c>
      <c r="D181" t="s">
        <v>292</v>
      </c>
      <c r="E181">
        <v>32.5</v>
      </c>
      <c r="F181">
        <v>2</v>
      </c>
      <c r="G181">
        <v>0</v>
      </c>
      <c r="H181">
        <v>65</v>
      </c>
    </row>
    <row r="182" spans="3:8" x14ac:dyDescent="0.3">
      <c r="C182" t="s">
        <v>2163</v>
      </c>
      <c r="D182" t="s">
        <v>873</v>
      </c>
      <c r="E182">
        <v>92.5</v>
      </c>
      <c r="F182">
        <v>2</v>
      </c>
      <c r="G182">
        <v>0</v>
      </c>
      <c r="H182">
        <v>185</v>
      </c>
    </row>
    <row r="183" spans="3:8" x14ac:dyDescent="0.3">
      <c r="C183" t="s">
        <v>2163</v>
      </c>
      <c r="D183" t="s">
        <v>2159</v>
      </c>
      <c r="E183">
        <v>115</v>
      </c>
      <c r="F183">
        <v>1</v>
      </c>
      <c r="G183">
        <v>15</v>
      </c>
      <c r="H183">
        <v>100</v>
      </c>
    </row>
    <row r="184" spans="3:8" x14ac:dyDescent="0.3">
      <c r="C184" t="s">
        <v>2163</v>
      </c>
      <c r="D184" t="s">
        <v>2161</v>
      </c>
      <c r="E184">
        <v>70</v>
      </c>
      <c r="F184">
        <v>1</v>
      </c>
      <c r="G184">
        <v>5</v>
      </c>
      <c r="H184">
        <v>65</v>
      </c>
    </row>
    <row r="185" spans="3:8" x14ac:dyDescent="0.3">
      <c r="C185" t="s">
        <v>2163</v>
      </c>
      <c r="D185" t="s">
        <v>539</v>
      </c>
      <c r="E185">
        <v>17.5</v>
      </c>
      <c r="F185">
        <v>2</v>
      </c>
      <c r="G185">
        <v>35</v>
      </c>
      <c r="H185">
        <v>0</v>
      </c>
    </row>
    <row r="186" spans="3:8" x14ac:dyDescent="0.3">
      <c r="C186" t="s">
        <v>2184</v>
      </c>
      <c r="D186" t="s">
        <v>2182</v>
      </c>
      <c r="E186">
        <v>70</v>
      </c>
      <c r="F186">
        <v>1</v>
      </c>
      <c r="G186">
        <v>0</v>
      </c>
      <c r="H186">
        <v>70</v>
      </c>
    </row>
    <row r="187" spans="3:8" x14ac:dyDescent="0.3">
      <c r="C187" t="s">
        <v>2184</v>
      </c>
      <c r="D187" t="s">
        <v>1533</v>
      </c>
      <c r="E187">
        <v>30</v>
      </c>
      <c r="F187">
        <v>2</v>
      </c>
      <c r="G187">
        <v>10</v>
      </c>
      <c r="H187">
        <v>50</v>
      </c>
    </row>
    <row r="188" spans="3:8" x14ac:dyDescent="0.3">
      <c r="C188" t="s">
        <v>2184</v>
      </c>
      <c r="D188" t="s">
        <v>2180</v>
      </c>
      <c r="E188">
        <v>75</v>
      </c>
      <c r="F188">
        <v>1</v>
      </c>
      <c r="G188">
        <v>0</v>
      </c>
      <c r="H188">
        <v>75</v>
      </c>
    </row>
    <row r="189" spans="3:8" x14ac:dyDescent="0.3">
      <c r="C189" t="s">
        <v>2184</v>
      </c>
      <c r="D189" t="s">
        <v>418</v>
      </c>
      <c r="E189">
        <v>65</v>
      </c>
      <c r="F189">
        <v>2</v>
      </c>
      <c r="G189">
        <v>5</v>
      </c>
      <c r="H189">
        <v>125</v>
      </c>
    </row>
    <row r="190" spans="3:8" x14ac:dyDescent="0.3">
      <c r="C190" t="s">
        <v>2192</v>
      </c>
      <c r="D190" t="s">
        <v>2189</v>
      </c>
      <c r="E190">
        <v>130</v>
      </c>
      <c r="F190">
        <v>2</v>
      </c>
      <c r="G190">
        <v>0</v>
      </c>
      <c r="H190">
        <v>260</v>
      </c>
    </row>
    <row r="191" spans="3:8" x14ac:dyDescent="0.3">
      <c r="C191" t="s">
        <v>2192</v>
      </c>
      <c r="D191">
        <v>82137</v>
      </c>
      <c r="E191">
        <v>70</v>
      </c>
      <c r="F191">
        <v>1</v>
      </c>
      <c r="G191">
        <v>30</v>
      </c>
      <c r="H191">
        <v>40</v>
      </c>
    </row>
    <row r="192" spans="3:8" x14ac:dyDescent="0.3">
      <c r="C192" t="s">
        <v>2196</v>
      </c>
      <c r="D192" t="s">
        <v>1997</v>
      </c>
      <c r="E192">
        <v>75</v>
      </c>
      <c r="F192">
        <v>2</v>
      </c>
      <c r="G192">
        <v>0</v>
      </c>
      <c r="H192">
        <v>150</v>
      </c>
    </row>
    <row r="193" spans="3:8" x14ac:dyDescent="0.3">
      <c r="C193" t="s">
        <v>2226</v>
      </c>
      <c r="D193" t="s">
        <v>2224</v>
      </c>
      <c r="E193">
        <v>50</v>
      </c>
      <c r="F193">
        <v>1</v>
      </c>
      <c r="G193">
        <v>0</v>
      </c>
      <c r="H193">
        <v>50</v>
      </c>
    </row>
    <row r="194" spans="3:8" x14ac:dyDescent="0.3">
      <c r="C194" t="s">
        <v>2226</v>
      </c>
      <c r="D194" t="s">
        <v>290</v>
      </c>
      <c r="E194">
        <v>27.5</v>
      </c>
      <c r="F194">
        <v>2</v>
      </c>
      <c r="G194">
        <v>5</v>
      </c>
      <c r="H194">
        <v>50</v>
      </c>
    </row>
    <row r="195" spans="3:8" x14ac:dyDescent="0.3">
      <c r="C195" t="s">
        <v>2242</v>
      </c>
      <c r="D195" t="s">
        <v>2240</v>
      </c>
      <c r="E195">
        <v>50</v>
      </c>
      <c r="F195">
        <v>1</v>
      </c>
      <c r="G195">
        <v>0</v>
      </c>
      <c r="H195">
        <v>50</v>
      </c>
    </row>
    <row r="196" spans="3:8" x14ac:dyDescent="0.3">
      <c r="C196" t="s">
        <v>2259</v>
      </c>
      <c r="D196" t="s">
        <v>369</v>
      </c>
      <c r="E196">
        <v>60</v>
      </c>
      <c r="F196">
        <v>2</v>
      </c>
      <c r="G196">
        <v>10</v>
      </c>
      <c r="H196">
        <v>110</v>
      </c>
    </row>
    <row r="197" spans="3:8" x14ac:dyDescent="0.3">
      <c r="C197" t="s">
        <v>2259</v>
      </c>
      <c r="D197" t="s">
        <v>2257</v>
      </c>
      <c r="E197">
        <v>130</v>
      </c>
      <c r="F197">
        <v>1</v>
      </c>
      <c r="G197">
        <v>0</v>
      </c>
      <c r="H197">
        <v>130</v>
      </c>
    </row>
    <row r="198" spans="3:8" x14ac:dyDescent="0.3">
      <c r="C198" t="s">
        <v>2259</v>
      </c>
      <c r="D198" t="s">
        <v>294</v>
      </c>
      <c r="E198">
        <v>5</v>
      </c>
      <c r="F198">
        <v>1</v>
      </c>
      <c r="G198">
        <v>5</v>
      </c>
      <c r="H198">
        <v>0</v>
      </c>
    </row>
    <row r="199" spans="3:8" x14ac:dyDescent="0.3">
      <c r="C199" t="s">
        <v>2282</v>
      </c>
      <c r="D199" t="s">
        <v>2280</v>
      </c>
      <c r="E199">
        <v>50</v>
      </c>
      <c r="F199">
        <v>1</v>
      </c>
      <c r="G199">
        <v>0</v>
      </c>
      <c r="H199">
        <v>50</v>
      </c>
    </row>
    <row r="200" spans="3:8" x14ac:dyDescent="0.3">
      <c r="C200" t="s">
        <v>2282</v>
      </c>
      <c r="D200" t="s">
        <v>369</v>
      </c>
      <c r="E200">
        <v>60</v>
      </c>
      <c r="F200">
        <v>2</v>
      </c>
      <c r="G200">
        <v>0</v>
      </c>
      <c r="H200">
        <v>120</v>
      </c>
    </row>
    <row r="201" spans="3:8" x14ac:dyDescent="0.3">
      <c r="C201" t="s">
        <v>2316</v>
      </c>
      <c r="D201" t="s">
        <v>2315</v>
      </c>
      <c r="E201">
        <v>50</v>
      </c>
      <c r="F201">
        <v>1</v>
      </c>
      <c r="G201">
        <v>0</v>
      </c>
      <c r="H201">
        <v>50</v>
      </c>
    </row>
    <row r="202" spans="3:8" x14ac:dyDescent="0.3">
      <c r="C202" t="s">
        <v>2316</v>
      </c>
      <c r="D202" t="s">
        <v>2313</v>
      </c>
      <c r="E202">
        <v>65</v>
      </c>
      <c r="F202">
        <v>1</v>
      </c>
      <c r="G202">
        <v>10</v>
      </c>
      <c r="H202">
        <v>55</v>
      </c>
    </row>
    <row r="203" spans="3:8" x14ac:dyDescent="0.3">
      <c r="C203" t="s">
        <v>2316</v>
      </c>
      <c r="D203" t="s">
        <v>290</v>
      </c>
      <c r="E203">
        <v>27.5</v>
      </c>
      <c r="F203">
        <v>4</v>
      </c>
      <c r="G203">
        <v>10</v>
      </c>
      <c r="H203">
        <v>100</v>
      </c>
    </row>
    <row r="204" spans="3:8" x14ac:dyDescent="0.3">
      <c r="C204" t="s">
        <v>2316</v>
      </c>
      <c r="D204" t="s">
        <v>539</v>
      </c>
      <c r="E204">
        <v>17.5</v>
      </c>
      <c r="F204">
        <v>2</v>
      </c>
      <c r="G204">
        <v>0</v>
      </c>
      <c r="H204">
        <v>35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9D209-F70B-4B2E-992A-F91F00ED24B2}">
  <sheetPr codeName="Hoja12"/>
  <dimension ref="D3:K84"/>
  <sheetViews>
    <sheetView workbookViewId="0">
      <selection activeCell="G23" sqref="G23"/>
    </sheetView>
  </sheetViews>
  <sheetFormatPr baseColWidth="10" defaultRowHeight="14.4" x14ac:dyDescent="0.3"/>
  <cols>
    <col min="6" max="6" width="12.6640625" customWidth="1"/>
    <col min="7" max="7" width="11.5546875" customWidth="1"/>
    <col min="8" max="8" width="13.6640625" customWidth="1"/>
    <col min="10" max="10" width="17.6640625" customWidth="1"/>
  </cols>
  <sheetData>
    <row r="3" spans="4:11" x14ac:dyDescent="0.3">
      <c r="G3" t="s">
        <v>230</v>
      </c>
    </row>
    <row r="5" spans="4:11" x14ac:dyDescent="0.3">
      <c r="E5">
        <v>1</v>
      </c>
      <c r="F5">
        <v>2</v>
      </c>
      <c r="G5">
        <v>3</v>
      </c>
      <c r="H5">
        <v>4</v>
      </c>
      <c r="I5">
        <v>5</v>
      </c>
      <c r="J5">
        <v>6</v>
      </c>
      <c r="K5">
        <v>7</v>
      </c>
    </row>
    <row r="7" spans="4:11" x14ac:dyDescent="0.3">
      <c r="D7" t="s">
        <v>1</v>
      </c>
      <c r="E7" t="s">
        <v>30</v>
      </c>
      <c r="F7" t="s">
        <v>228</v>
      </c>
      <c r="G7" t="s">
        <v>211</v>
      </c>
      <c r="H7" t="s">
        <v>225</v>
      </c>
      <c r="I7" t="s">
        <v>226</v>
      </c>
      <c r="J7" t="s">
        <v>227</v>
      </c>
      <c r="K7" t="s">
        <v>229</v>
      </c>
    </row>
    <row r="8" spans="4:11" x14ac:dyDescent="0.3">
      <c r="D8" t="s">
        <v>195</v>
      </c>
    </row>
    <row r="9" spans="4:11" x14ac:dyDescent="0.3">
      <c r="D9" t="s">
        <v>302</v>
      </c>
      <c r="E9" s="8">
        <v>46027</v>
      </c>
      <c r="F9" t="s">
        <v>286</v>
      </c>
      <c r="G9" t="s">
        <v>300</v>
      </c>
      <c r="H9">
        <v>65</v>
      </c>
      <c r="I9">
        <v>40</v>
      </c>
      <c r="J9">
        <v>25</v>
      </c>
      <c r="K9" t="s">
        <v>303</v>
      </c>
    </row>
    <row r="10" spans="4:11" x14ac:dyDescent="0.3">
      <c r="D10" t="s">
        <v>378</v>
      </c>
      <c r="E10" s="8">
        <v>46028</v>
      </c>
      <c r="F10" t="s">
        <v>346</v>
      </c>
      <c r="G10" t="s">
        <v>377</v>
      </c>
      <c r="H10">
        <v>216.2</v>
      </c>
      <c r="I10">
        <v>0</v>
      </c>
      <c r="J10">
        <v>216.2</v>
      </c>
      <c r="K10" t="s">
        <v>379</v>
      </c>
    </row>
    <row r="11" spans="4:11" x14ac:dyDescent="0.3">
      <c r="D11" t="s">
        <v>441</v>
      </c>
      <c r="E11" s="8">
        <v>46028</v>
      </c>
      <c r="F11" t="s">
        <v>421</v>
      </c>
      <c r="G11" t="s">
        <v>440</v>
      </c>
      <c r="H11">
        <v>175</v>
      </c>
      <c r="I11">
        <v>20</v>
      </c>
      <c r="J11">
        <v>155</v>
      </c>
      <c r="K11" t="s">
        <v>442</v>
      </c>
    </row>
    <row r="12" spans="4:11" x14ac:dyDescent="0.3">
      <c r="D12" t="s">
        <v>446</v>
      </c>
      <c r="E12" s="8">
        <v>46028</v>
      </c>
      <c r="F12" t="s">
        <v>371</v>
      </c>
      <c r="G12" t="s">
        <v>444</v>
      </c>
      <c r="H12">
        <v>200</v>
      </c>
      <c r="I12">
        <v>40</v>
      </c>
      <c r="J12">
        <v>160</v>
      </c>
      <c r="K12" t="s">
        <v>442</v>
      </c>
    </row>
    <row r="13" spans="4:11" x14ac:dyDescent="0.3">
      <c r="D13" t="s">
        <v>448</v>
      </c>
      <c r="E13" s="8">
        <v>46028</v>
      </c>
      <c r="F13" t="s">
        <v>371</v>
      </c>
      <c r="G13" t="s">
        <v>444</v>
      </c>
      <c r="I13">
        <v>160</v>
      </c>
      <c r="J13">
        <v>0</v>
      </c>
      <c r="K13" t="s">
        <v>449</v>
      </c>
    </row>
    <row r="14" spans="4:11" x14ac:dyDescent="0.3">
      <c r="D14" t="s">
        <v>448</v>
      </c>
      <c r="E14" s="8">
        <v>46028</v>
      </c>
      <c r="F14" t="s">
        <v>451</v>
      </c>
      <c r="G14" t="s">
        <v>458</v>
      </c>
      <c r="H14">
        <v>12</v>
      </c>
      <c r="I14">
        <v>0</v>
      </c>
      <c r="J14">
        <v>12</v>
      </c>
      <c r="K14" t="s">
        <v>455</v>
      </c>
    </row>
    <row r="15" spans="4:11" x14ac:dyDescent="0.3">
      <c r="D15" t="s">
        <v>532</v>
      </c>
      <c r="E15" s="8">
        <v>46029</v>
      </c>
      <c r="F15" t="s">
        <v>286</v>
      </c>
      <c r="G15" t="s">
        <v>300</v>
      </c>
      <c r="I15">
        <v>25</v>
      </c>
      <c r="J15">
        <v>0</v>
      </c>
      <c r="K15" t="s">
        <v>449</v>
      </c>
    </row>
    <row r="16" spans="4:11" x14ac:dyDescent="0.3">
      <c r="D16" t="s">
        <v>533</v>
      </c>
      <c r="E16" s="8">
        <v>46029</v>
      </c>
      <c r="F16" t="s">
        <v>346</v>
      </c>
      <c r="G16" t="s">
        <v>377</v>
      </c>
      <c r="I16">
        <v>216.2</v>
      </c>
      <c r="J16">
        <v>0</v>
      </c>
      <c r="K16" t="s">
        <v>534</v>
      </c>
    </row>
    <row r="17" spans="4:11" x14ac:dyDescent="0.3">
      <c r="D17" t="s">
        <v>535</v>
      </c>
      <c r="E17" s="8">
        <v>46029</v>
      </c>
      <c r="F17" t="s">
        <v>451</v>
      </c>
      <c r="G17" t="s">
        <v>458</v>
      </c>
      <c r="I17">
        <v>12</v>
      </c>
      <c r="J17">
        <v>0</v>
      </c>
      <c r="K17" t="s">
        <v>536</v>
      </c>
    </row>
    <row r="18" spans="4:11" x14ac:dyDescent="0.3">
      <c r="D18" t="s">
        <v>535</v>
      </c>
      <c r="E18" s="8">
        <v>46029</v>
      </c>
      <c r="F18" t="s">
        <v>470</v>
      </c>
      <c r="G18" t="s">
        <v>541</v>
      </c>
      <c r="H18">
        <v>40</v>
      </c>
      <c r="I18">
        <v>10</v>
      </c>
      <c r="J18">
        <v>30</v>
      </c>
      <c r="K18" t="s">
        <v>542</v>
      </c>
    </row>
    <row r="19" spans="4:11" x14ac:dyDescent="0.3">
      <c r="D19" t="s">
        <v>544</v>
      </c>
      <c r="E19" s="8">
        <v>46029</v>
      </c>
      <c r="F19" t="s">
        <v>470</v>
      </c>
      <c r="G19" t="s">
        <v>541</v>
      </c>
      <c r="I19">
        <v>30</v>
      </c>
      <c r="J19">
        <v>0</v>
      </c>
      <c r="K19" t="s">
        <v>534</v>
      </c>
    </row>
    <row r="20" spans="4:11" x14ac:dyDescent="0.3">
      <c r="D20" t="s">
        <v>549</v>
      </c>
      <c r="E20" s="8">
        <v>46029</v>
      </c>
      <c r="F20" t="s">
        <v>475</v>
      </c>
      <c r="G20" t="s">
        <v>550</v>
      </c>
      <c r="H20">
        <v>175</v>
      </c>
      <c r="I20">
        <v>50</v>
      </c>
      <c r="J20">
        <v>125</v>
      </c>
      <c r="K20" t="s">
        <v>542</v>
      </c>
    </row>
    <row r="21" spans="4:11" x14ac:dyDescent="0.3">
      <c r="D21" t="s">
        <v>552</v>
      </c>
      <c r="E21" s="8">
        <v>46029</v>
      </c>
      <c r="F21" t="s">
        <v>475</v>
      </c>
      <c r="G21" t="s">
        <v>550</v>
      </c>
      <c r="I21">
        <v>125</v>
      </c>
      <c r="J21">
        <v>0</v>
      </c>
      <c r="K21" t="s">
        <v>534</v>
      </c>
    </row>
    <row r="22" spans="4:11" x14ac:dyDescent="0.3">
      <c r="D22" t="s">
        <v>552</v>
      </c>
      <c r="E22" s="8">
        <v>46029</v>
      </c>
      <c r="F22" t="s">
        <v>481</v>
      </c>
      <c r="G22" t="s">
        <v>555</v>
      </c>
      <c r="H22">
        <v>225</v>
      </c>
      <c r="I22">
        <v>0</v>
      </c>
      <c r="J22">
        <v>225</v>
      </c>
      <c r="K22" t="s">
        <v>556</v>
      </c>
    </row>
    <row r="23" spans="4:11" x14ac:dyDescent="0.3">
      <c r="D23" t="s">
        <v>581</v>
      </c>
      <c r="E23" s="8">
        <v>46029</v>
      </c>
      <c r="F23" t="s">
        <v>558</v>
      </c>
      <c r="G23" t="s">
        <v>580</v>
      </c>
      <c r="H23">
        <v>235</v>
      </c>
      <c r="I23">
        <v>50</v>
      </c>
      <c r="J23">
        <v>185</v>
      </c>
      <c r="K23" t="s">
        <v>582</v>
      </c>
    </row>
    <row r="24" spans="4:11" x14ac:dyDescent="0.3">
      <c r="D24" t="s">
        <v>597</v>
      </c>
      <c r="E24" s="8">
        <v>46030</v>
      </c>
      <c r="F24" t="s">
        <v>584</v>
      </c>
      <c r="G24" t="s">
        <v>596</v>
      </c>
      <c r="H24">
        <v>80</v>
      </c>
      <c r="I24">
        <v>0</v>
      </c>
      <c r="J24">
        <v>80</v>
      </c>
      <c r="K24" t="s">
        <v>598</v>
      </c>
    </row>
    <row r="25" spans="4:11" x14ac:dyDescent="0.3">
      <c r="D25" t="s">
        <v>642</v>
      </c>
      <c r="E25" s="8">
        <v>46030</v>
      </c>
      <c r="F25" t="s">
        <v>610</v>
      </c>
      <c r="G25" t="s">
        <v>641</v>
      </c>
      <c r="H25">
        <v>330</v>
      </c>
      <c r="I25">
        <v>100</v>
      </c>
      <c r="J25">
        <v>230</v>
      </c>
      <c r="K25" t="s">
        <v>542</v>
      </c>
    </row>
    <row r="26" spans="4:11" x14ac:dyDescent="0.3">
      <c r="D26" t="s">
        <v>660</v>
      </c>
      <c r="E26" s="8">
        <v>46030</v>
      </c>
      <c r="F26" t="s">
        <v>634</v>
      </c>
      <c r="G26" t="s">
        <v>659</v>
      </c>
      <c r="H26">
        <v>220</v>
      </c>
      <c r="I26">
        <v>110</v>
      </c>
      <c r="J26">
        <v>110</v>
      </c>
      <c r="K26" t="s">
        <v>661</v>
      </c>
    </row>
    <row r="27" spans="4:11" x14ac:dyDescent="0.3">
      <c r="D27" t="s">
        <v>684</v>
      </c>
      <c r="E27" s="8">
        <v>46031</v>
      </c>
      <c r="F27" t="s">
        <v>667</v>
      </c>
      <c r="G27" t="s">
        <v>683</v>
      </c>
      <c r="H27">
        <v>40</v>
      </c>
      <c r="I27">
        <v>20</v>
      </c>
      <c r="J27">
        <v>20</v>
      </c>
      <c r="K27" t="s">
        <v>685</v>
      </c>
    </row>
    <row r="28" spans="4:11" x14ac:dyDescent="0.3">
      <c r="D28" t="s">
        <v>687</v>
      </c>
      <c r="E28" s="8">
        <v>46031</v>
      </c>
      <c r="F28" t="s">
        <v>667</v>
      </c>
      <c r="G28" t="s">
        <v>683</v>
      </c>
      <c r="I28">
        <v>20</v>
      </c>
      <c r="J28">
        <v>0</v>
      </c>
      <c r="K28" t="s">
        <v>688</v>
      </c>
    </row>
    <row r="29" spans="4:11" x14ac:dyDescent="0.3">
      <c r="D29" t="s">
        <v>687</v>
      </c>
      <c r="E29" s="8">
        <v>46031</v>
      </c>
      <c r="F29" t="s">
        <v>710</v>
      </c>
      <c r="G29" t="s">
        <v>726</v>
      </c>
      <c r="H29">
        <v>290</v>
      </c>
      <c r="I29">
        <v>80</v>
      </c>
      <c r="J29">
        <v>210</v>
      </c>
      <c r="K29" t="s">
        <v>727</v>
      </c>
    </row>
    <row r="30" spans="4:11" x14ac:dyDescent="0.3">
      <c r="D30" t="s">
        <v>735</v>
      </c>
      <c r="E30" s="8">
        <v>46031</v>
      </c>
      <c r="F30" t="s">
        <v>283</v>
      </c>
      <c r="G30" t="s">
        <v>734</v>
      </c>
      <c r="H30">
        <v>180</v>
      </c>
      <c r="I30">
        <v>140</v>
      </c>
      <c r="J30">
        <v>40</v>
      </c>
      <c r="K30" t="s">
        <v>542</v>
      </c>
    </row>
    <row r="31" spans="4:11" x14ac:dyDescent="0.3">
      <c r="D31" t="s">
        <v>738</v>
      </c>
      <c r="E31" s="8">
        <v>46031</v>
      </c>
      <c r="F31" t="s">
        <v>710</v>
      </c>
      <c r="G31" t="s">
        <v>726</v>
      </c>
      <c r="I31">
        <v>20</v>
      </c>
      <c r="J31">
        <v>190</v>
      </c>
      <c r="K31" t="s">
        <v>739</v>
      </c>
    </row>
    <row r="32" spans="4:11" x14ac:dyDescent="0.3">
      <c r="D32" t="s">
        <v>749</v>
      </c>
      <c r="E32" s="8">
        <v>46031</v>
      </c>
      <c r="F32" t="s">
        <v>421</v>
      </c>
      <c r="G32" t="s">
        <v>440</v>
      </c>
      <c r="I32">
        <v>155</v>
      </c>
      <c r="J32">
        <v>0</v>
      </c>
      <c r="K32" t="s">
        <v>534</v>
      </c>
    </row>
    <row r="33" spans="4:11" x14ac:dyDescent="0.3">
      <c r="D33" t="s">
        <v>750</v>
      </c>
      <c r="E33" s="8">
        <v>46031</v>
      </c>
      <c r="F33" t="s">
        <v>584</v>
      </c>
      <c r="G33" t="s">
        <v>596</v>
      </c>
      <c r="I33">
        <v>80</v>
      </c>
      <c r="J33">
        <v>0</v>
      </c>
      <c r="K33" t="s">
        <v>751</v>
      </c>
    </row>
    <row r="34" spans="4:11" x14ac:dyDescent="0.3">
      <c r="D34" t="s">
        <v>750</v>
      </c>
      <c r="E34" s="8">
        <v>46032</v>
      </c>
      <c r="F34" t="s">
        <v>752</v>
      </c>
      <c r="G34" t="s">
        <v>771</v>
      </c>
      <c r="H34">
        <v>140</v>
      </c>
      <c r="I34">
        <v>20</v>
      </c>
      <c r="J34">
        <v>120</v>
      </c>
      <c r="K34" t="s">
        <v>772</v>
      </c>
    </row>
    <row r="35" spans="4:11" x14ac:dyDescent="0.3">
      <c r="D35" t="s">
        <v>823</v>
      </c>
      <c r="E35" s="8">
        <v>46035</v>
      </c>
      <c r="F35" t="s">
        <v>808</v>
      </c>
      <c r="G35" t="s">
        <v>822</v>
      </c>
      <c r="H35">
        <v>120</v>
      </c>
      <c r="I35">
        <v>60</v>
      </c>
      <c r="J35">
        <v>60</v>
      </c>
      <c r="K35" t="s">
        <v>824</v>
      </c>
    </row>
    <row r="36" spans="4:11" x14ac:dyDescent="0.3">
      <c r="D36" t="s">
        <v>840</v>
      </c>
      <c r="E36" s="8">
        <v>46035</v>
      </c>
      <c r="F36" t="s">
        <v>826</v>
      </c>
      <c r="G36" t="s">
        <v>839</v>
      </c>
      <c r="H36">
        <v>190</v>
      </c>
      <c r="I36">
        <v>100</v>
      </c>
      <c r="J36">
        <v>90</v>
      </c>
      <c r="K36" t="s">
        <v>542</v>
      </c>
    </row>
    <row r="37" spans="4:11" x14ac:dyDescent="0.3">
      <c r="D37" t="s">
        <v>858</v>
      </c>
      <c r="E37" s="8">
        <v>46035</v>
      </c>
      <c r="F37" t="s">
        <v>844</v>
      </c>
      <c r="G37" t="s">
        <v>857</v>
      </c>
      <c r="H37">
        <v>266</v>
      </c>
      <c r="I37">
        <v>150</v>
      </c>
      <c r="J37">
        <v>116</v>
      </c>
      <c r="K37" t="s">
        <v>824</v>
      </c>
    </row>
    <row r="38" spans="4:11" x14ac:dyDescent="0.3">
      <c r="D38" t="s">
        <v>876</v>
      </c>
      <c r="E38" s="8">
        <v>46035</v>
      </c>
      <c r="F38" t="s">
        <v>861</v>
      </c>
      <c r="G38" t="s">
        <v>875</v>
      </c>
      <c r="H38">
        <v>175</v>
      </c>
      <c r="I38">
        <v>60</v>
      </c>
      <c r="J38">
        <v>115</v>
      </c>
      <c r="K38" t="s">
        <v>877</v>
      </c>
    </row>
    <row r="39" spans="4:11" x14ac:dyDescent="0.3">
      <c r="D39" t="s">
        <v>902</v>
      </c>
      <c r="E39" s="8">
        <v>46035</v>
      </c>
      <c r="F39" t="s">
        <v>887</v>
      </c>
      <c r="G39" t="s">
        <v>901</v>
      </c>
      <c r="H39">
        <v>130</v>
      </c>
      <c r="I39">
        <v>60</v>
      </c>
      <c r="J39">
        <v>70</v>
      </c>
      <c r="K39" t="s">
        <v>582</v>
      </c>
    </row>
    <row r="40" spans="4:11" x14ac:dyDescent="0.3">
      <c r="D40" t="s">
        <v>920</v>
      </c>
      <c r="E40" s="8">
        <v>46035</v>
      </c>
      <c r="F40" t="s">
        <v>904</v>
      </c>
      <c r="G40" t="s">
        <v>919</v>
      </c>
      <c r="H40">
        <v>270</v>
      </c>
      <c r="I40">
        <v>70</v>
      </c>
      <c r="J40">
        <v>200</v>
      </c>
      <c r="K40" t="s">
        <v>542</v>
      </c>
    </row>
    <row r="41" spans="4:11" x14ac:dyDescent="0.3">
      <c r="D41" t="s">
        <v>936</v>
      </c>
      <c r="E41" s="8">
        <v>46036</v>
      </c>
      <c r="F41" t="s">
        <v>793</v>
      </c>
      <c r="G41" t="s">
        <v>935</v>
      </c>
      <c r="H41">
        <v>250</v>
      </c>
      <c r="I41">
        <v>50</v>
      </c>
      <c r="J41">
        <v>200</v>
      </c>
      <c r="K41" t="s">
        <v>937</v>
      </c>
    </row>
    <row r="42" spans="4:11" x14ac:dyDescent="0.3">
      <c r="D42" t="s">
        <v>980</v>
      </c>
      <c r="E42" s="8">
        <v>46038</v>
      </c>
      <c r="F42" t="s">
        <v>968</v>
      </c>
      <c r="G42" t="s">
        <v>979</v>
      </c>
      <c r="H42">
        <v>135</v>
      </c>
      <c r="I42">
        <v>40</v>
      </c>
      <c r="J42">
        <v>95</v>
      </c>
      <c r="K42" t="s">
        <v>877</v>
      </c>
    </row>
    <row r="43" spans="4:11" x14ac:dyDescent="0.3">
      <c r="D43" t="s">
        <v>1006</v>
      </c>
      <c r="E43" s="8">
        <v>46038</v>
      </c>
      <c r="F43" t="s">
        <v>985</v>
      </c>
      <c r="G43" t="s">
        <v>1005</v>
      </c>
      <c r="H43">
        <v>165</v>
      </c>
      <c r="I43">
        <v>40</v>
      </c>
      <c r="J43">
        <v>125</v>
      </c>
      <c r="K43" t="s">
        <v>542</v>
      </c>
    </row>
    <row r="44" spans="4:11" x14ac:dyDescent="0.3">
      <c r="D44" t="s">
        <v>1027</v>
      </c>
      <c r="E44" s="8">
        <v>46038</v>
      </c>
      <c r="F44" t="s">
        <v>1011</v>
      </c>
      <c r="G44" t="s">
        <v>1026</v>
      </c>
      <c r="H44">
        <v>310</v>
      </c>
      <c r="I44">
        <v>40</v>
      </c>
      <c r="J44">
        <v>270</v>
      </c>
      <c r="K44" t="s">
        <v>542</v>
      </c>
    </row>
    <row r="45" spans="4:11" x14ac:dyDescent="0.3">
      <c r="D45" t="s">
        <v>1102</v>
      </c>
      <c r="E45" s="8">
        <v>46041</v>
      </c>
      <c r="F45" t="s">
        <v>1084</v>
      </c>
      <c r="G45" t="s">
        <v>1101</v>
      </c>
      <c r="H45">
        <v>130</v>
      </c>
      <c r="I45">
        <v>0</v>
      </c>
      <c r="J45">
        <v>130</v>
      </c>
      <c r="K45" t="s">
        <v>442</v>
      </c>
    </row>
    <row r="46" spans="4:11" x14ac:dyDescent="0.3">
      <c r="D46" t="s">
        <v>1116</v>
      </c>
      <c r="E46" s="8">
        <v>46041</v>
      </c>
      <c r="F46" t="s">
        <v>1106</v>
      </c>
      <c r="G46" t="s">
        <v>1115</v>
      </c>
      <c r="H46">
        <v>120</v>
      </c>
      <c r="I46">
        <v>40</v>
      </c>
      <c r="J46">
        <v>80</v>
      </c>
      <c r="K46" t="s">
        <v>1117</v>
      </c>
    </row>
    <row r="47" spans="4:11" x14ac:dyDescent="0.3">
      <c r="D47" t="s">
        <v>1149</v>
      </c>
      <c r="E47" s="8">
        <v>46043</v>
      </c>
      <c r="F47" t="s">
        <v>1139</v>
      </c>
      <c r="G47" t="s">
        <v>1148</v>
      </c>
      <c r="H47">
        <v>130</v>
      </c>
      <c r="I47">
        <v>40</v>
      </c>
      <c r="J47">
        <v>90</v>
      </c>
      <c r="K47" t="s">
        <v>1150</v>
      </c>
    </row>
    <row r="48" spans="4:11" x14ac:dyDescent="0.3">
      <c r="D48" t="s">
        <v>1164</v>
      </c>
      <c r="E48" s="8">
        <v>46043</v>
      </c>
      <c r="F48" t="s">
        <v>1153</v>
      </c>
      <c r="G48" t="s">
        <v>1163</v>
      </c>
      <c r="H48">
        <v>110</v>
      </c>
      <c r="I48">
        <v>60</v>
      </c>
      <c r="J48">
        <v>50</v>
      </c>
      <c r="K48" t="s">
        <v>772</v>
      </c>
    </row>
    <row r="49" spans="4:11" x14ac:dyDescent="0.3">
      <c r="D49" t="s">
        <v>1200</v>
      </c>
      <c r="E49" s="8">
        <v>46045</v>
      </c>
      <c r="F49" t="s">
        <v>1187</v>
      </c>
      <c r="G49" t="s">
        <v>1199</v>
      </c>
      <c r="H49">
        <v>150</v>
      </c>
      <c r="I49">
        <v>50</v>
      </c>
      <c r="J49">
        <v>100</v>
      </c>
      <c r="K49" t="s">
        <v>1201</v>
      </c>
    </row>
    <row r="50" spans="4:11" x14ac:dyDescent="0.3">
      <c r="D50" t="s">
        <v>1237</v>
      </c>
      <c r="E50" s="8">
        <v>46045</v>
      </c>
      <c r="F50" t="s">
        <v>1220</v>
      </c>
      <c r="G50" t="s">
        <v>1236</v>
      </c>
      <c r="H50">
        <v>155</v>
      </c>
      <c r="I50">
        <v>0</v>
      </c>
      <c r="J50">
        <v>155</v>
      </c>
      <c r="K50" t="s">
        <v>442</v>
      </c>
    </row>
    <row r="51" spans="4:11" x14ac:dyDescent="0.3">
      <c r="D51" t="s">
        <v>1256</v>
      </c>
      <c r="E51" s="8">
        <v>46045</v>
      </c>
      <c r="F51" t="s">
        <v>1241</v>
      </c>
      <c r="G51" t="s">
        <v>1255</v>
      </c>
      <c r="H51">
        <v>110</v>
      </c>
      <c r="I51">
        <v>50</v>
      </c>
      <c r="J51">
        <v>60</v>
      </c>
      <c r="K51" t="s">
        <v>1201</v>
      </c>
    </row>
    <row r="52" spans="4:11" x14ac:dyDescent="0.3">
      <c r="D52" t="s">
        <v>1274</v>
      </c>
      <c r="E52" s="8">
        <v>46048</v>
      </c>
      <c r="F52" t="s">
        <v>1263</v>
      </c>
      <c r="G52" t="s">
        <v>1273</v>
      </c>
      <c r="H52">
        <v>119.6</v>
      </c>
      <c r="I52">
        <v>40</v>
      </c>
      <c r="J52">
        <v>79.599999999999994</v>
      </c>
      <c r="K52" t="s">
        <v>542</v>
      </c>
    </row>
    <row r="53" spans="4:11" x14ac:dyDescent="0.3">
      <c r="D53" t="s">
        <v>1358</v>
      </c>
      <c r="E53" s="8">
        <v>46052</v>
      </c>
      <c r="F53" t="s">
        <v>1320</v>
      </c>
      <c r="G53" t="s">
        <v>1357</v>
      </c>
      <c r="H53">
        <v>45</v>
      </c>
      <c r="I53">
        <v>25</v>
      </c>
      <c r="J53">
        <v>20</v>
      </c>
      <c r="K53" t="s">
        <v>542</v>
      </c>
    </row>
    <row r="54" spans="4:11" x14ac:dyDescent="0.3">
      <c r="D54" t="s">
        <v>1394</v>
      </c>
      <c r="E54" s="8">
        <v>46055</v>
      </c>
      <c r="F54" t="s">
        <v>1384</v>
      </c>
      <c r="G54" t="s">
        <v>1393</v>
      </c>
      <c r="H54">
        <v>140</v>
      </c>
      <c r="I54">
        <v>70</v>
      </c>
      <c r="J54">
        <v>70</v>
      </c>
      <c r="K54" t="s">
        <v>1395</v>
      </c>
    </row>
    <row r="55" spans="4:11" x14ac:dyDescent="0.3">
      <c r="D55" t="s">
        <v>1448</v>
      </c>
      <c r="E55" s="8">
        <v>46058</v>
      </c>
      <c r="G55" t="s">
        <v>1447</v>
      </c>
      <c r="H55">
        <v>180</v>
      </c>
      <c r="I55">
        <v>50</v>
      </c>
      <c r="J55">
        <v>130</v>
      </c>
      <c r="K55" t="s">
        <v>1201</v>
      </c>
    </row>
    <row r="56" spans="4:11" x14ac:dyDescent="0.3">
      <c r="D56" t="s">
        <v>1481</v>
      </c>
      <c r="E56" s="8">
        <v>46058</v>
      </c>
      <c r="F56" t="s">
        <v>1474</v>
      </c>
      <c r="G56" t="s">
        <v>1480</v>
      </c>
      <c r="H56">
        <v>12</v>
      </c>
      <c r="I56">
        <v>0</v>
      </c>
      <c r="J56">
        <v>12</v>
      </c>
      <c r="K56" t="s">
        <v>1482</v>
      </c>
    </row>
    <row r="57" spans="4:11" x14ac:dyDescent="0.3">
      <c r="D57" t="s">
        <v>1557</v>
      </c>
      <c r="E57" s="8">
        <v>46062</v>
      </c>
      <c r="F57" t="s">
        <v>1544</v>
      </c>
      <c r="G57" t="s">
        <v>1556</v>
      </c>
      <c r="H57">
        <v>85</v>
      </c>
      <c r="I57">
        <v>30</v>
      </c>
      <c r="J57">
        <v>55</v>
      </c>
      <c r="K57" t="s">
        <v>1150</v>
      </c>
    </row>
    <row r="58" spans="4:11" x14ac:dyDescent="0.3">
      <c r="D58" t="s">
        <v>1567</v>
      </c>
      <c r="E58" s="8">
        <v>46062</v>
      </c>
      <c r="F58" t="s">
        <v>1548</v>
      </c>
      <c r="G58" t="s">
        <v>1566</v>
      </c>
      <c r="H58">
        <v>60</v>
      </c>
      <c r="I58">
        <v>0</v>
      </c>
      <c r="J58">
        <v>60</v>
      </c>
      <c r="K58" t="s">
        <v>1568</v>
      </c>
    </row>
    <row r="59" spans="4:11" x14ac:dyDescent="0.3">
      <c r="D59" t="s">
        <v>1617</v>
      </c>
      <c r="E59" s="8">
        <v>46064</v>
      </c>
      <c r="F59" t="s">
        <v>1593</v>
      </c>
      <c r="G59" t="s">
        <v>1616</v>
      </c>
      <c r="H59">
        <v>270</v>
      </c>
      <c r="I59">
        <v>200</v>
      </c>
      <c r="J59">
        <v>70</v>
      </c>
      <c r="K59" t="s">
        <v>1618</v>
      </c>
    </row>
    <row r="60" spans="4:11" x14ac:dyDescent="0.3">
      <c r="D60" t="s">
        <v>1635</v>
      </c>
      <c r="E60" s="8">
        <v>46066</v>
      </c>
      <c r="F60" t="s">
        <v>1626</v>
      </c>
      <c r="G60" t="s">
        <v>1634</v>
      </c>
      <c r="H60">
        <v>370</v>
      </c>
      <c r="I60">
        <v>200</v>
      </c>
      <c r="J60">
        <v>170</v>
      </c>
      <c r="K60" t="s">
        <v>1150</v>
      </c>
    </row>
    <row r="61" spans="4:11" x14ac:dyDescent="0.3">
      <c r="D61" t="s">
        <v>1661</v>
      </c>
      <c r="E61" s="8">
        <v>46066</v>
      </c>
      <c r="F61" t="s">
        <v>1651</v>
      </c>
      <c r="G61" t="s">
        <v>1660</v>
      </c>
      <c r="H61">
        <v>290</v>
      </c>
      <c r="I61">
        <v>0</v>
      </c>
      <c r="J61">
        <v>290</v>
      </c>
      <c r="K61" t="s">
        <v>1662</v>
      </c>
    </row>
    <row r="62" spans="4:11" x14ac:dyDescent="0.3">
      <c r="D62" t="s">
        <v>1678</v>
      </c>
      <c r="E62" s="8">
        <v>46070</v>
      </c>
      <c r="F62" t="s">
        <v>1668</v>
      </c>
      <c r="G62" t="s">
        <v>1677</v>
      </c>
      <c r="H62">
        <v>220</v>
      </c>
      <c r="I62">
        <v>120</v>
      </c>
      <c r="J62">
        <v>100</v>
      </c>
      <c r="K62" t="s">
        <v>542</v>
      </c>
    </row>
    <row r="63" spans="4:11" x14ac:dyDescent="0.3">
      <c r="D63" t="s">
        <v>1730</v>
      </c>
      <c r="E63" s="8">
        <v>46070</v>
      </c>
      <c r="F63" t="s">
        <v>1699</v>
      </c>
      <c r="G63" t="s">
        <v>1729</v>
      </c>
      <c r="H63">
        <v>370</v>
      </c>
      <c r="I63">
        <v>200</v>
      </c>
      <c r="J63">
        <v>170</v>
      </c>
      <c r="K63" t="s">
        <v>1731</v>
      </c>
    </row>
    <row r="64" spans="4:11" x14ac:dyDescent="0.3">
      <c r="D64" t="s">
        <v>1751</v>
      </c>
      <c r="E64" s="8">
        <v>46071</v>
      </c>
      <c r="F64" t="s">
        <v>1744</v>
      </c>
      <c r="G64" t="s">
        <v>1750</v>
      </c>
      <c r="H64">
        <v>185</v>
      </c>
      <c r="I64">
        <v>60</v>
      </c>
      <c r="J64">
        <v>125</v>
      </c>
      <c r="K64" t="s">
        <v>772</v>
      </c>
    </row>
    <row r="65" spans="4:11" x14ac:dyDescent="0.3">
      <c r="D65" t="s">
        <v>1787</v>
      </c>
      <c r="E65" s="8">
        <v>46071</v>
      </c>
      <c r="F65" t="s">
        <v>1772</v>
      </c>
      <c r="G65" t="s">
        <v>1786</v>
      </c>
      <c r="H65">
        <v>220</v>
      </c>
      <c r="I65">
        <v>100</v>
      </c>
      <c r="J65">
        <v>120</v>
      </c>
      <c r="K65" t="s">
        <v>1788</v>
      </c>
    </row>
    <row r="66" spans="4:11" x14ac:dyDescent="0.3">
      <c r="D66" t="s">
        <v>1820</v>
      </c>
      <c r="E66" s="8">
        <v>46072</v>
      </c>
      <c r="F66" t="s">
        <v>1810</v>
      </c>
      <c r="G66" t="s">
        <v>1819</v>
      </c>
      <c r="H66">
        <v>190</v>
      </c>
      <c r="I66">
        <v>0</v>
      </c>
      <c r="J66">
        <v>190</v>
      </c>
    </row>
    <row r="67" spans="4:11" x14ac:dyDescent="0.3">
      <c r="D67" t="s">
        <v>1862</v>
      </c>
      <c r="E67" s="8">
        <v>46076</v>
      </c>
      <c r="F67" t="s">
        <v>1851</v>
      </c>
      <c r="G67" t="s">
        <v>1860</v>
      </c>
      <c r="H67">
        <v>300</v>
      </c>
      <c r="I67">
        <v>150</v>
      </c>
      <c r="J67">
        <v>150</v>
      </c>
      <c r="K67" t="s">
        <v>542</v>
      </c>
    </row>
    <row r="68" spans="4:11" x14ac:dyDescent="0.3">
      <c r="D68" t="s">
        <v>1867</v>
      </c>
      <c r="E68" s="8">
        <v>46076</v>
      </c>
      <c r="F68" t="s">
        <v>1846</v>
      </c>
      <c r="G68" t="s">
        <v>1866</v>
      </c>
      <c r="H68">
        <v>190</v>
      </c>
      <c r="I68">
        <v>100</v>
      </c>
      <c r="J68">
        <v>90</v>
      </c>
      <c r="K68" t="s">
        <v>1117</v>
      </c>
    </row>
    <row r="69" spans="4:11" x14ac:dyDescent="0.3">
      <c r="D69" t="s">
        <v>1887</v>
      </c>
      <c r="E69" s="8">
        <v>46076</v>
      </c>
      <c r="F69" t="s">
        <v>1875</v>
      </c>
      <c r="G69" t="s">
        <v>1886</v>
      </c>
      <c r="H69">
        <v>65</v>
      </c>
      <c r="I69">
        <v>0</v>
      </c>
      <c r="J69">
        <v>65</v>
      </c>
      <c r="K69" t="s">
        <v>565</v>
      </c>
    </row>
    <row r="70" spans="4:11" x14ac:dyDescent="0.3">
      <c r="D70" t="s">
        <v>1890</v>
      </c>
      <c r="E70" s="8">
        <v>46076</v>
      </c>
      <c r="F70" t="s">
        <v>1869</v>
      </c>
      <c r="G70" t="s">
        <v>1889</v>
      </c>
      <c r="H70">
        <v>185</v>
      </c>
      <c r="I70">
        <v>100</v>
      </c>
      <c r="J70">
        <v>85</v>
      </c>
      <c r="K70" t="s">
        <v>542</v>
      </c>
    </row>
    <row r="71" spans="4:11" x14ac:dyDescent="0.3">
      <c r="D71" t="s">
        <v>1898</v>
      </c>
      <c r="E71" s="8">
        <v>46076</v>
      </c>
      <c r="F71" t="s">
        <v>1881</v>
      </c>
      <c r="G71" t="s">
        <v>1897</v>
      </c>
      <c r="H71">
        <v>95</v>
      </c>
      <c r="I71">
        <v>60</v>
      </c>
      <c r="J71">
        <v>35</v>
      </c>
      <c r="K71" t="s">
        <v>1117</v>
      </c>
    </row>
    <row r="72" spans="4:11" x14ac:dyDescent="0.3">
      <c r="D72" t="s">
        <v>1947</v>
      </c>
      <c r="E72" s="8">
        <v>46077</v>
      </c>
      <c r="F72" t="s">
        <v>1935</v>
      </c>
      <c r="G72" t="s">
        <v>1946</v>
      </c>
      <c r="H72">
        <v>285</v>
      </c>
      <c r="I72">
        <v>150</v>
      </c>
      <c r="J72">
        <v>135</v>
      </c>
      <c r="K72" t="s">
        <v>1948</v>
      </c>
    </row>
    <row r="73" spans="4:11" x14ac:dyDescent="0.3">
      <c r="D73" t="s">
        <v>1976</v>
      </c>
      <c r="E73" s="8">
        <v>46078</v>
      </c>
      <c r="F73" t="s">
        <v>1970</v>
      </c>
      <c r="G73" t="s">
        <v>1975</v>
      </c>
      <c r="H73">
        <v>60</v>
      </c>
      <c r="I73">
        <v>25</v>
      </c>
      <c r="J73">
        <v>35</v>
      </c>
      <c r="K73" t="s">
        <v>1117</v>
      </c>
    </row>
    <row r="74" spans="4:11" x14ac:dyDescent="0.3">
      <c r="D74" t="s">
        <v>2000</v>
      </c>
      <c r="E74" s="8">
        <v>46078</v>
      </c>
      <c r="F74" t="s">
        <v>1984</v>
      </c>
      <c r="G74" t="s">
        <v>1999</v>
      </c>
      <c r="H74">
        <v>400</v>
      </c>
      <c r="I74">
        <v>260</v>
      </c>
      <c r="J74">
        <v>140</v>
      </c>
      <c r="K74" t="s">
        <v>1117</v>
      </c>
    </row>
    <row r="75" spans="4:11" x14ac:dyDescent="0.3">
      <c r="D75" t="s">
        <v>2092</v>
      </c>
      <c r="E75" s="8">
        <v>46084</v>
      </c>
      <c r="F75" t="s">
        <v>2084</v>
      </c>
      <c r="G75" t="s">
        <v>2091</v>
      </c>
      <c r="H75">
        <v>185</v>
      </c>
      <c r="I75">
        <v>60</v>
      </c>
      <c r="J75">
        <v>125</v>
      </c>
      <c r="K75" t="s">
        <v>2093</v>
      </c>
    </row>
    <row r="76" spans="4:11" x14ac:dyDescent="0.3">
      <c r="D76" t="s">
        <v>2109</v>
      </c>
      <c r="E76" s="8">
        <v>46084</v>
      </c>
      <c r="F76" t="s">
        <v>2099</v>
      </c>
      <c r="G76" t="s">
        <v>2108</v>
      </c>
      <c r="H76">
        <v>120</v>
      </c>
      <c r="I76">
        <v>0</v>
      </c>
      <c r="J76">
        <v>120</v>
      </c>
      <c r="K76" t="s">
        <v>2110</v>
      </c>
    </row>
    <row r="77" spans="4:11" x14ac:dyDescent="0.3">
      <c r="D77" t="s">
        <v>2123</v>
      </c>
      <c r="E77" s="8">
        <v>46084</v>
      </c>
      <c r="F77" t="s">
        <v>2115</v>
      </c>
      <c r="G77" t="s">
        <v>2122</v>
      </c>
      <c r="H77">
        <v>290</v>
      </c>
      <c r="I77">
        <v>0</v>
      </c>
      <c r="J77">
        <v>290</v>
      </c>
      <c r="K77" t="s">
        <v>2124</v>
      </c>
    </row>
    <row r="78" spans="4:11" x14ac:dyDescent="0.3">
      <c r="D78" t="s">
        <v>2165</v>
      </c>
      <c r="E78" s="8">
        <v>46087</v>
      </c>
      <c r="F78" t="s">
        <v>1651</v>
      </c>
      <c r="G78" t="s">
        <v>1660</v>
      </c>
      <c r="I78">
        <v>145</v>
      </c>
      <c r="J78">
        <v>145</v>
      </c>
      <c r="K78" t="s">
        <v>2166</v>
      </c>
    </row>
    <row r="79" spans="4:11" x14ac:dyDescent="0.3">
      <c r="D79" t="s">
        <v>2165</v>
      </c>
      <c r="E79" s="8">
        <v>46088</v>
      </c>
      <c r="F79" t="s">
        <v>2176</v>
      </c>
      <c r="G79" t="s">
        <v>2184</v>
      </c>
      <c r="H79">
        <v>320</v>
      </c>
      <c r="I79">
        <v>0</v>
      </c>
      <c r="J79">
        <v>320</v>
      </c>
      <c r="K79" t="s">
        <v>2185</v>
      </c>
    </row>
    <row r="80" spans="4:11" x14ac:dyDescent="0.3">
      <c r="D80" t="s">
        <v>2193</v>
      </c>
      <c r="E80" s="8">
        <v>46088</v>
      </c>
      <c r="F80" t="s">
        <v>2167</v>
      </c>
      <c r="G80" t="s">
        <v>2192</v>
      </c>
      <c r="H80">
        <v>300</v>
      </c>
      <c r="I80">
        <v>0</v>
      </c>
      <c r="J80">
        <v>300</v>
      </c>
      <c r="K80" t="s">
        <v>2194</v>
      </c>
    </row>
    <row r="81" spans="4:11" x14ac:dyDescent="0.3">
      <c r="D81" t="s">
        <v>2197</v>
      </c>
      <c r="E81" s="8">
        <v>46088</v>
      </c>
      <c r="F81" t="s">
        <v>2172</v>
      </c>
      <c r="G81" t="s">
        <v>2196</v>
      </c>
      <c r="H81">
        <v>150</v>
      </c>
      <c r="I81">
        <v>0</v>
      </c>
      <c r="J81">
        <v>150</v>
      </c>
      <c r="K81" t="s">
        <v>2198</v>
      </c>
    </row>
    <row r="82" spans="4:11" x14ac:dyDescent="0.3">
      <c r="D82" t="s">
        <v>2227</v>
      </c>
      <c r="E82" s="8">
        <v>46090</v>
      </c>
      <c r="F82" t="s">
        <v>2219</v>
      </c>
      <c r="G82" t="s">
        <v>2226</v>
      </c>
      <c r="H82">
        <v>100</v>
      </c>
      <c r="I82">
        <v>0</v>
      </c>
      <c r="J82">
        <v>100</v>
      </c>
      <c r="K82" t="s">
        <v>2228</v>
      </c>
    </row>
    <row r="83" spans="4:11" x14ac:dyDescent="0.3">
      <c r="D83" t="s">
        <v>2260</v>
      </c>
      <c r="E83" s="8">
        <v>46091</v>
      </c>
      <c r="F83" t="s">
        <v>2250</v>
      </c>
      <c r="G83" t="s">
        <v>2259</v>
      </c>
      <c r="H83">
        <v>240</v>
      </c>
      <c r="I83">
        <v>140</v>
      </c>
      <c r="J83">
        <v>100</v>
      </c>
      <c r="K83" t="s">
        <v>1731</v>
      </c>
    </row>
    <row r="84" spans="4:11" x14ac:dyDescent="0.3">
      <c r="D84" t="s">
        <v>2283</v>
      </c>
      <c r="E84" s="8">
        <v>46091</v>
      </c>
      <c r="F84" t="s">
        <v>2274</v>
      </c>
      <c r="G84" t="s">
        <v>2282</v>
      </c>
      <c r="H84">
        <v>170</v>
      </c>
      <c r="I84">
        <v>85</v>
      </c>
      <c r="J84">
        <v>85</v>
      </c>
      <c r="K84" t="s">
        <v>739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CBAAD-46B2-4C2A-9FA0-AD430E0F9D28}">
  <sheetPr codeName="Hoja13"/>
  <dimension ref="B5:H108"/>
  <sheetViews>
    <sheetView workbookViewId="0">
      <selection activeCell="I1" sqref="I1:I1048576"/>
    </sheetView>
  </sheetViews>
  <sheetFormatPr baseColWidth="10" defaultRowHeight="14.4" x14ac:dyDescent="0.3"/>
  <cols>
    <col min="2" max="2" width="12.88671875" customWidth="1"/>
    <col min="3" max="3" width="21.109375" customWidth="1"/>
    <col min="6" max="6" width="17.6640625" bestFit="1" customWidth="1"/>
    <col min="7" max="7" width="17.6640625" customWidth="1"/>
    <col min="8" max="8" width="18.33203125" customWidth="1"/>
  </cols>
  <sheetData>
    <row r="5" spans="2:8" x14ac:dyDescent="0.3">
      <c r="B5" t="s">
        <v>231</v>
      </c>
      <c r="C5" t="s">
        <v>234</v>
      </c>
      <c r="D5" t="s">
        <v>30</v>
      </c>
      <c r="E5" t="s">
        <v>232</v>
      </c>
      <c r="F5" t="s">
        <v>217</v>
      </c>
      <c r="G5" t="s">
        <v>235</v>
      </c>
      <c r="H5" t="s">
        <v>233</v>
      </c>
    </row>
    <row r="6" spans="2:8" x14ac:dyDescent="0.3">
      <c r="D6" s="8"/>
    </row>
    <row r="7" spans="2:8" x14ac:dyDescent="0.3">
      <c r="B7" t="s">
        <v>304</v>
      </c>
      <c r="C7" t="s">
        <v>300</v>
      </c>
      <c r="D7" s="8">
        <v>46027</v>
      </c>
      <c r="E7" t="s">
        <v>286</v>
      </c>
      <c r="F7" t="s">
        <v>301</v>
      </c>
      <c r="G7">
        <v>40</v>
      </c>
      <c r="H7" t="s">
        <v>303</v>
      </c>
    </row>
    <row r="8" spans="2:8" x14ac:dyDescent="0.3">
      <c r="B8" t="s">
        <v>380</v>
      </c>
      <c r="C8" t="s">
        <v>377</v>
      </c>
      <c r="D8" s="8">
        <v>46028</v>
      </c>
      <c r="E8" t="s">
        <v>346</v>
      </c>
      <c r="F8" t="s">
        <v>301</v>
      </c>
      <c r="G8">
        <v>0</v>
      </c>
      <c r="H8" t="s">
        <v>379</v>
      </c>
    </row>
    <row r="9" spans="2:8" x14ac:dyDescent="0.3">
      <c r="B9" t="s">
        <v>415</v>
      </c>
      <c r="C9" t="s">
        <v>413</v>
      </c>
      <c r="D9" s="8">
        <v>46028</v>
      </c>
      <c r="E9" t="s">
        <v>362</v>
      </c>
      <c r="F9" t="s">
        <v>301</v>
      </c>
      <c r="G9">
        <v>5</v>
      </c>
      <c r="H9" t="s">
        <v>411</v>
      </c>
    </row>
    <row r="10" spans="2:8" x14ac:dyDescent="0.3">
      <c r="B10" t="s">
        <v>443</v>
      </c>
      <c r="C10" t="s">
        <v>440</v>
      </c>
      <c r="D10" s="8">
        <v>46028</v>
      </c>
      <c r="E10" t="s">
        <v>421</v>
      </c>
      <c r="F10" t="s">
        <v>301</v>
      </c>
      <c r="G10">
        <v>20</v>
      </c>
      <c r="H10" t="s">
        <v>442</v>
      </c>
    </row>
    <row r="11" spans="2:8" x14ac:dyDescent="0.3">
      <c r="B11" t="s">
        <v>447</v>
      </c>
      <c r="C11" t="s">
        <v>444</v>
      </c>
      <c r="D11" s="8">
        <v>46028</v>
      </c>
      <c r="E11" t="s">
        <v>371</v>
      </c>
      <c r="F11" t="s">
        <v>445</v>
      </c>
      <c r="G11">
        <v>40</v>
      </c>
      <c r="H11" t="s">
        <v>442</v>
      </c>
    </row>
    <row r="12" spans="2:8" x14ac:dyDescent="0.3">
      <c r="B12" t="s">
        <v>448</v>
      </c>
      <c r="C12" t="s">
        <v>444</v>
      </c>
      <c r="D12" s="8">
        <v>46028</v>
      </c>
      <c r="E12" t="s">
        <v>371</v>
      </c>
      <c r="F12" t="s">
        <v>301</v>
      </c>
      <c r="G12">
        <v>160</v>
      </c>
      <c r="H12" t="s">
        <v>449</v>
      </c>
    </row>
    <row r="13" spans="2:8" x14ac:dyDescent="0.3">
      <c r="B13" t="s">
        <v>459</v>
      </c>
      <c r="C13" t="s">
        <v>458</v>
      </c>
      <c r="D13" s="8">
        <v>46028</v>
      </c>
      <c r="E13" t="s">
        <v>451</v>
      </c>
      <c r="F13" t="s">
        <v>301</v>
      </c>
      <c r="G13">
        <v>0</v>
      </c>
      <c r="H13" t="s">
        <v>455</v>
      </c>
    </row>
    <row r="14" spans="2:8" x14ac:dyDescent="0.3">
      <c r="B14" t="s">
        <v>532</v>
      </c>
      <c r="C14" t="s">
        <v>300</v>
      </c>
      <c r="D14" s="8">
        <v>46029</v>
      </c>
      <c r="E14" t="s">
        <v>286</v>
      </c>
      <c r="F14" t="s">
        <v>301</v>
      </c>
      <c r="G14">
        <v>25</v>
      </c>
      <c r="H14" t="s">
        <v>449</v>
      </c>
    </row>
    <row r="15" spans="2:8" x14ac:dyDescent="0.3">
      <c r="B15" t="s">
        <v>533</v>
      </c>
      <c r="C15" t="s">
        <v>377</v>
      </c>
      <c r="D15" s="8">
        <v>46029</v>
      </c>
      <c r="E15" t="s">
        <v>346</v>
      </c>
      <c r="F15" t="s">
        <v>301</v>
      </c>
      <c r="G15">
        <v>216.2</v>
      </c>
      <c r="H15" t="s">
        <v>534</v>
      </c>
    </row>
    <row r="16" spans="2:8" x14ac:dyDescent="0.3">
      <c r="B16" t="s">
        <v>535</v>
      </c>
      <c r="C16" t="s">
        <v>458</v>
      </c>
      <c r="D16" s="8">
        <v>46029</v>
      </c>
      <c r="E16" t="s">
        <v>451</v>
      </c>
      <c r="F16" t="s">
        <v>301</v>
      </c>
      <c r="G16">
        <v>12</v>
      </c>
      <c r="H16" t="s">
        <v>536</v>
      </c>
    </row>
    <row r="17" spans="2:8" x14ac:dyDescent="0.3">
      <c r="B17" t="s">
        <v>543</v>
      </c>
      <c r="C17" t="s">
        <v>541</v>
      </c>
      <c r="D17" s="8">
        <v>46029</v>
      </c>
      <c r="E17" t="s">
        <v>470</v>
      </c>
      <c r="F17" t="s">
        <v>301</v>
      </c>
      <c r="G17">
        <v>10</v>
      </c>
      <c r="H17" t="s">
        <v>542</v>
      </c>
    </row>
    <row r="18" spans="2:8" x14ac:dyDescent="0.3">
      <c r="B18" t="s">
        <v>544</v>
      </c>
      <c r="C18" t="s">
        <v>541</v>
      </c>
      <c r="D18" s="8">
        <v>46029</v>
      </c>
      <c r="E18" t="s">
        <v>470</v>
      </c>
      <c r="F18" t="s">
        <v>301</v>
      </c>
      <c r="G18">
        <v>30</v>
      </c>
      <c r="H18" t="s">
        <v>534</v>
      </c>
    </row>
    <row r="19" spans="2:8" x14ac:dyDescent="0.3">
      <c r="B19" t="s">
        <v>551</v>
      </c>
      <c r="C19" t="s">
        <v>550</v>
      </c>
      <c r="D19" s="8">
        <v>46029</v>
      </c>
      <c r="E19" t="s">
        <v>475</v>
      </c>
      <c r="F19" t="s">
        <v>301</v>
      </c>
      <c r="G19">
        <v>50</v>
      </c>
      <c r="H19" t="s">
        <v>542</v>
      </c>
    </row>
    <row r="20" spans="2:8" x14ac:dyDescent="0.3">
      <c r="B20" t="s">
        <v>552</v>
      </c>
      <c r="C20" t="s">
        <v>550</v>
      </c>
      <c r="D20" s="8">
        <v>46029</v>
      </c>
      <c r="E20" t="s">
        <v>475</v>
      </c>
      <c r="F20" t="s">
        <v>445</v>
      </c>
      <c r="G20">
        <v>125</v>
      </c>
      <c r="H20" t="s">
        <v>534</v>
      </c>
    </row>
    <row r="21" spans="2:8" x14ac:dyDescent="0.3">
      <c r="B21" t="s">
        <v>557</v>
      </c>
      <c r="C21" t="s">
        <v>555</v>
      </c>
      <c r="D21" s="8">
        <v>46029</v>
      </c>
      <c r="E21" t="s">
        <v>481</v>
      </c>
      <c r="F21" t="s">
        <v>301</v>
      </c>
      <c r="G21">
        <v>0</v>
      </c>
      <c r="H21" t="s">
        <v>556</v>
      </c>
    </row>
    <row r="22" spans="2:8" x14ac:dyDescent="0.3">
      <c r="B22" t="s">
        <v>583</v>
      </c>
      <c r="C22" t="s">
        <v>580</v>
      </c>
      <c r="D22" s="8">
        <v>46029</v>
      </c>
      <c r="E22" t="s">
        <v>558</v>
      </c>
      <c r="F22" t="s">
        <v>301</v>
      </c>
      <c r="G22">
        <v>50</v>
      </c>
      <c r="H22" t="s">
        <v>582</v>
      </c>
    </row>
    <row r="23" spans="2:8" x14ac:dyDescent="0.3">
      <c r="B23" t="s">
        <v>599</v>
      </c>
      <c r="C23" t="s">
        <v>596</v>
      </c>
      <c r="D23" s="8">
        <v>46030</v>
      </c>
      <c r="E23" t="s">
        <v>584</v>
      </c>
      <c r="F23" t="s">
        <v>301</v>
      </c>
      <c r="G23">
        <v>0</v>
      </c>
      <c r="H23" t="s">
        <v>598</v>
      </c>
    </row>
    <row r="24" spans="2:8" x14ac:dyDescent="0.3">
      <c r="B24" t="s">
        <v>643</v>
      </c>
      <c r="C24" t="s">
        <v>641</v>
      </c>
      <c r="D24" s="8">
        <v>46030</v>
      </c>
      <c r="E24" t="s">
        <v>610</v>
      </c>
      <c r="F24" t="s">
        <v>301</v>
      </c>
      <c r="G24">
        <v>100</v>
      </c>
      <c r="H24" t="s">
        <v>542</v>
      </c>
    </row>
    <row r="25" spans="2:8" x14ac:dyDescent="0.3">
      <c r="B25" t="s">
        <v>662</v>
      </c>
      <c r="C25" t="s">
        <v>659</v>
      </c>
      <c r="D25" s="8">
        <v>46030</v>
      </c>
      <c r="E25" t="s">
        <v>634</v>
      </c>
      <c r="F25" t="s">
        <v>445</v>
      </c>
      <c r="G25">
        <v>110</v>
      </c>
      <c r="H25" t="s">
        <v>661</v>
      </c>
    </row>
    <row r="26" spans="2:8" x14ac:dyDescent="0.3">
      <c r="B26" t="s">
        <v>686</v>
      </c>
      <c r="C26" t="s">
        <v>683</v>
      </c>
      <c r="D26" s="8">
        <v>46031</v>
      </c>
      <c r="E26" t="s">
        <v>667</v>
      </c>
      <c r="F26" t="s">
        <v>445</v>
      </c>
      <c r="G26">
        <v>20</v>
      </c>
      <c r="H26" t="s">
        <v>685</v>
      </c>
    </row>
    <row r="27" spans="2:8" x14ac:dyDescent="0.3">
      <c r="B27" t="s">
        <v>687</v>
      </c>
      <c r="C27" t="s">
        <v>683</v>
      </c>
      <c r="D27" s="8">
        <v>46031</v>
      </c>
      <c r="E27" t="s">
        <v>667</v>
      </c>
      <c r="F27" t="s">
        <v>301</v>
      </c>
      <c r="G27">
        <v>20</v>
      </c>
      <c r="H27" t="s">
        <v>688</v>
      </c>
    </row>
    <row r="28" spans="2:8" x14ac:dyDescent="0.3">
      <c r="B28" t="s">
        <v>706</v>
      </c>
      <c r="C28" t="s">
        <v>705</v>
      </c>
      <c r="D28" s="8">
        <v>46031</v>
      </c>
      <c r="E28" t="s">
        <v>693</v>
      </c>
      <c r="F28" t="s">
        <v>301</v>
      </c>
      <c r="G28">
        <v>5</v>
      </c>
      <c r="H28" t="s">
        <v>707</v>
      </c>
    </row>
    <row r="29" spans="2:8" x14ac:dyDescent="0.3">
      <c r="B29" t="s">
        <v>728</v>
      </c>
      <c r="C29" t="s">
        <v>726</v>
      </c>
      <c r="D29" s="8">
        <v>46031</v>
      </c>
      <c r="E29" t="s">
        <v>710</v>
      </c>
      <c r="F29" t="s">
        <v>445</v>
      </c>
      <c r="G29">
        <v>80</v>
      </c>
      <c r="H29" t="s">
        <v>727</v>
      </c>
    </row>
    <row r="30" spans="2:8" x14ac:dyDescent="0.3">
      <c r="B30" t="s">
        <v>736</v>
      </c>
      <c r="C30" t="s">
        <v>734</v>
      </c>
      <c r="D30" s="8">
        <v>46031</v>
      </c>
      <c r="E30" t="s">
        <v>283</v>
      </c>
      <c r="F30" t="s">
        <v>301</v>
      </c>
      <c r="G30">
        <v>140</v>
      </c>
      <c r="H30" t="s">
        <v>542</v>
      </c>
    </row>
    <row r="31" spans="2:8" x14ac:dyDescent="0.3">
      <c r="B31" t="s">
        <v>738</v>
      </c>
      <c r="C31" t="s">
        <v>726</v>
      </c>
      <c r="D31" s="8">
        <v>46031</v>
      </c>
      <c r="E31" t="s">
        <v>710</v>
      </c>
      <c r="F31" t="s">
        <v>301</v>
      </c>
      <c r="G31">
        <v>20</v>
      </c>
      <c r="H31" t="s">
        <v>739</v>
      </c>
    </row>
    <row r="32" spans="2:8" x14ac:dyDescent="0.3">
      <c r="B32" t="s">
        <v>749</v>
      </c>
      <c r="C32" t="s">
        <v>440</v>
      </c>
      <c r="D32" s="8">
        <v>46031</v>
      </c>
      <c r="E32" t="s">
        <v>421</v>
      </c>
      <c r="F32" t="s">
        <v>301</v>
      </c>
      <c r="G32">
        <v>155</v>
      </c>
      <c r="H32" t="s">
        <v>534</v>
      </c>
    </row>
    <row r="33" spans="2:8" x14ac:dyDescent="0.3">
      <c r="B33" t="s">
        <v>750</v>
      </c>
      <c r="C33" t="s">
        <v>596</v>
      </c>
      <c r="D33" s="8">
        <v>46031</v>
      </c>
      <c r="E33" t="s">
        <v>584</v>
      </c>
      <c r="F33" t="s">
        <v>445</v>
      </c>
      <c r="G33">
        <v>80</v>
      </c>
      <c r="H33" t="s">
        <v>751</v>
      </c>
    </row>
    <row r="34" spans="2:8" x14ac:dyDescent="0.3">
      <c r="B34" t="s">
        <v>773</v>
      </c>
      <c r="C34" t="s">
        <v>771</v>
      </c>
      <c r="D34" s="8">
        <v>46032</v>
      </c>
      <c r="E34" t="s">
        <v>752</v>
      </c>
      <c r="F34" t="s">
        <v>301</v>
      </c>
      <c r="G34">
        <v>20</v>
      </c>
      <c r="H34" t="s">
        <v>772</v>
      </c>
    </row>
    <row r="35" spans="2:8" x14ac:dyDescent="0.3">
      <c r="B35" t="s">
        <v>825</v>
      </c>
      <c r="C35" t="s">
        <v>822</v>
      </c>
      <c r="D35" s="8">
        <v>46035</v>
      </c>
      <c r="E35" t="s">
        <v>808</v>
      </c>
      <c r="F35" t="s">
        <v>445</v>
      </c>
      <c r="G35">
        <v>60</v>
      </c>
      <c r="H35" t="s">
        <v>824</v>
      </c>
    </row>
    <row r="36" spans="2:8" x14ac:dyDescent="0.3">
      <c r="B36" t="s">
        <v>841</v>
      </c>
      <c r="C36" t="s">
        <v>839</v>
      </c>
      <c r="D36" s="8">
        <v>46035</v>
      </c>
      <c r="E36" t="s">
        <v>826</v>
      </c>
      <c r="F36" t="s">
        <v>301</v>
      </c>
      <c r="G36">
        <v>100</v>
      </c>
      <c r="H36" t="s">
        <v>542</v>
      </c>
    </row>
    <row r="37" spans="2:8" x14ac:dyDescent="0.3">
      <c r="B37" t="s">
        <v>859</v>
      </c>
      <c r="C37" t="s">
        <v>857</v>
      </c>
      <c r="D37" s="8">
        <v>46035</v>
      </c>
      <c r="E37" t="s">
        <v>844</v>
      </c>
      <c r="F37" t="s">
        <v>445</v>
      </c>
      <c r="G37">
        <v>150</v>
      </c>
      <c r="H37" t="s">
        <v>824</v>
      </c>
    </row>
    <row r="38" spans="2:8" x14ac:dyDescent="0.3">
      <c r="B38" t="s">
        <v>878</v>
      </c>
      <c r="C38" t="s">
        <v>875</v>
      </c>
      <c r="D38" s="8">
        <v>46035</v>
      </c>
      <c r="E38" t="s">
        <v>861</v>
      </c>
      <c r="F38" t="s">
        <v>301</v>
      </c>
      <c r="G38">
        <v>60</v>
      </c>
      <c r="H38" t="s">
        <v>877</v>
      </c>
    </row>
    <row r="39" spans="2:8" x14ac:dyDescent="0.3">
      <c r="B39" t="s">
        <v>903</v>
      </c>
      <c r="C39" t="s">
        <v>901</v>
      </c>
      <c r="D39" s="8">
        <v>46035</v>
      </c>
      <c r="E39" t="s">
        <v>887</v>
      </c>
      <c r="F39" t="s">
        <v>301</v>
      </c>
      <c r="G39">
        <v>60</v>
      </c>
      <c r="H39" t="s">
        <v>582</v>
      </c>
    </row>
    <row r="40" spans="2:8" x14ac:dyDescent="0.3">
      <c r="B40" t="s">
        <v>921</v>
      </c>
      <c r="C40" t="s">
        <v>919</v>
      </c>
      <c r="D40" s="8">
        <v>46035</v>
      </c>
      <c r="E40" t="s">
        <v>904</v>
      </c>
      <c r="F40" t="s">
        <v>301</v>
      </c>
      <c r="G40">
        <v>70</v>
      </c>
      <c r="H40" t="s">
        <v>542</v>
      </c>
    </row>
    <row r="41" spans="2:8" x14ac:dyDescent="0.3">
      <c r="B41" t="s">
        <v>938</v>
      </c>
      <c r="C41" t="s">
        <v>935</v>
      </c>
      <c r="D41" s="8">
        <v>46036</v>
      </c>
      <c r="E41" t="s">
        <v>793</v>
      </c>
      <c r="F41" t="s">
        <v>301</v>
      </c>
      <c r="G41">
        <v>50</v>
      </c>
      <c r="H41" t="s">
        <v>937</v>
      </c>
    </row>
    <row r="42" spans="2:8" x14ac:dyDescent="0.3">
      <c r="B42" t="s">
        <v>981</v>
      </c>
      <c r="C42" t="s">
        <v>979</v>
      </c>
      <c r="D42" s="8">
        <v>46038</v>
      </c>
      <c r="E42" t="s">
        <v>968</v>
      </c>
      <c r="F42" t="s">
        <v>301</v>
      </c>
      <c r="G42">
        <v>40</v>
      </c>
      <c r="H42" t="s">
        <v>877</v>
      </c>
    </row>
    <row r="43" spans="2:8" x14ac:dyDescent="0.3">
      <c r="B43" t="s">
        <v>1007</v>
      </c>
      <c r="C43" t="s">
        <v>1005</v>
      </c>
      <c r="D43" s="8">
        <v>46038</v>
      </c>
      <c r="E43" t="s">
        <v>985</v>
      </c>
      <c r="F43" t="s">
        <v>301</v>
      </c>
      <c r="G43">
        <v>40</v>
      </c>
      <c r="H43" t="s">
        <v>542</v>
      </c>
    </row>
    <row r="44" spans="2:8" x14ac:dyDescent="0.3">
      <c r="B44" t="s">
        <v>1028</v>
      </c>
      <c r="C44" t="s">
        <v>1026</v>
      </c>
      <c r="D44" s="8">
        <v>46038</v>
      </c>
      <c r="E44" t="s">
        <v>1011</v>
      </c>
      <c r="F44" t="s">
        <v>301</v>
      </c>
      <c r="G44">
        <v>40</v>
      </c>
      <c r="H44" t="s">
        <v>542</v>
      </c>
    </row>
    <row r="45" spans="2:8" x14ac:dyDescent="0.3">
      <c r="B45" t="s">
        <v>1049</v>
      </c>
      <c r="C45" t="s">
        <v>1048</v>
      </c>
      <c r="D45" s="8">
        <v>46039</v>
      </c>
      <c r="E45" t="s">
        <v>1034</v>
      </c>
      <c r="F45" t="s">
        <v>445</v>
      </c>
      <c r="G45">
        <v>180</v>
      </c>
      <c r="H45" t="s">
        <v>1050</v>
      </c>
    </row>
    <row r="46" spans="2:8" x14ac:dyDescent="0.3">
      <c r="B46" t="s">
        <v>1078</v>
      </c>
      <c r="C46" t="s">
        <v>1076</v>
      </c>
      <c r="D46" s="8">
        <v>46039</v>
      </c>
      <c r="E46" t="s">
        <v>1051</v>
      </c>
      <c r="F46" t="s">
        <v>1077</v>
      </c>
      <c r="G46">
        <v>260</v>
      </c>
      <c r="H46" t="s">
        <v>1079</v>
      </c>
    </row>
    <row r="47" spans="2:8" x14ac:dyDescent="0.3">
      <c r="B47" t="s">
        <v>1103</v>
      </c>
      <c r="C47" t="s">
        <v>1101</v>
      </c>
      <c r="D47" s="8">
        <v>46041</v>
      </c>
      <c r="E47" t="s">
        <v>1084</v>
      </c>
      <c r="F47" t="s">
        <v>301</v>
      </c>
      <c r="G47">
        <v>0</v>
      </c>
      <c r="H47" t="s">
        <v>442</v>
      </c>
    </row>
    <row r="48" spans="2:8" x14ac:dyDescent="0.3">
      <c r="B48" t="s">
        <v>1118</v>
      </c>
      <c r="C48" t="s">
        <v>1115</v>
      </c>
      <c r="D48" s="8">
        <v>46041</v>
      </c>
      <c r="E48" t="s">
        <v>1106</v>
      </c>
      <c r="F48" t="s">
        <v>301</v>
      </c>
      <c r="G48">
        <v>40</v>
      </c>
      <c r="H48" t="s">
        <v>1117</v>
      </c>
    </row>
    <row r="49" spans="2:8" x14ac:dyDescent="0.3">
      <c r="B49" t="s">
        <v>1151</v>
      </c>
      <c r="C49" t="s">
        <v>1148</v>
      </c>
      <c r="D49" s="8">
        <v>46043</v>
      </c>
      <c r="E49" t="s">
        <v>1139</v>
      </c>
      <c r="F49" t="s">
        <v>301</v>
      </c>
      <c r="G49">
        <v>40</v>
      </c>
      <c r="H49" t="s">
        <v>1150</v>
      </c>
    </row>
    <row r="50" spans="2:8" x14ac:dyDescent="0.3">
      <c r="B50" t="s">
        <v>1165</v>
      </c>
      <c r="C50" t="s">
        <v>1163</v>
      </c>
      <c r="D50" s="8">
        <v>46043</v>
      </c>
      <c r="E50" t="s">
        <v>1153</v>
      </c>
      <c r="F50" t="s">
        <v>301</v>
      </c>
      <c r="G50">
        <v>60</v>
      </c>
      <c r="H50" t="s">
        <v>772</v>
      </c>
    </row>
    <row r="51" spans="2:8" x14ac:dyDescent="0.3">
      <c r="B51" t="s">
        <v>1182</v>
      </c>
      <c r="C51" t="s">
        <v>1181</v>
      </c>
      <c r="D51" s="8">
        <v>46044</v>
      </c>
      <c r="E51" t="s">
        <v>1170</v>
      </c>
      <c r="F51" t="s">
        <v>1077</v>
      </c>
      <c r="G51">
        <v>345</v>
      </c>
      <c r="H51" t="s">
        <v>1183</v>
      </c>
    </row>
    <row r="52" spans="2:8" x14ac:dyDescent="0.3">
      <c r="B52" t="s">
        <v>1202</v>
      </c>
      <c r="C52" t="s">
        <v>1199</v>
      </c>
      <c r="D52" s="8">
        <v>46045</v>
      </c>
      <c r="E52" t="s">
        <v>1187</v>
      </c>
      <c r="F52" t="s">
        <v>445</v>
      </c>
      <c r="G52">
        <v>50</v>
      </c>
      <c r="H52" t="s">
        <v>1201</v>
      </c>
    </row>
    <row r="53" spans="2:8" x14ac:dyDescent="0.3">
      <c r="B53" t="s">
        <v>1238</v>
      </c>
      <c r="C53" t="s">
        <v>1236</v>
      </c>
      <c r="D53" s="8">
        <v>46045</v>
      </c>
      <c r="E53" t="s">
        <v>1220</v>
      </c>
      <c r="F53" t="s">
        <v>301</v>
      </c>
      <c r="G53">
        <v>0</v>
      </c>
      <c r="H53" t="s">
        <v>442</v>
      </c>
    </row>
    <row r="54" spans="2:8" x14ac:dyDescent="0.3">
      <c r="B54" t="s">
        <v>1257</v>
      </c>
      <c r="C54" t="s">
        <v>1255</v>
      </c>
      <c r="D54" s="8">
        <v>46045</v>
      </c>
      <c r="E54" t="s">
        <v>1241</v>
      </c>
      <c r="F54" t="s">
        <v>301</v>
      </c>
      <c r="G54">
        <v>50</v>
      </c>
      <c r="H54" t="s">
        <v>1201</v>
      </c>
    </row>
    <row r="55" spans="2:8" x14ac:dyDescent="0.3">
      <c r="B55" t="s">
        <v>1275</v>
      </c>
      <c r="C55" t="s">
        <v>1273</v>
      </c>
      <c r="D55" s="8">
        <v>46048</v>
      </c>
      <c r="E55" t="s">
        <v>1263</v>
      </c>
      <c r="F55" t="s">
        <v>301</v>
      </c>
      <c r="G55">
        <v>40</v>
      </c>
      <c r="H55" t="s">
        <v>542</v>
      </c>
    </row>
    <row r="56" spans="2:8" x14ac:dyDescent="0.3">
      <c r="B56" t="s">
        <v>1286</v>
      </c>
      <c r="C56" t="s">
        <v>1285</v>
      </c>
      <c r="D56" s="8">
        <v>46049</v>
      </c>
      <c r="E56" t="s">
        <v>1278</v>
      </c>
      <c r="F56" t="s">
        <v>301</v>
      </c>
      <c r="G56">
        <v>45</v>
      </c>
      <c r="H56" t="s">
        <v>1287</v>
      </c>
    </row>
    <row r="57" spans="2:8" x14ac:dyDescent="0.3">
      <c r="B57" t="s">
        <v>1359</v>
      </c>
      <c r="C57" t="s">
        <v>1357</v>
      </c>
      <c r="D57" s="8">
        <v>46052</v>
      </c>
      <c r="E57" t="s">
        <v>1320</v>
      </c>
      <c r="F57" t="s">
        <v>301</v>
      </c>
      <c r="G57">
        <v>25</v>
      </c>
      <c r="H57" t="s">
        <v>542</v>
      </c>
    </row>
    <row r="58" spans="2:8" x14ac:dyDescent="0.3">
      <c r="B58" t="s">
        <v>1369</v>
      </c>
      <c r="C58" t="s">
        <v>1368</v>
      </c>
      <c r="D58" s="8">
        <v>46052</v>
      </c>
      <c r="E58" t="s">
        <v>1351</v>
      </c>
      <c r="F58" t="s">
        <v>301</v>
      </c>
      <c r="G58">
        <v>170</v>
      </c>
      <c r="H58" t="s">
        <v>1370</v>
      </c>
    </row>
    <row r="59" spans="2:8" x14ac:dyDescent="0.3">
      <c r="B59" t="s">
        <v>1396</v>
      </c>
      <c r="C59" t="s">
        <v>1393</v>
      </c>
      <c r="D59" s="8">
        <v>46055</v>
      </c>
      <c r="E59" t="s">
        <v>1384</v>
      </c>
      <c r="F59" t="s">
        <v>445</v>
      </c>
      <c r="G59">
        <v>70</v>
      </c>
      <c r="H59" t="s">
        <v>1395</v>
      </c>
    </row>
    <row r="60" spans="2:8" x14ac:dyDescent="0.3">
      <c r="B60" t="s">
        <v>1428</v>
      </c>
      <c r="C60" t="s">
        <v>1427</v>
      </c>
      <c r="D60" s="8">
        <v>46057</v>
      </c>
      <c r="E60" t="s">
        <v>1415</v>
      </c>
      <c r="F60" t="s">
        <v>301</v>
      </c>
      <c r="G60">
        <v>40</v>
      </c>
      <c r="H60" t="s">
        <v>1429</v>
      </c>
    </row>
    <row r="61" spans="2:8" x14ac:dyDescent="0.3">
      <c r="B61" t="s">
        <v>1449</v>
      </c>
      <c r="C61" t="s">
        <v>1447</v>
      </c>
      <c r="D61" s="8">
        <v>46058</v>
      </c>
      <c r="F61" t="s">
        <v>445</v>
      </c>
      <c r="G61">
        <v>50</v>
      </c>
      <c r="H61" t="s">
        <v>1201</v>
      </c>
    </row>
    <row r="62" spans="2:8" x14ac:dyDescent="0.3">
      <c r="B62" t="s">
        <v>1469</v>
      </c>
      <c r="C62" t="s">
        <v>1468</v>
      </c>
      <c r="D62" s="8">
        <v>46058</v>
      </c>
      <c r="E62" t="s">
        <v>1457</v>
      </c>
      <c r="F62" t="s">
        <v>445</v>
      </c>
      <c r="G62">
        <v>100</v>
      </c>
      <c r="H62" t="s">
        <v>1470</v>
      </c>
    </row>
    <row r="63" spans="2:8" x14ac:dyDescent="0.3">
      <c r="B63" t="s">
        <v>1483</v>
      </c>
      <c r="C63" t="s">
        <v>1480</v>
      </c>
      <c r="D63" s="8">
        <v>46058</v>
      </c>
      <c r="E63" t="s">
        <v>1474</v>
      </c>
      <c r="F63" t="s">
        <v>301</v>
      </c>
      <c r="G63">
        <v>0</v>
      </c>
      <c r="H63" t="s">
        <v>1482</v>
      </c>
    </row>
    <row r="64" spans="2:8" x14ac:dyDescent="0.3">
      <c r="B64" t="s">
        <v>1502</v>
      </c>
      <c r="C64" t="s">
        <v>1501</v>
      </c>
      <c r="D64" s="8">
        <v>46058</v>
      </c>
      <c r="E64" t="s">
        <v>1486</v>
      </c>
      <c r="F64" t="s">
        <v>445</v>
      </c>
      <c r="G64">
        <v>55</v>
      </c>
      <c r="H64" t="s">
        <v>1470</v>
      </c>
    </row>
    <row r="65" spans="2:8" x14ac:dyDescent="0.3">
      <c r="B65" t="s">
        <v>1538</v>
      </c>
      <c r="C65" t="s">
        <v>1537</v>
      </c>
      <c r="D65" s="8">
        <v>46060</v>
      </c>
      <c r="E65" t="s">
        <v>1529</v>
      </c>
      <c r="F65" t="s">
        <v>445</v>
      </c>
      <c r="G65">
        <v>50</v>
      </c>
      <c r="H65" t="s">
        <v>1429</v>
      </c>
    </row>
    <row r="66" spans="2:8" x14ac:dyDescent="0.3">
      <c r="B66" t="s">
        <v>1542</v>
      </c>
      <c r="C66" t="s">
        <v>1541</v>
      </c>
      <c r="D66" s="8">
        <v>46060</v>
      </c>
      <c r="E66" t="s">
        <v>1529</v>
      </c>
      <c r="F66" t="s">
        <v>445</v>
      </c>
      <c r="G66">
        <v>115</v>
      </c>
      <c r="H66" t="s">
        <v>1429</v>
      </c>
    </row>
    <row r="67" spans="2:8" x14ac:dyDescent="0.3">
      <c r="B67" t="s">
        <v>1558</v>
      </c>
      <c r="C67" t="s">
        <v>1556</v>
      </c>
      <c r="D67" s="8">
        <v>46062</v>
      </c>
      <c r="E67" t="s">
        <v>1544</v>
      </c>
      <c r="F67" t="s">
        <v>301</v>
      </c>
      <c r="G67">
        <v>30</v>
      </c>
      <c r="H67" t="s">
        <v>1150</v>
      </c>
    </row>
    <row r="68" spans="2:8" x14ac:dyDescent="0.3">
      <c r="B68" t="s">
        <v>1569</v>
      </c>
      <c r="C68" t="s">
        <v>1566</v>
      </c>
      <c r="D68" s="8">
        <v>46062</v>
      </c>
      <c r="E68" t="s">
        <v>1548</v>
      </c>
      <c r="F68" t="s">
        <v>301</v>
      </c>
      <c r="G68">
        <v>0</v>
      </c>
      <c r="H68" t="s">
        <v>1568</v>
      </c>
    </row>
    <row r="69" spans="2:8" x14ac:dyDescent="0.3">
      <c r="B69" t="s">
        <v>1619</v>
      </c>
      <c r="C69" t="s">
        <v>1616</v>
      </c>
      <c r="D69" s="8">
        <v>46064</v>
      </c>
      <c r="E69" t="s">
        <v>1593</v>
      </c>
      <c r="F69" t="s">
        <v>301</v>
      </c>
      <c r="G69">
        <v>200</v>
      </c>
      <c r="H69" t="s">
        <v>1618</v>
      </c>
    </row>
    <row r="70" spans="2:8" x14ac:dyDescent="0.3">
      <c r="B70" t="s">
        <v>1636</v>
      </c>
      <c r="C70" t="s">
        <v>1634</v>
      </c>
      <c r="D70" s="8">
        <v>46066</v>
      </c>
      <c r="E70" t="s">
        <v>1626</v>
      </c>
      <c r="F70" t="s">
        <v>445</v>
      </c>
      <c r="G70">
        <v>200</v>
      </c>
      <c r="H70" t="s">
        <v>1150</v>
      </c>
    </row>
    <row r="71" spans="2:8" x14ac:dyDescent="0.3">
      <c r="B71" t="s">
        <v>1649</v>
      </c>
      <c r="C71" t="s">
        <v>1648</v>
      </c>
      <c r="D71" s="8">
        <v>46066</v>
      </c>
      <c r="E71" t="s">
        <v>1640</v>
      </c>
      <c r="F71" t="s">
        <v>301</v>
      </c>
      <c r="G71">
        <v>55</v>
      </c>
      <c r="H71" t="s">
        <v>1650</v>
      </c>
    </row>
    <row r="72" spans="2:8" x14ac:dyDescent="0.3">
      <c r="B72" t="s">
        <v>1663</v>
      </c>
      <c r="C72" t="s">
        <v>1660</v>
      </c>
      <c r="D72" s="8">
        <v>46066</v>
      </c>
      <c r="E72" t="s">
        <v>1651</v>
      </c>
      <c r="F72" t="s">
        <v>301</v>
      </c>
      <c r="G72">
        <v>0</v>
      </c>
      <c r="H72" t="s">
        <v>1662</v>
      </c>
    </row>
    <row r="73" spans="2:8" x14ac:dyDescent="0.3">
      <c r="B73" t="s">
        <v>1679</v>
      </c>
      <c r="C73" t="s">
        <v>1677</v>
      </c>
      <c r="D73" s="8">
        <v>46070</v>
      </c>
      <c r="E73" t="s">
        <v>1668</v>
      </c>
      <c r="F73" t="s">
        <v>301</v>
      </c>
      <c r="G73">
        <v>120</v>
      </c>
      <c r="H73" t="s">
        <v>542</v>
      </c>
    </row>
    <row r="74" spans="2:8" x14ac:dyDescent="0.3">
      <c r="B74" t="s">
        <v>1697</v>
      </c>
      <c r="C74" t="s">
        <v>1696</v>
      </c>
      <c r="D74" s="8">
        <v>46070</v>
      </c>
      <c r="E74" t="s">
        <v>1685</v>
      </c>
      <c r="F74" t="s">
        <v>301</v>
      </c>
      <c r="G74">
        <v>40</v>
      </c>
      <c r="H74" t="s">
        <v>1698</v>
      </c>
    </row>
    <row r="75" spans="2:8" x14ac:dyDescent="0.3">
      <c r="B75" t="s">
        <v>1732</v>
      </c>
      <c r="C75" t="s">
        <v>1729</v>
      </c>
      <c r="D75" s="8">
        <v>46070</v>
      </c>
      <c r="E75" t="s">
        <v>1699</v>
      </c>
      <c r="F75" t="s">
        <v>445</v>
      </c>
      <c r="G75">
        <v>200</v>
      </c>
      <c r="H75" t="s">
        <v>1731</v>
      </c>
    </row>
    <row r="76" spans="2:8" x14ac:dyDescent="0.3">
      <c r="B76" t="s">
        <v>1752</v>
      </c>
      <c r="C76" t="s">
        <v>1750</v>
      </c>
      <c r="D76" s="8">
        <v>46071</v>
      </c>
      <c r="E76" t="s">
        <v>1744</v>
      </c>
      <c r="F76" t="s">
        <v>301</v>
      </c>
      <c r="G76">
        <v>60</v>
      </c>
      <c r="H76" t="s">
        <v>772</v>
      </c>
    </row>
    <row r="77" spans="2:8" x14ac:dyDescent="0.3">
      <c r="B77" t="s">
        <v>1770</v>
      </c>
      <c r="C77" t="s">
        <v>1769</v>
      </c>
      <c r="D77" s="8">
        <v>46071</v>
      </c>
      <c r="E77" t="s">
        <v>1757</v>
      </c>
      <c r="F77" t="s">
        <v>445</v>
      </c>
      <c r="G77">
        <v>50</v>
      </c>
      <c r="H77" t="s">
        <v>1771</v>
      </c>
    </row>
    <row r="78" spans="2:8" x14ac:dyDescent="0.3">
      <c r="B78" t="s">
        <v>1789</v>
      </c>
      <c r="C78" t="s">
        <v>1786</v>
      </c>
      <c r="D78" s="8">
        <v>46071</v>
      </c>
      <c r="E78" t="s">
        <v>1772</v>
      </c>
      <c r="F78" t="s">
        <v>445</v>
      </c>
      <c r="G78">
        <v>100</v>
      </c>
      <c r="H78" t="s">
        <v>1788</v>
      </c>
    </row>
    <row r="79" spans="2:8" x14ac:dyDescent="0.3">
      <c r="B79" t="s">
        <v>1806</v>
      </c>
      <c r="C79" t="s">
        <v>1805</v>
      </c>
      <c r="D79" s="8">
        <v>46072</v>
      </c>
      <c r="E79" t="s">
        <v>1795</v>
      </c>
      <c r="F79" t="s">
        <v>445</v>
      </c>
      <c r="G79">
        <v>115</v>
      </c>
      <c r="H79" t="s">
        <v>1807</v>
      </c>
    </row>
    <row r="80" spans="2:8" x14ac:dyDescent="0.3">
      <c r="B80" t="s">
        <v>1821</v>
      </c>
      <c r="C80" t="s">
        <v>1819</v>
      </c>
      <c r="D80" s="8">
        <v>46072</v>
      </c>
      <c r="E80" t="s">
        <v>1810</v>
      </c>
      <c r="F80" t="s">
        <v>301</v>
      </c>
      <c r="G80">
        <v>0</v>
      </c>
    </row>
    <row r="81" spans="2:8" x14ac:dyDescent="0.3">
      <c r="B81" t="s">
        <v>1835</v>
      </c>
      <c r="C81" t="s">
        <v>1834</v>
      </c>
      <c r="D81" s="8">
        <v>46073</v>
      </c>
      <c r="E81" t="s">
        <v>1824</v>
      </c>
      <c r="F81" t="s">
        <v>1077</v>
      </c>
      <c r="G81">
        <v>140</v>
      </c>
      <c r="H81" t="s">
        <v>1771</v>
      </c>
    </row>
    <row r="82" spans="2:8" x14ac:dyDescent="0.3">
      <c r="B82" t="s">
        <v>1863</v>
      </c>
      <c r="C82" t="s">
        <v>1860</v>
      </c>
      <c r="D82" s="8">
        <v>46076</v>
      </c>
      <c r="E82" t="s">
        <v>1851</v>
      </c>
      <c r="F82" t="s">
        <v>1861</v>
      </c>
      <c r="G82">
        <v>150</v>
      </c>
      <c r="H82" t="s">
        <v>542</v>
      </c>
    </row>
    <row r="83" spans="2:8" x14ac:dyDescent="0.3">
      <c r="B83" t="s">
        <v>1868</v>
      </c>
      <c r="C83" t="s">
        <v>1866</v>
      </c>
      <c r="D83" s="8">
        <v>46076</v>
      </c>
      <c r="E83" t="s">
        <v>1846</v>
      </c>
      <c r="F83" t="s">
        <v>301</v>
      </c>
      <c r="G83">
        <v>100</v>
      </c>
      <c r="H83" t="s">
        <v>1117</v>
      </c>
    </row>
    <row r="84" spans="2:8" x14ac:dyDescent="0.3">
      <c r="B84" t="s">
        <v>1888</v>
      </c>
      <c r="C84" t="s">
        <v>1886</v>
      </c>
      <c r="D84" s="8">
        <v>46076</v>
      </c>
      <c r="E84" t="s">
        <v>1875</v>
      </c>
      <c r="F84" t="s">
        <v>445</v>
      </c>
      <c r="G84">
        <v>0</v>
      </c>
      <c r="H84" t="s">
        <v>565</v>
      </c>
    </row>
    <row r="85" spans="2:8" x14ac:dyDescent="0.3">
      <c r="B85" t="s">
        <v>1891</v>
      </c>
      <c r="C85" t="s">
        <v>1889</v>
      </c>
      <c r="D85" s="8">
        <v>46076</v>
      </c>
      <c r="E85" t="s">
        <v>1869</v>
      </c>
      <c r="F85" t="s">
        <v>445</v>
      </c>
      <c r="G85">
        <v>100</v>
      </c>
      <c r="H85" t="s">
        <v>542</v>
      </c>
    </row>
    <row r="86" spans="2:8" x14ac:dyDescent="0.3">
      <c r="B86" t="s">
        <v>1899</v>
      </c>
      <c r="C86" t="s">
        <v>1897</v>
      </c>
      <c r="D86" s="8">
        <v>46076</v>
      </c>
      <c r="E86" t="s">
        <v>1881</v>
      </c>
      <c r="F86" t="s">
        <v>301</v>
      </c>
      <c r="G86">
        <v>60</v>
      </c>
      <c r="H86" t="s">
        <v>1117</v>
      </c>
    </row>
    <row r="87" spans="2:8" x14ac:dyDescent="0.3">
      <c r="B87" t="s">
        <v>1949</v>
      </c>
      <c r="C87" t="s">
        <v>1946</v>
      </c>
      <c r="D87" s="8">
        <v>46077</v>
      </c>
      <c r="E87" t="s">
        <v>1935</v>
      </c>
      <c r="F87" t="s">
        <v>445</v>
      </c>
      <c r="G87">
        <v>150</v>
      </c>
      <c r="H87" t="s">
        <v>1948</v>
      </c>
    </row>
    <row r="88" spans="2:8" x14ac:dyDescent="0.3">
      <c r="B88" t="s">
        <v>1958</v>
      </c>
      <c r="C88" t="s">
        <v>1957</v>
      </c>
      <c r="D88" s="8">
        <v>46077</v>
      </c>
      <c r="E88" t="s">
        <v>1950</v>
      </c>
      <c r="F88" t="s">
        <v>1077</v>
      </c>
      <c r="G88">
        <v>270</v>
      </c>
      <c r="H88" t="s">
        <v>1429</v>
      </c>
    </row>
    <row r="89" spans="2:8" x14ac:dyDescent="0.3">
      <c r="B89" t="s">
        <v>1977</v>
      </c>
      <c r="C89" t="s">
        <v>1975</v>
      </c>
      <c r="D89" s="8">
        <v>46078</v>
      </c>
      <c r="E89" t="s">
        <v>1970</v>
      </c>
      <c r="F89" t="s">
        <v>445</v>
      </c>
      <c r="G89">
        <v>25</v>
      </c>
      <c r="H89" t="s">
        <v>1117</v>
      </c>
    </row>
    <row r="90" spans="2:8" x14ac:dyDescent="0.3">
      <c r="B90" t="s">
        <v>2001</v>
      </c>
      <c r="C90" t="s">
        <v>1999</v>
      </c>
      <c r="D90" s="8">
        <v>46078</v>
      </c>
      <c r="E90" t="s">
        <v>1984</v>
      </c>
      <c r="F90" t="s">
        <v>301</v>
      </c>
      <c r="G90">
        <v>260</v>
      </c>
      <c r="H90" t="s">
        <v>1117</v>
      </c>
    </row>
    <row r="91" spans="2:8" x14ac:dyDescent="0.3">
      <c r="B91" t="s">
        <v>2027</v>
      </c>
      <c r="C91" t="s">
        <v>2026</v>
      </c>
      <c r="D91" s="8">
        <v>46080</v>
      </c>
      <c r="E91" t="s">
        <v>1680</v>
      </c>
      <c r="F91" t="s">
        <v>445</v>
      </c>
      <c r="G91">
        <v>130</v>
      </c>
      <c r="H91" t="s">
        <v>1771</v>
      </c>
    </row>
    <row r="92" spans="2:8" x14ac:dyDescent="0.3">
      <c r="B92" t="s">
        <v>2040</v>
      </c>
      <c r="C92" t="s">
        <v>2039</v>
      </c>
      <c r="D92" s="8">
        <v>46081</v>
      </c>
      <c r="E92" t="s">
        <v>2033</v>
      </c>
      <c r="F92" t="s">
        <v>445</v>
      </c>
      <c r="G92">
        <v>25</v>
      </c>
      <c r="H92" t="s">
        <v>1429</v>
      </c>
    </row>
    <row r="93" spans="2:8" x14ac:dyDescent="0.3">
      <c r="B93" t="s">
        <v>2078</v>
      </c>
      <c r="C93" t="s">
        <v>2077</v>
      </c>
      <c r="D93" s="8">
        <v>46084</v>
      </c>
      <c r="E93" t="s">
        <v>2067</v>
      </c>
      <c r="F93" t="s">
        <v>301</v>
      </c>
      <c r="G93">
        <v>350</v>
      </c>
      <c r="H93" t="s">
        <v>1429</v>
      </c>
    </row>
    <row r="94" spans="2:8" x14ac:dyDescent="0.3">
      <c r="B94" t="s">
        <v>2082</v>
      </c>
      <c r="C94" t="s">
        <v>2081</v>
      </c>
      <c r="D94" s="8">
        <v>46084</v>
      </c>
      <c r="E94" t="s">
        <v>2067</v>
      </c>
      <c r="F94" t="s">
        <v>301</v>
      </c>
      <c r="G94">
        <v>350</v>
      </c>
      <c r="H94" t="s">
        <v>2083</v>
      </c>
    </row>
    <row r="95" spans="2:8" x14ac:dyDescent="0.3">
      <c r="B95" t="s">
        <v>2094</v>
      </c>
      <c r="C95" t="s">
        <v>2091</v>
      </c>
      <c r="D95" s="8">
        <v>46084</v>
      </c>
      <c r="E95" t="s">
        <v>2084</v>
      </c>
      <c r="F95" t="s">
        <v>301</v>
      </c>
      <c r="G95">
        <v>60</v>
      </c>
      <c r="H95" t="s">
        <v>2093</v>
      </c>
    </row>
    <row r="96" spans="2:8" x14ac:dyDescent="0.3">
      <c r="B96" t="s">
        <v>2111</v>
      </c>
      <c r="C96" t="s">
        <v>2108</v>
      </c>
      <c r="D96" s="8">
        <v>46084</v>
      </c>
      <c r="E96" t="s">
        <v>2099</v>
      </c>
      <c r="F96" t="s">
        <v>301</v>
      </c>
      <c r="G96">
        <v>0</v>
      </c>
      <c r="H96" t="s">
        <v>2110</v>
      </c>
    </row>
    <row r="97" spans="2:8" x14ac:dyDescent="0.3">
      <c r="B97" t="s">
        <v>2125</v>
      </c>
      <c r="C97" t="s">
        <v>2122</v>
      </c>
      <c r="D97" s="8">
        <v>46084</v>
      </c>
      <c r="E97" t="s">
        <v>2115</v>
      </c>
      <c r="F97" t="s">
        <v>1077</v>
      </c>
      <c r="G97">
        <v>0</v>
      </c>
      <c r="H97" t="s">
        <v>2124</v>
      </c>
    </row>
    <row r="98" spans="2:8" x14ac:dyDescent="0.3">
      <c r="B98" t="s">
        <v>2147</v>
      </c>
      <c r="C98" t="s">
        <v>2146</v>
      </c>
      <c r="D98" s="8">
        <v>46085</v>
      </c>
      <c r="E98" t="s">
        <v>2135</v>
      </c>
      <c r="F98" t="s">
        <v>1861</v>
      </c>
      <c r="G98">
        <v>65</v>
      </c>
      <c r="H98" t="s">
        <v>1429</v>
      </c>
    </row>
    <row r="99" spans="2:8" x14ac:dyDescent="0.3">
      <c r="B99" t="s">
        <v>2164</v>
      </c>
      <c r="C99" t="s">
        <v>2163</v>
      </c>
      <c r="D99" s="8">
        <v>46086</v>
      </c>
      <c r="E99" t="s">
        <v>2067</v>
      </c>
      <c r="F99" t="s">
        <v>301</v>
      </c>
      <c r="G99">
        <v>350</v>
      </c>
      <c r="H99" t="s">
        <v>1429</v>
      </c>
    </row>
    <row r="100" spans="2:8" x14ac:dyDescent="0.3">
      <c r="B100" t="s">
        <v>2165</v>
      </c>
      <c r="C100" t="s">
        <v>1660</v>
      </c>
      <c r="D100" s="8">
        <v>46087</v>
      </c>
      <c r="E100" t="s">
        <v>1651</v>
      </c>
      <c r="F100" t="s">
        <v>301</v>
      </c>
      <c r="G100">
        <v>145</v>
      </c>
      <c r="H100" t="s">
        <v>2166</v>
      </c>
    </row>
    <row r="101" spans="2:8" x14ac:dyDescent="0.3">
      <c r="B101" t="s">
        <v>2186</v>
      </c>
      <c r="C101" t="s">
        <v>2184</v>
      </c>
      <c r="D101" s="8">
        <v>46088</v>
      </c>
      <c r="E101" t="s">
        <v>2176</v>
      </c>
      <c r="F101" t="s">
        <v>301</v>
      </c>
      <c r="G101">
        <v>0</v>
      </c>
      <c r="H101" t="s">
        <v>2185</v>
      </c>
    </row>
    <row r="102" spans="2:8" x14ac:dyDescent="0.3">
      <c r="B102" t="s">
        <v>2195</v>
      </c>
      <c r="C102" t="s">
        <v>2192</v>
      </c>
      <c r="D102" s="8">
        <v>46088</v>
      </c>
      <c r="E102" t="s">
        <v>2167</v>
      </c>
      <c r="F102" t="s">
        <v>301</v>
      </c>
      <c r="G102">
        <v>0</v>
      </c>
      <c r="H102" t="s">
        <v>2194</v>
      </c>
    </row>
    <row r="103" spans="2:8" x14ac:dyDescent="0.3">
      <c r="B103" t="s">
        <v>2199</v>
      </c>
      <c r="C103" t="s">
        <v>2196</v>
      </c>
      <c r="D103" s="8">
        <v>46088</v>
      </c>
      <c r="E103" t="s">
        <v>2172</v>
      </c>
      <c r="F103" t="s">
        <v>301</v>
      </c>
      <c r="G103">
        <v>0</v>
      </c>
      <c r="H103" t="s">
        <v>2198</v>
      </c>
    </row>
    <row r="104" spans="2:8" x14ac:dyDescent="0.3">
      <c r="B104" t="s">
        <v>2229</v>
      </c>
      <c r="C104" t="s">
        <v>2226</v>
      </c>
      <c r="D104" s="8">
        <v>46090</v>
      </c>
      <c r="E104" t="s">
        <v>2219</v>
      </c>
      <c r="F104" t="s">
        <v>301</v>
      </c>
      <c r="G104">
        <v>0</v>
      </c>
      <c r="H104" t="s">
        <v>2228</v>
      </c>
    </row>
    <row r="105" spans="2:8" x14ac:dyDescent="0.3">
      <c r="B105" t="s">
        <v>2243</v>
      </c>
      <c r="C105" t="s">
        <v>2242</v>
      </c>
      <c r="D105" s="8">
        <v>46090</v>
      </c>
      <c r="E105" t="s">
        <v>2235</v>
      </c>
      <c r="F105" t="s">
        <v>1077</v>
      </c>
      <c r="G105">
        <v>50</v>
      </c>
      <c r="H105" t="s">
        <v>1183</v>
      </c>
    </row>
    <row r="106" spans="2:8" x14ac:dyDescent="0.3">
      <c r="B106" t="s">
        <v>2261</v>
      </c>
      <c r="C106" t="s">
        <v>2259</v>
      </c>
      <c r="D106" s="8">
        <v>46091</v>
      </c>
      <c r="E106" t="s">
        <v>2250</v>
      </c>
      <c r="F106" t="s">
        <v>301</v>
      </c>
      <c r="G106">
        <v>140</v>
      </c>
      <c r="H106" t="s">
        <v>1731</v>
      </c>
    </row>
    <row r="107" spans="2:8" x14ac:dyDescent="0.3">
      <c r="B107" t="s">
        <v>2284</v>
      </c>
      <c r="C107" t="s">
        <v>2282</v>
      </c>
      <c r="D107" s="8">
        <v>46091</v>
      </c>
      <c r="E107" t="s">
        <v>2274</v>
      </c>
      <c r="F107" t="s">
        <v>445</v>
      </c>
      <c r="G107">
        <v>85</v>
      </c>
      <c r="H107" t="s">
        <v>739</v>
      </c>
    </row>
    <row r="108" spans="2:8" x14ac:dyDescent="0.3">
      <c r="B108" t="s">
        <v>2317</v>
      </c>
      <c r="C108" t="s">
        <v>2316</v>
      </c>
      <c r="D108" s="8">
        <v>46093</v>
      </c>
      <c r="E108" t="s">
        <v>2296</v>
      </c>
      <c r="F108" t="s">
        <v>445</v>
      </c>
      <c r="G108">
        <v>240</v>
      </c>
      <c r="H108" t="s">
        <v>1429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53564-1070-4C0F-A65A-BCA853213A9B}">
  <sheetPr codeName="Hoja7"/>
  <dimension ref="A1:AH14"/>
  <sheetViews>
    <sheetView showGridLines="0" workbookViewId="0">
      <selection activeCell="M11" sqref="M11"/>
    </sheetView>
  </sheetViews>
  <sheetFormatPr baseColWidth="10" defaultColWidth="2.6640625" defaultRowHeight="13.8" x14ac:dyDescent="0.25"/>
  <cols>
    <col min="1" max="16384" width="2.6640625" style="3"/>
  </cols>
  <sheetData>
    <row r="1" spans="1:34" x14ac:dyDescent="0.25">
      <c r="A1" s="6" t="s">
        <v>147</v>
      </c>
      <c r="D1" s="79">
        <v>46010</v>
      </c>
      <c r="E1" s="79"/>
      <c r="F1" s="79"/>
      <c r="G1" s="79"/>
      <c r="H1" s="79"/>
      <c r="I1" s="79"/>
      <c r="J1" s="79"/>
      <c r="AD1" s="76"/>
      <c r="AE1" s="76"/>
      <c r="AF1" s="76"/>
      <c r="AG1" s="76"/>
      <c r="AH1" s="76"/>
    </row>
    <row r="2" spans="1:34" x14ac:dyDescent="0.25">
      <c r="A2" s="6" t="s">
        <v>148</v>
      </c>
      <c r="D2" s="78" t="s">
        <v>260</v>
      </c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D2" s="77" t="s">
        <v>276</v>
      </c>
      <c r="AE2" s="77"/>
      <c r="AF2" s="77"/>
      <c r="AG2" s="77"/>
      <c r="AH2" s="77"/>
    </row>
    <row r="3" spans="1:34" x14ac:dyDescent="0.25">
      <c r="A3" s="6" t="s">
        <v>149</v>
      </c>
      <c r="D3" s="78">
        <v>123123123</v>
      </c>
      <c r="E3" s="78"/>
      <c r="F3" s="78"/>
      <c r="G3" s="78"/>
      <c r="H3" s="78"/>
      <c r="I3" s="78"/>
      <c r="J3" s="78"/>
      <c r="AD3" s="77"/>
      <c r="AE3" s="77"/>
      <c r="AF3" s="77"/>
      <c r="AG3" s="77"/>
      <c r="AH3" s="77"/>
    </row>
    <row r="4" spans="1:34" ht="9" customHeight="1" x14ac:dyDescent="0.25">
      <c r="A4" s="2"/>
      <c r="AC4" s="5"/>
      <c r="AD4" s="5"/>
      <c r="AE4" s="5"/>
      <c r="AF4" s="5"/>
      <c r="AG4" s="5"/>
    </row>
    <row r="5" spans="1:34" ht="11.25" customHeight="1" x14ac:dyDescent="0.25"/>
    <row r="6" spans="1:34" ht="15" customHeight="1" x14ac:dyDescent="0.25">
      <c r="E6" s="64" t="s">
        <v>150</v>
      </c>
      <c r="F6" s="65"/>
      <c r="G6" s="66"/>
      <c r="H6" s="64" t="s">
        <v>151</v>
      </c>
      <c r="I6" s="65"/>
      <c r="J6" s="66"/>
      <c r="K6" s="64" t="s">
        <v>152</v>
      </c>
      <c r="L6" s="65"/>
      <c r="M6" s="66"/>
      <c r="N6" s="64" t="s">
        <v>156</v>
      </c>
      <c r="O6" s="65"/>
      <c r="P6" s="66"/>
      <c r="Q6" s="70" t="s">
        <v>160</v>
      </c>
      <c r="R6" s="71"/>
      <c r="S6" s="72"/>
      <c r="T6" s="4"/>
      <c r="U6" s="4"/>
      <c r="V6" s="4"/>
      <c r="W6" s="4"/>
      <c r="X6" s="64" t="s">
        <v>157</v>
      </c>
      <c r="Y6" s="65"/>
      <c r="Z6" s="66"/>
      <c r="AA6" s="4"/>
      <c r="AB6" s="58" t="s">
        <v>158</v>
      </c>
      <c r="AC6" s="59"/>
      <c r="AD6" s="60"/>
      <c r="AE6" s="58" t="s">
        <v>159</v>
      </c>
      <c r="AF6" s="59"/>
      <c r="AG6" s="60"/>
    </row>
    <row r="7" spans="1:34" ht="4.5" customHeight="1" x14ac:dyDescent="0.25">
      <c r="E7" s="67"/>
      <c r="F7" s="68"/>
      <c r="G7" s="69"/>
      <c r="H7" s="67"/>
      <c r="I7" s="68"/>
      <c r="J7" s="69"/>
      <c r="K7" s="67"/>
      <c r="L7" s="68"/>
      <c r="M7" s="69"/>
      <c r="N7" s="67"/>
      <c r="O7" s="68"/>
      <c r="P7" s="69"/>
      <c r="Q7" s="73"/>
      <c r="R7" s="74"/>
      <c r="S7" s="75"/>
      <c r="T7" s="4"/>
      <c r="U7" s="4"/>
      <c r="V7" s="4"/>
      <c r="W7" s="4"/>
      <c r="X7" s="67"/>
      <c r="Y7" s="68"/>
      <c r="Z7" s="69"/>
      <c r="AA7" s="4"/>
      <c r="AB7" s="61"/>
      <c r="AC7" s="62"/>
      <c r="AD7" s="63"/>
      <c r="AE7" s="61"/>
      <c r="AF7" s="62"/>
      <c r="AG7" s="63"/>
    </row>
    <row r="8" spans="1:34" x14ac:dyDescent="0.25">
      <c r="B8" s="53" t="s">
        <v>154</v>
      </c>
      <c r="C8" s="54"/>
      <c r="D8" s="55"/>
      <c r="E8" s="49" t="s">
        <v>278</v>
      </c>
      <c r="F8" s="50"/>
      <c r="G8" s="51"/>
      <c r="H8" s="49" t="s">
        <v>278</v>
      </c>
      <c r="I8" s="50"/>
      <c r="J8" s="51"/>
      <c r="K8" s="49" t="s">
        <v>278</v>
      </c>
      <c r="L8" s="50"/>
      <c r="M8" s="51"/>
      <c r="N8" s="49" t="s">
        <v>278</v>
      </c>
      <c r="O8" s="50"/>
      <c r="P8" s="51"/>
      <c r="Q8" s="49" t="s">
        <v>278</v>
      </c>
      <c r="R8" s="50"/>
      <c r="S8" s="51"/>
      <c r="U8" s="53" t="s">
        <v>154</v>
      </c>
      <c r="V8" s="54"/>
      <c r="W8" s="55"/>
      <c r="X8" s="49" t="s">
        <v>32</v>
      </c>
      <c r="Y8" s="50"/>
      <c r="Z8" s="51"/>
      <c r="AB8" s="49" t="s">
        <v>33</v>
      </c>
      <c r="AC8" s="50"/>
      <c r="AD8" s="51"/>
      <c r="AE8" s="49" t="s">
        <v>34</v>
      </c>
      <c r="AF8" s="50"/>
      <c r="AG8" s="51"/>
    </row>
    <row r="9" spans="1:34" x14ac:dyDescent="0.25">
      <c r="B9" s="56" t="s">
        <v>155</v>
      </c>
      <c r="C9" s="56"/>
      <c r="D9" s="56"/>
      <c r="E9" s="57" t="s">
        <v>278</v>
      </c>
      <c r="F9" s="57"/>
      <c r="G9" s="57"/>
      <c r="H9" s="57" t="s">
        <v>279</v>
      </c>
      <c r="I9" s="57"/>
      <c r="J9" s="57"/>
      <c r="K9" s="57" t="s">
        <v>280</v>
      </c>
      <c r="L9" s="57"/>
      <c r="M9" s="57"/>
      <c r="N9" s="57" t="s">
        <v>281</v>
      </c>
      <c r="O9" s="57"/>
      <c r="P9" s="57"/>
      <c r="Q9" s="57" t="s">
        <v>33</v>
      </c>
      <c r="R9" s="57"/>
      <c r="S9" s="57"/>
      <c r="U9" s="56" t="s">
        <v>155</v>
      </c>
      <c r="V9" s="56"/>
      <c r="W9" s="56"/>
      <c r="X9" s="57" t="s">
        <v>32</v>
      </c>
      <c r="Y9" s="57"/>
      <c r="Z9" s="57"/>
    </row>
    <row r="10" spans="1:34" ht="8.25" customHeight="1" x14ac:dyDescent="0.25"/>
    <row r="11" spans="1:34" x14ac:dyDescent="0.25">
      <c r="B11" s="6" t="s">
        <v>161</v>
      </c>
    </row>
    <row r="12" spans="1:34" x14ac:dyDescent="0.25">
      <c r="B12" s="52" t="s">
        <v>282</v>
      </c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</row>
    <row r="13" spans="1:34" x14ac:dyDescent="0.25">
      <c r="B13" s="6" t="s">
        <v>162</v>
      </c>
    </row>
    <row r="14" spans="1:34" x14ac:dyDescent="0.25">
      <c r="B14" s="52" t="s">
        <v>277</v>
      </c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</row>
  </sheetData>
  <mergeCells count="33">
    <mergeCell ref="AD1:AH1"/>
    <mergeCell ref="AD2:AH3"/>
    <mergeCell ref="D3:J3"/>
    <mergeCell ref="D2:Z2"/>
    <mergeCell ref="D1:J1"/>
    <mergeCell ref="E6:G7"/>
    <mergeCell ref="H6:J7"/>
    <mergeCell ref="K6:M7"/>
    <mergeCell ref="B8:D8"/>
    <mergeCell ref="B9:D9"/>
    <mergeCell ref="H9:J9"/>
    <mergeCell ref="E8:G8"/>
    <mergeCell ref="H8:J8"/>
    <mergeCell ref="K9:M9"/>
    <mergeCell ref="E9:G9"/>
    <mergeCell ref="K8:M8"/>
    <mergeCell ref="AB6:AD7"/>
    <mergeCell ref="AE6:AG7"/>
    <mergeCell ref="X6:Z7"/>
    <mergeCell ref="Q6:S7"/>
    <mergeCell ref="N6:P7"/>
    <mergeCell ref="Q8:S8"/>
    <mergeCell ref="B12:AG12"/>
    <mergeCell ref="B14:AG14"/>
    <mergeCell ref="U8:W8"/>
    <mergeCell ref="X8:Z8"/>
    <mergeCell ref="N8:P8"/>
    <mergeCell ref="U9:W9"/>
    <mergeCell ref="X9:Z9"/>
    <mergeCell ref="N9:P9"/>
    <mergeCell ref="Q9:S9"/>
    <mergeCell ref="AB8:AD8"/>
    <mergeCell ref="AE8:AG8"/>
  </mergeCells>
  <pageMargins left="0.61250000000000004" right="0.25" top="0.73922413793103448" bottom="0.75" header="0.3" footer="0.3"/>
  <pageSetup scale="98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135FA-A74E-419E-8BCE-1976177DC2EB}">
  <sheetPr codeName="Hoja8"/>
  <dimension ref="A1:AM28"/>
  <sheetViews>
    <sheetView showGridLines="0" workbookViewId="0">
      <selection activeCell="AX18" sqref="AX18"/>
    </sheetView>
  </sheetViews>
  <sheetFormatPr baseColWidth="10" defaultColWidth="2.6640625" defaultRowHeight="13.8" x14ac:dyDescent="0.25"/>
  <cols>
    <col min="1" max="16384" width="2.6640625" style="3"/>
  </cols>
  <sheetData>
    <row r="1" spans="1:39" x14ac:dyDescent="0.25">
      <c r="A1" s="6" t="s">
        <v>147</v>
      </c>
      <c r="D1" s="79">
        <v>46093</v>
      </c>
      <c r="E1" s="79"/>
      <c r="F1" s="79"/>
      <c r="G1" s="79"/>
      <c r="H1" s="79"/>
      <c r="I1" s="79"/>
      <c r="J1" s="79"/>
      <c r="AI1" s="76"/>
      <c r="AJ1" s="76"/>
      <c r="AK1" s="76"/>
      <c r="AL1" s="76"/>
      <c r="AM1" s="76"/>
    </row>
    <row r="2" spans="1:39" x14ac:dyDescent="0.25">
      <c r="A2" s="6" t="s">
        <v>148</v>
      </c>
      <c r="D2" s="78" t="s">
        <v>2297</v>
      </c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I2" s="77" t="s">
        <v>2311</v>
      </c>
      <c r="AJ2" s="77"/>
      <c r="AK2" s="77"/>
      <c r="AL2" s="77"/>
      <c r="AM2" s="77"/>
    </row>
    <row r="3" spans="1:39" x14ac:dyDescent="0.25">
      <c r="A3" s="6" t="s">
        <v>149</v>
      </c>
      <c r="D3" s="78">
        <v>104140413</v>
      </c>
      <c r="E3" s="78"/>
      <c r="F3" s="78"/>
      <c r="G3" s="78"/>
      <c r="H3" s="78"/>
      <c r="I3" s="78"/>
      <c r="J3" s="78"/>
      <c r="AI3" s="77"/>
      <c r="AJ3" s="77"/>
      <c r="AK3" s="77"/>
      <c r="AL3" s="77"/>
      <c r="AM3" s="77"/>
    </row>
    <row r="4" spans="1:39" ht="9" customHeight="1" x14ac:dyDescent="0.25">
      <c r="A4" s="2"/>
      <c r="AC4" s="5"/>
      <c r="AD4" s="5"/>
      <c r="AE4" s="5"/>
      <c r="AF4" s="5"/>
      <c r="AG4" s="5"/>
    </row>
    <row r="5" spans="1:39" ht="11.25" customHeight="1" x14ac:dyDescent="0.25"/>
    <row r="6" spans="1:39" ht="15" customHeight="1" x14ac:dyDescent="0.25">
      <c r="E6" s="64" t="s">
        <v>150</v>
      </c>
      <c r="F6" s="65"/>
      <c r="G6" s="66"/>
      <c r="H6" s="64" t="s">
        <v>151</v>
      </c>
      <c r="I6" s="65"/>
      <c r="J6" s="66"/>
      <c r="K6" s="64" t="s">
        <v>152</v>
      </c>
      <c r="L6" s="65"/>
      <c r="M6" s="66"/>
      <c r="N6" s="64" t="s">
        <v>153</v>
      </c>
      <c r="O6" s="65"/>
      <c r="P6" s="66"/>
      <c r="U6" s="64" t="s">
        <v>163</v>
      </c>
      <c r="V6" s="65"/>
      <c r="W6" s="66"/>
      <c r="X6" s="64" t="s">
        <v>164</v>
      </c>
      <c r="Y6" s="65"/>
      <c r="Z6" s="66"/>
      <c r="AA6" s="64" t="s">
        <v>165</v>
      </c>
      <c r="AB6" s="65"/>
      <c r="AC6" s="66"/>
      <c r="AD6" s="64" t="s">
        <v>173</v>
      </c>
      <c r="AE6" s="65"/>
      <c r="AF6" s="66"/>
      <c r="AG6" s="58" t="s">
        <v>166</v>
      </c>
      <c r="AH6" s="59"/>
      <c r="AI6" s="60"/>
      <c r="AJ6" s="58" t="s">
        <v>174</v>
      </c>
      <c r="AK6" s="59"/>
      <c r="AL6" s="60"/>
    </row>
    <row r="7" spans="1:39" ht="4.5" customHeight="1" x14ac:dyDescent="0.25">
      <c r="E7" s="67"/>
      <c r="F7" s="68"/>
      <c r="G7" s="69"/>
      <c r="H7" s="67"/>
      <c r="I7" s="68"/>
      <c r="J7" s="69"/>
      <c r="K7" s="67"/>
      <c r="L7" s="68"/>
      <c r="M7" s="69"/>
      <c r="N7" s="67"/>
      <c r="O7" s="68"/>
      <c r="P7" s="69"/>
      <c r="U7" s="67"/>
      <c r="V7" s="68"/>
      <c r="W7" s="69"/>
      <c r="X7" s="67"/>
      <c r="Y7" s="68"/>
      <c r="Z7" s="69"/>
      <c r="AA7" s="67"/>
      <c r="AB7" s="68"/>
      <c r="AC7" s="69"/>
      <c r="AD7" s="67"/>
      <c r="AE7" s="68"/>
      <c r="AF7" s="69"/>
      <c r="AG7" s="61"/>
      <c r="AH7" s="62"/>
      <c r="AI7" s="63"/>
      <c r="AJ7" s="61"/>
      <c r="AK7" s="62"/>
      <c r="AL7" s="63"/>
    </row>
    <row r="8" spans="1:39" x14ac:dyDescent="0.25">
      <c r="B8" s="53" t="s">
        <v>154</v>
      </c>
      <c r="C8" s="54"/>
      <c r="D8" s="55"/>
      <c r="E8" s="49" t="s">
        <v>342</v>
      </c>
      <c r="F8" s="50"/>
      <c r="G8" s="51"/>
      <c r="H8" s="49" t="s">
        <v>340</v>
      </c>
      <c r="I8" s="50"/>
      <c r="J8" s="51"/>
      <c r="K8" s="49" t="s">
        <v>46</v>
      </c>
      <c r="L8" s="50"/>
      <c r="M8" s="51"/>
      <c r="N8" s="49" t="s">
        <v>1927</v>
      </c>
      <c r="O8" s="50"/>
      <c r="P8" s="51"/>
      <c r="R8" s="53" t="s">
        <v>154</v>
      </c>
      <c r="S8" s="54"/>
      <c r="T8" s="55"/>
      <c r="U8" s="49"/>
      <c r="V8" s="50"/>
      <c r="W8" s="51"/>
      <c r="X8" s="49"/>
      <c r="Y8" s="50"/>
      <c r="Z8" s="51"/>
      <c r="AA8" s="49" t="s">
        <v>91</v>
      </c>
      <c r="AB8" s="50"/>
      <c r="AC8" s="51"/>
      <c r="AD8" s="49"/>
      <c r="AE8" s="50"/>
      <c r="AF8" s="51"/>
      <c r="AG8" s="49"/>
      <c r="AH8" s="50"/>
      <c r="AI8" s="51"/>
      <c r="AJ8" s="49"/>
      <c r="AK8" s="50"/>
      <c r="AL8" s="51"/>
    </row>
    <row r="9" spans="1:39" x14ac:dyDescent="0.25">
      <c r="B9" s="56" t="s">
        <v>155</v>
      </c>
      <c r="C9" s="56"/>
      <c r="D9" s="56"/>
      <c r="E9" s="57" t="s">
        <v>313</v>
      </c>
      <c r="F9" s="57"/>
      <c r="G9" s="57"/>
      <c r="H9" s="57" t="s">
        <v>314</v>
      </c>
      <c r="I9" s="57"/>
      <c r="J9" s="57"/>
      <c r="K9" s="57" t="s">
        <v>36</v>
      </c>
      <c r="L9" s="57"/>
      <c r="M9" s="57"/>
      <c r="N9" s="57" t="s">
        <v>1927</v>
      </c>
      <c r="O9" s="57"/>
      <c r="P9" s="57"/>
      <c r="R9" s="56" t="s">
        <v>155</v>
      </c>
      <c r="S9" s="56"/>
      <c r="T9" s="56"/>
      <c r="U9" s="57"/>
      <c r="V9" s="57"/>
      <c r="W9" s="57"/>
      <c r="X9" s="57"/>
      <c r="Y9" s="57"/>
      <c r="Z9" s="57"/>
      <c r="AA9" s="57" t="s">
        <v>91</v>
      </c>
      <c r="AB9" s="57"/>
      <c r="AC9" s="57"/>
      <c r="AD9" s="57"/>
      <c r="AE9" s="57"/>
      <c r="AF9" s="57"/>
      <c r="AG9" s="49"/>
      <c r="AH9" s="50"/>
      <c r="AI9" s="51"/>
      <c r="AJ9" s="49"/>
      <c r="AK9" s="50"/>
      <c r="AL9" s="51"/>
    </row>
    <row r="10" spans="1:39" ht="8.25" customHeight="1" x14ac:dyDescent="0.25"/>
    <row r="11" spans="1:39" x14ac:dyDescent="0.25">
      <c r="A11" s="6" t="s">
        <v>167</v>
      </c>
      <c r="Q11" s="6" t="s">
        <v>168</v>
      </c>
      <c r="AG11" s="58" t="s">
        <v>158</v>
      </c>
      <c r="AH11" s="59"/>
      <c r="AI11" s="60"/>
      <c r="AJ11" s="58" t="s">
        <v>159</v>
      </c>
      <c r="AK11" s="59"/>
      <c r="AL11" s="60"/>
    </row>
    <row r="12" spans="1:39" x14ac:dyDescent="0.25">
      <c r="A12" s="78" t="s">
        <v>679</v>
      </c>
      <c r="B12" s="78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Q12" s="78" t="s">
        <v>1044</v>
      </c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G12" s="61"/>
      <c r="AH12" s="62"/>
      <c r="AI12" s="63"/>
      <c r="AJ12" s="61"/>
      <c r="AK12" s="62"/>
      <c r="AL12" s="63"/>
    </row>
    <row r="13" spans="1:39" x14ac:dyDescent="0.25">
      <c r="A13" s="6" t="s">
        <v>170</v>
      </c>
      <c r="R13" s="6"/>
      <c r="AG13" s="49"/>
      <c r="AH13" s="50"/>
      <c r="AI13" s="51"/>
      <c r="AJ13" s="49"/>
      <c r="AK13" s="50"/>
      <c r="AL13" s="51"/>
    </row>
    <row r="14" spans="1:39" x14ac:dyDescent="0.25">
      <c r="A14" s="78" t="s">
        <v>493</v>
      </c>
      <c r="B14" s="78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</row>
    <row r="15" spans="1:39" x14ac:dyDescent="0.25">
      <c r="A15" s="6" t="s">
        <v>169</v>
      </c>
    </row>
    <row r="16" spans="1:39" x14ac:dyDescent="0.25">
      <c r="A16" s="78"/>
      <c r="B16" s="78"/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</row>
    <row r="17" spans="1:39" x14ac:dyDescent="0.25">
      <c r="A17" s="6" t="s">
        <v>171</v>
      </c>
      <c r="Q17" s="6" t="s">
        <v>162</v>
      </c>
    </row>
    <row r="18" spans="1:39" x14ac:dyDescent="0.25">
      <c r="A18" s="78" t="s">
        <v>311</v>
      </c>
      <c r="B18" s="78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Q18" s="78" t="s">
        <v>2305</v>
      </c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</row>
    <row r="23" spans="1:39" x14ac:dyDescent="0.25">
      <c r="A23" s="6"/>
      <c r="R23" s="6"/>
      <c r="U23" s="6"/>
      <c r="AL23" s="6"/>
    </row>
    <row r="24" spans="1:39" x14ac:dyDescent="0.25">
      <c r="A24" s="78"/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T24" s="7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8"/>
      <c r="AG24" s="78"/>
      <c r="AH24" s="78"/>
      <c r="AI24" s="78"/>
      <c r="AJ24" s="78"/>
      <c r="AK24" s="78"/>
      <c r="AL24" s="78"/>
    </row>
    <row r="25" spans="1:39" x14ac:dyDescent="0.25">
      <c r="A25" s="6"/>
    </row>
    <row r="26" spans="1:39" x14ac:dyDescent="0.25">
      <c r="B26" s="78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78"/>
      <c r="N26" s="78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  <c r="AA26" s="78"/>
      <c r="AB26" s="78"/>
      <c r="AC26" s="78"/>
      <c r="AD26" s="78"/>
      <c r="AE26" s="78"/>
      <c r="AF26" s="78"/>
      <c r="AG26" s="78"/>
      <c r="AH26" s="78"/>
      <c r="AI26" s="78"/>
      <c r="AJ26" s="78"/>
      <c r="AK26" s="78"/>
      <c r="AL26" s="78"/>
      <c r="AM26" s="78"/>
    </row>
    <row r="27" spans="1:39" x14ac:dyDescent="0.25">
      <c r="A27" s="6"/>
    </row>
    <row r="28" spans="1:39" x14ac:dyDescent="0.25">
      <c r="A28" s="78"/>
      <c r="B28" s="7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78"/>
      <c r="AG28" s="78"/>
      <c r="AH28" s="78"/>
      <c r="AI28" s="78"/>
      <c r="AJ28" s="78"/>
      <c r="AK28" s="78"/>
      <c r="AL28" s="78"/>
    </row>
  </sheetData>
  <mergeCells count="53">
    <mergeCell ref="A14:AE14"/>
    <mergeCell ref="A18:O18"/>
    <mergeCell ref="Q18:AE18"/>
    <mergeCell ref="A16:AE16"/>
    <mergeCell ref="A28:AL28"/>
    <mergeCell ref="A24:R24"/>
    <mergeCell ref="U24:AL24"/>
    <mergeCell ref="B26:AM26"/>
    <mergeCell ref="AG9:AI9"/>
    <mergeCell ref="AJ9:AL9"/>
    <mergeCell ref="AG11:AI12"/>
    <mergeCell ref="AJ11:AL12"/>
    <mergeCell ref="AG13:AI13"/>
    <mergeCell ref="AJ13:AL13"/>
    <mergeCell ref="A12:O12"/>
    <mergeCell ref="Q12:AE12"/>
    <mergeCell ref="AA9:AC9"/>
    <mergeCell ref="AD9:AF9"/>
    <mergeCell ref="AG6:AI7"/>
    <mergeCell ref="R8:T8"/>
    <mergeCell ref="R9:T9"/>
    <mergeCell ref="B9:D9"/>
    <mergeCell ref="E9:G9"/>
    <mergeCell ref="H9:J9"/>
    <mergeCell ref="K9:M9"/>
    <mergeCell ref="N9:P9"/>
    <mergeCell ref="B8:D8"/>
    <mergeCell ref="E8:G8"/>
    <mergeCell ref="H8:J8"/>
    <mergeCell ref="K8:M8"/>
    <mergeCell ref="X9:Z9"/>
    <mergeCell ref="U6:W7"/>
    <mergeCell ref="AA6:AC7"/>
    <mergeCell ref="AD6:AF7"/>
    <mergeCell ref="AA8:AC8"/>
    <mergeCell ref="AD8:AF8"/>
    <mergeCell ref="X8:Z8"/>
    <mergeCell ref="U9:W9"/>
    <mergeCell ref="X6:Z7"/>
    <mergeCell ref="N8:P8"/>
    <mergeCell ref="U8:W8"/>
    <mergeCell ref="D1:J1"/>
    <mergeCell ref="AI1:AM1"/>
    <mergeCell ref="D2:Z2"/>
    <mergeCell ref="AI2:AM3"/>
    <mergeCell ref="D3:J3"/>
    <mergeCell ref="E6:G7"/>
    <mergeCell ref="H6:J7"/>
    <mergeCell ref="K6:M7"/>
    <mergeCell ref="N6:P7"/>
    <mergeCell ref="AJ6:AL7"/>
    <mergeCell ref="AG8:AI8"/>
    <mergeCell ref="AJ8:AL8"/>
  </mergeCells>
  <pageMargins left="0.61250000000000004" right="0.25" top="0.78164062499999998" bottom="0.75" header="0.3" footer="0.3"/>
  <pageSetup scale="87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3741A-E204-44E8-82F8-8F017237DD03}">
  <sheetPr codeName="Hoja11"/>
  <dimension ref="C3:H122"/>
  <sheetViews>
    <sheetView showGridLines="0" workbookViewId="0">
      <selection activeCell="H4" sqref="H4"/>
    </sheetView>
  </sheetViews>
  <sheetFormatPr baseColWidth="10" defaultRowHeight="14.4" x14ac:dyDescent="0.3"/>
  <cols>
    <col min="4" max="4" width="23.88671875" bestFit="1" customWidth="1"/>
    <col min="7" max="7" width="13" customWidth="1"/>
    <col min="8" max="8" width="12.5546875" bestFit="1" customWidth="1"/>
  </cols>
  <sheetData>
    <row r="3" spans="3:8" x14ac:dyDescent="0.3">
      <c r="C3" s="10" t="s">
        <v>206</v>
      </c>
      <c r="D3" s="11" t="s">
        <v>207</v>
      </c>
      <c r="E3" s="11" t="s">
        <v>205</v>
      </c>
      <c r="F3" s="11" t="s">
        <v>208</v>
      </c>
      <c r="G3" s="11" t="s">
        <v>209</v>
      </c>
      <c r="H3" s="12" t="s">
        <v>210</v>
      </c>
    </row>
    <row r="4" spans="3:8" ht="27.6" x14ac:dyDescent="0.3">
      <c r="C4" s="38" t="s">
        <v>290</v>
      </c>
      <c r="D4" s="39" t="s">
        <v>291</v>
      </c>
      <c r="E4" s="39">
        <v>27.5</v>
      </c>
      <c r="F4" s="39">
        <v>1</v>
      </c>
      <c r="G4" s="39">
        <v>35</v>
      </c>
      <c r="H4" s="40">
        <f>inventario[[#This Row],[entradas]]-inventario[[#This Row],[salidas]]</f>
        <v>-34</v>
      </c>
    </row>
    <row r="5" spans="3:8" ht="27.6" x14ac:dyDescent="0.3">
      <c r="C5" s="38" t="s">
        <v>292</v>
      </c>
      <c r="D5" s="39" t="s">
        <v>293</v>
      </c>
      <c r="E5" s="39">
        <v>32.5</v>
      </c>
      <c r="F5" s="39">
        <v>1</v>
      </c>
      <c r="G5" s="39">
        <v>13</v>
      </c>
      <c r="H5" s="40">
        <f>inventario[[#This Row],[entradas]]-inventario[[#This Row],[salidas]]</f>
        <v>-12</v>
      </c>
    </row>
    <row r="6" spans="3:8" x14ac:dyDescent="0.3">
      <c r="C6" s="38" t="s">
        <v>294</v>
      </c>
      <c r="D6" s="39" t="s">
        <v>295</v>
      </c>
      <c r="E6" s="39">
        <v>5</v>
      </c>
      <c r="F6" s="39">
        <v>1</v>
      </c>
      <c r="G6" s="39">
        <v>11</v>
      </c>
      <c r="H6" s="40">
        <f>inventario[[#This Row],[entradas]]-inventario[[#This Row],[salidas]]</f>
        <v>-10</v>
      </c>
    </row>
    <row r="7" spans="3:8" ht="27.6" x14ac:dyDescent="0.3">
      <c r="C7" s="38" t="s">
        <v>369</v>
      </c>
      <c r="D7" s="39" t="s">
        <v>420</v>
      </c>
      <c r="E7" s="39">
        <v>60</v>
      </c>
      <c r="F7" s="39">
        <v>64</v>
      </c>
      <c r="G7" s="39">
        <v>26</v>
      </c>
      <c r="H7" s="40">
        <f>inventario[[#This Row],[entradas]]-inventario[[#This Row],[salidas]]</f>
        <v>38</v>
      </c>
    </row>
    <row r="8" spans="3:8" ht="41.4" x14ac:dyDescent="0.3">
      <c r="C8" s="38">
        <v>240017</v>
      </c>
      <c r="D8" s="39" t="s">
        <v>370</v>
      </c>
      <c r="E8" s="39">
        <v>115</v>
      </c>
      <c r="F8" s="39">
        <v>1</v>
      </c>
      <c r="G8" s="39">
        <v>1</v>
      </c>
      <c r="H8" s="40">
        <f>inventario[[#This Row],[entradas]]-inventario[[#This Row],[salidas]]</f>
        <v>0</v>
      </c>
    </row>
    <row r="9" spans="3:8" x14ac:dyDescent="0.3">
      <c r="C9" s="38" t="s">
        <v>410</v>
      </c>
      <c r="D9" s="39" t="s">
        <v>411</v>
      </c>
      <c r="E9" s="39">
        <v>5</v>
      </c>
      <c r="F9" s="39">
        <v>1</v>
      </c>
      <c r="G9" s="39">
        <v>1</v>
      </c>
      <c r="H9" s="40">
        <f>inventario[[#This Row],[entradas]]-inventario[[#This Row],[salidas]]</f>
        <v>0</v>
      </c>
    </row>
    <row r="10" spans="3:8" ht="41.4" x14ac:dyDescent="0.3">
      <c r="C10" s="38" t="s">
        <v>416</v>
      </c>
      <c r="D10" s="39" t="s">
        <v>417</v>
      </c>
      <c r="E10" s="39">
        <v>85</v>
      </c>
      <c r="F10" s="39"/>
      <c r="G10" s="39">
        <v>1</v>
      </c>
      <c r="H10" s="40">
        <f>inventario[[#This Row],[entradas]]-inventario[[#This Row],[salidas]]</f>
        <v>-1</v>
      </c>
    </row>
    <row r="11" spans="3:8" ht="27.6" x14ac:dyDescent="0.3">
      <c r="C11" s="38" t="s">
        <v>418</v>
      </c>
      <c r="D11" s="39" t="s">
        <v>419</v>
      </c>
      <c r="E11" s="39">
        <v>65</v>
      </c>
      <c r="F11" s="39"/>
      <c r="G11" s="39">
        <v>11</v>
      </c>
      <c r="H11" s="40">
        <f>inventario[[#This Row],[entradas]]-inventario[[#This Row],[salidas]]</f>
        <v>-11</v>
      </c>
    </row>
    <row r="12" spans="3:8" x14ac:dyDescent="0.3">
      <c r="C12" s="38" t="s">
        <v>438</v>
      </c>
      <c r="D12" s="39" t="s">
        <v>439</v>
      </c>
      <c r="E12" s="39">
        <v>50</v>
      </c>
      <c r="F12" s="39"/>
      <c r="G12" s="39">
        <v>1</v>
      </c>
      <c r="H12" s="40">
        <f>inventario[[#This Row],[entradas]]-inventario[[#This Row],[salidas]]</f>
        <v>-1</v>
      </c>
    </row>
    <row r="13" spans="3:8" x14ac:dyDescent="0.3">
      <c r="C13" s="38" t="s">
        <v>457</v>
      </c>
      <c r="D13" s="39" t="s">
        <v>455</v>
      </c>
      <c r="E13" s="39">
        <v>12</v>
      </c>
      <c r="F13" s="39"/>
      <c r="G13" s="39">
        <v>2</v>
      </c>
      <c r="H13" s="40">
        <f>inventario[[#This Row],[entradas]]-inventario[[#This Row],[salidas]]</f>
        <v>-2</v>
      </c>
    </row>
    <row r="14" spans="3:8" ht="27.6" x14ac:dyDescent="0.3">
      <c r="C14" s="38" t="s">
        <v>537</v>
      </c>
      <c r="D14" s="39" t="s">
        <v>538</v>
      </c>
      <c r="E14" s="39">
        <v>25</v>
      </c>
      <c r="F14" s="39"/>
      <c r="G14" s="39">
        <v>1</v>
      </c>
      <c r="H14" s="40">
        <f>inventario[[#This Row],[entradas]]-inventario[[#This Row],[salidas]]</f>
        <v>-1</v>
      </c>
    </row>
    <row r="15" spans="3:8" ht="27.6" x14ac:dyDescent="0.3">
      <c r="C15" s="38" t="s">
        <v>539</v>
      </c>
      <c r="D15" s="39" t="s">
        <v>540</v>
      </c>
      <c r="E15" s="39">
        <v>17.5</v>
      </c>
      <c r="F15" s="39"/>
      <c r="G15" s="39">
        <v>22</v>
      </c>
      <c r="H15" s="40">
        <f>inventario[[#This Row],[entradas]]-inventario[[#This Row],[salidas]]</f>
        <v>-22</v>
      </c>
    </row>
    <row r="16" spans="3:8" ht="27.6" x14ac:dyDescent="0.3">
      <c r="C16" s="38" t="s">
        <v>547</v>
      </c>
      <c r="D16" s="39" t="s">
        <v>548</v>
      </c>
      <c r="E16" s="39">
        <v>55</v>
      </c>
      <c r="F16" s="39">
        <v>55</v>
      </c>
      <c r="G16" s="39">
        <v>2</v>
      </c>
      <c r="H16" s="40">
        <f>inventario[[#This Row],[entradas]]-inventario[[#This Row],[salidas]]</f>
        <v>53</v>
      </c>
    </row>
    <row r="17" spans="3:8" ht="27.6" x14ac:dyDescent="0.3">
      <c r="C17" s="38" t="s">
        <v>553</v>
      </c>
      <c r="D17" s="39" t="s">
        <v>554</v>
      </c>
      <c r="E17" s="39">
        <v>130</v>
      </c>
      <c r="F17" s="39"/>
      <c r="G17" s="39">
        <v>1</v>
      </c>
      <c r="H17" s="40">
        <f>inventario[[#This Row],[entradas]]-inventario[[#This Row],[salidas]]</f>
        <v>-1</v>
      </c>
    </row>
    <row r="18" spans="3:8" ht="27.6" x14ac:dyDescent="0.3">
      <c r="C18" s="38" t="s">
        <v>576</v>
      </c>
      <c r="D18" s="39" t="s">
        <v>579</v>
      </c>
      <c r="E18" s="39">
        <v>130</v>
      </c>
      <c r="F18" s="39"/>
      <c r="G18" s="39">
        <v>1</v>
      </c>
      <c r="H18" s="40">
        <f>inventario[[#This Row],[entradas]]-inventario[[#This Row],[salidas]]</f>
        <v>-1</v>
      </c>
    </row>
    <row r="19" spans="3:8" ht="41.4" x14ac:dyDescent="0.3">
      <c r="C19" s="38" t="s">
        <v>577</v>
      </c>
      <c r="D19" s="39" t="s">
        <v>578</v>
      </c>
      <c r="E19" s="39">
        <v>65</v>
      </c>
      <c r="F19" s="39">
        <v>52.5</v>
      </c>
      <c r="G19" s="39">
        <v>10</v>
      </c>
      <c r="H19" s="40">
        <f>inventario[[#This Row],[entradas]]-inventario[[#This Row],[salidas]]</f>
        <v>42.5</v>
      </c>
    </row>
    <row r="20" spans="3:8" ht="27.6" x14ac:dyDescent="0.3">
      <c r="C20" s="38" t="s">
        <v>594</v>
      </c>
      <c r="D20" s="39" t="s">
        <v>595</v>
      </c>
      <c r="E20" s="39">
        <v>35</v>
      </c>
      <c r="F20" s="39"/>
      <c r="G20" s="39">
        <v>1</v>
      </c>
      <c r="H20" s="40">
        <f>inventario[[#This Row],[entradas]]-inventario[[#This Row],[salidas]]</f>
        <v>-1</v>
      </c>
    </row>
    <row r="21" spans="3:8" ht="27.6" x14ac:dyDescent="0.3">
      <c r="C21" s="38" t="s">
        <v>626</v>
      </c>
      <c r="D21" s="39" t="s">
        <v>627</v>
      </c>
      <c r="E21" s="39">
        <v>170</v>
      </c>
      <c r="F21" s="39"/>
      <c r="G21" s="39">
        <v>1</v>
      </c>
      <c r="H21" s="40">
        <f>inventario[[#This Row],[entradas]]-inventario[[#This Row],[salidas]]</f>
        <v>-1</v>
      </c>
    </row>
    <row r="22" spans="3:8" ht="41.4" x14ac:dyDescent="0.3">
      <c r="C22" s="38" t="s">
        <v>628</v>
      </c>
      <c r="D22" s="39" t="s">
        <v>631</v>
      </c>
      <c r="E22" s="39">
        <v>80</v>
      </c>
      <c r="F22" s="39"/>
      <c r="G22" s="39">
        <v>1</v>
      </c>
      <c r="H22" s="40">
        <f>inventario[[#This Row],[entradas]]-inventario[[#This Row],[salidas]]</f>
        <v>-1</v>
      </c>
    </row>
    <row r="23" spans="3:8" ht="41.4" x14ac:dyDescent="0.3">
      <c r="C23" s="38" t="s">
        <v>629</v>
      </c>
      <c r="D23" s="39" t="s">
        <v>630</v>
      </c>
      <c r="E23" s="39">
        <v>85</v>
      </c>
      <c r="F23" s="39"/>
      <c r="G23" s="39">
        <v>1</v>
      </c>
      <c r="H23" s="40">
        <f>inventario[[#This Row],[entradas]]-inventario[[#This Row],[salidas]]</f>
        <v>-1</v>
      </c>
    </row>
    <row r="24" spans="3:8" ht="55.2" x14ac:dyDescent="0.3">
      <c r="C24" s="38" t="s">
        <v>657</v>
      </c>
      <c r="D24" s="39" t="s">
        <v>658</v>
      </c>
      <c r="E24" s="39">
        <v>120</v>
      </c>
      <c r="F24" s="39"/>
      <c r="G24" s="39">
        <v>4</v>
      </c>
      <c r="H24" s="40">
        <f>inventario[[#This Row],[entradas]]-inventario[[#This Row],[salidas]]</f>
        <v>-4</v>
      </c>
    </row>
    <row r="25" spans="3:8" ht="27.6" x14ac:dyDescent="0.3">
      <c r="C25" s="38" t="s">
        <v>681</v>
      </c>
      <c r="D25" s="39" t="s">
        <v>682</v>
      </c>
      <c r="E25" s="39">
        <v>25</v>
      </c>
      <c r="F25" s="39"/>
      <c r="G25" s="39">
        <v>1</v>
      </c>
      <c r="H25" s="40">
        <f>inventario[[#This Row],[entradas]]-inventario[[#This Row],[salidas]]</f>
        <v>-1</v>
      </c>
    </row>
    <row r="26" spans="3:8" ht="27.6" x14ac:dyDescent="0.3">
      <c r="C26" s="38" t="s">
        <v>689</v>
      </c>
      <c r="D26" s="39" t="s">
        <v>690</v>
      </c>
      <c r="E26" s="39">
        <v>80</v>
      </c>
      <c r="F26" s="39"/>
      <c r="G26" s="39"/>
      <c r="H26" s="40">
        <f>inventario[[#This Row],[entradas]]-inventario[[#This Row],[salidas]]</f>
        <v>0</v>
      </c>
    </row>
    <row r="27" spans="3:8" ht="27.6" x14ac:dyDescent="0.3">
      <c r="C27" s="38" t="s">
        <v>724</v>
      </c>
      <c r="D27" s="39" t="s">
        <v>725</v>
      </c>
      <c r="E27" s="39">
        <v>70</v>
      </c>
      <c r="F27" s="39"/>
      <c r="G27" s="39">
        <v>1</v>
      </c>
      <c r="H27" s="40">
        <f>inventario[[#This Row],[entradas]]-inventario[[#This Row],[salidas]]</f>
        <v>-1</v>
      </c>
    </row>
    <row r="28" spans="3:8" ht="27.6" x14ac:dyDescent="0.3">
      <c r="C28" s="38" t="s">
        <v>731</v>
      </c>
      <c r="D28" s="39" t="s">
        <v>730</v>
      </c>
      <c r="E28" s="39">
        <v>115</v>
      </c>
      <c r="F28" s="39"/>
      <c r="G28" s="39">
        <v>1</v>
      </c>
      <c r="H28" s="40">
        <f>inventario[[#This Row],[entradas]]-inventario[[#This Row],[salidas]]</f>
        <v>-1</v>
      </c>
    </row>
    <row r="29" spans="3:8" ht="27.6" x14ac:dyDescent="0.3">
      <c r="C29" s="38" t="s">
        <v>732</v>
      </c>
      <c r="D29" s="39" t="s">
        <v>733</v>
      </c>
      <c r="E29" s="39">
        <v>37.5</v>
      </c>
      <c r="F29" s="39"/>
      <c r="G29" s="39">
        <v>2</v>
      </c>
      <c r="H29" s="40">
        <f>inventario[[#This Row],[entradas]]-inventario[[#This Row],[salidas]]</f>
        <v>-2</v>
      </c>
    </row>
    <row r="30" spans="3:8" ht="27.6" x14ac:dyDescent="0.3">
      <c r="C30" s="38" t="s">
        <v>767</v>
      </c>
      <c r="D30" s="39" t="s">
        <v>768</v>
      </c>
      <c r="E30" s="39">
        <v>75</v>
      </c>
      <c r="F30" s="39"/>
      <c r="G30" s="39">
        <v>1</v>
      </c>
      <c r="H30" s="40">
        <f>inventario[[#This Row],[entradas]]-inventario[[#This Row],[salidas]]</f>
        <v>-1</v>
      </c>
    </row>
    <row r="31" spans="3:8" ht="27.6" x14ac:dyDescent="0.3">
      <c r="C31" s="38" t="s">
        <v>769</v>
      </c>
      <c r="D31" s="39" t="s">
        <v>770</v>
      </c>
      <c r="E31" s="39">
        <v>37.5</v>
      </c>
      <c r="F31" s="39"/>
      <c r="G31" s="39">
        <v>2</v>
      </c>
      <c r="H31" s="40">
        <f>inventario[[#This Row],[entradas]]-inventario[[#This Row],[salidas]]</f>
        <v>-2</v>
      </c>
    </row>
    <row r="32" spans="3:8" ht="27.6" x14ac:dyDescent="0.3">
      <c r="C32" s="38" t="s">
        <v>779</v>
      </c>
      <c r="D32" s="39" t="s">
        <v>780</v>
      </c>
      <c r="E32" s="39">
        <v>25</v>
      </c>
      <c r="F32" s="39"/>
      <c r="G32" s="39">
        <v>1</v>
      </c>
      <c r="H32" s="40">
        <f>inventario[[#This Row],[entradas]]-inventario[[#This Row],[salidas]]</f>
        <v>-1</v>
      </c>
    </row>
    <row r="33" spans="3:8" ht="27.6" x14ac:dyDescent="0.3">
      <c r="C33" s="38">
        <v>85831</v>
      </c>
      <c r="D33" s="39" t="s">
        <v>819</v>
      </c>
      <c r="E33" s="39">
        <v>25</v>
      </c>
      <c r="F33" s="39">
        <v>25</v>
      </c>
      <c r="G33" s="39">
        <v>2</v>
      </c>
      <c r="H33" s="40">
        <f>inventario[[#This Row],[entradas]]-inventario[[#This Row],[salidas]]</f>
        <v>23</v>
      </c>
    </row>
    <row r="34" spans="3:8" ht="27.6" x14ac:dyDescent="0.3">
      <c r="C34" s="38" t="s">
        <v>820</v>
      </c>
      <c r="D34" s="39" t="s">
        <v>821</v>
      </c>
      <c r="E34" s="39">
        <v>47.5</v>
      </c>
      <c r="F34" s="39">
        <v>47.5</v>
      </c>
      <c r="G34" s="39">
        <v>2</v>
      </c>
      <c r="H34" s="40">
        <f>inventario[[#This Row],[entradas]]-inventario[[#This Row],[salidas]]</f>
        <v>45.5</v>
      </c>
    </row>
    <row r="35" spans="3:8" ht="27.6" x14ac:dyDescent="0.3">
      <c r="C35" s="38" t="s">
        <v>837</v>
      </c>
      <c r="D35" s="39" t="s">
        <v>838</v>
      </c>
      <c r="E35" s="39">
        <v>130</v>
      </c>
      <c r="F35" s="39"/>
      <c r="G35" s="39">
        <v>1</v>
      </c>
      <c r="H35" s="40">
        <f>inventario[[#This Row],[entradas]]-inventario[[#This Row],[salidas]]</f>
        <v>-1</v>
      </c>
    </row>
    <row r="36" spans="3:8" ht="55.2" x14ac:dyDescent="0.3">
      <c r="C36" s="38" t="s">
        <v>853</v>
      </c>
      <c r="D36" s="39" t="s">
        <v>854</v>
      </c>
      <c r="E36" s="39">
        <v>100</v>
      </c>
      <c r="F36" s="39"/>
      <c r="G36" s="39">
        <v>2</v>
      </c>
      <c r="H36" s="40">
        <f>inventario[[#This Row],[entradas]]-inventario[[#This Row],[salidas]]</f>
        <v>-2</v>
      </c>
    </row>
    <row r="37" spans="3:8" ht="27.6" x14ac:dyDescent="0.3">
      <c r="C37" s="38" t="s">
        <v>855</v>
      </c>
      <c r="D37" s="39" t="s">
        <v>856</v>
      </c>
      <c r="E37" s="39">
        <v>80</v>
      </c>
      <c r="F37" s="39"/>
      <c r="G37" s="39">
        <v>1</v>
      </c>
      <c r="H37" s="40">
        <f>inventario[[#This Row],[entradas]]-inventario[[#This Row],[salidas]]</f>
        <v>-1</v>
      </c>
    </row>
    <row r="38" spans="3:8" ht="55.2" x14ac:dyDescent="0.3">
      <c r="C38" s="38" t="s">
        <v>873</v>
      </c>
      <c r="D38" s="39" t="s">
        <v>874</v>
      </c>
      <c r="E38" s="39">
        <v>92.5</v>
      </c>
      <c r="F38" s="39"/>
      <c r="G38" s="39">
        <v>16</v>
      </c>
      <c r="H38" s="40">
        <f>inventario[[#This Row],[entradas]]-inventario[[#This Row],[salidas]]</f>
        <v>-16</v>
      </c>
    </row>
    <row r="39" spans="3:8" ht="27.6" x14ac:dyDescent="0.3">
      <c r="C39" s="38" t="s">
        <v>899</v>
      </c>
      <c r="D39" s="39" t="s">
        <v>900</v>
      </c>
      <c r="E39" s="39">
        <v>115</v>
      </c>
      <c r="F39" s="39"/>
      <c r="G39" s="39">
        <v>1</v>
      </c>
      <c r="H39" s="40">
        <f>inventario[[#This Row],[entradas]]-inventario[[#This Row],[salidas]]</f>
        <v>-1</v>
      </c>
    </row>
    <row r="40" spans="3:8" x14ac:dyDescent="0.3">
      <c r="C40" s="38" t="s">
        <v>918</v>
      </c>
      <c r="D40" s="39" t="s">
        <v>917</v>
      </c>
      <c r="E40" s="39">
        <v>115</v>
      </c>
      <c r="F40" s="39"/>
      <c r="G40" s="39">
        <v>1</v>
      </c>
      <c r="H40" s="40">
        <f>inventario[[#This Row],[entradas]]-inventario[[#This Row],[salidas]]</f>
        <v>-1</v>
      </c>
    </row>
    <row r="41" spans="3:8" ht="27.6" x14ac:dyDescent="0.3">
      <c r="C41" s="38" t="s">
        <v>928</v>
      </c>
      <c r="D41" s="39" t="s">
        <v>929</v>
      </c>
      <c r="E41" s="39">
        <v>50</v>
      </c>
      <c r="F41" s="39"/>
      <c r="G41" s="39"/>
      <c r="H41" s="40">
        <f>inventario[[#This Row],[entradas]]-inventario[[#This Row],[salidas]]</f>
        <v>0</v>
      </c>
    </row>
    <row r="42" spans="3:8" ht="55.2" x14ac:dyDescent="0.3">
      <c r="C42" s="38" t="s">
        <v>933</v>
      </c>
      <c r="D42" s="39" t="s">
        <v>934</v>
      </c>
      <c r="E42" s="39">
        <v>125</v>
      </c>
      <c r="F42" s="39"/>
      <c r="G42" s="39">
        <v>2</v>
      </c>
      <c r="H42" s="40">
        <f>inventario[[#This Row],[entradas]]-inventario[[#This Row],[salidas]]</f>
        <v>-2</v>
      </c>
    </row>
    <row r="43" spans="3:8" ht="27.6" x14ac:dyDescent="0.3">
      <c r="C43" s="38" t="s">
        <v>977</v>
      </c>
      <c r="D43" s="39" t="s">
        <v>978</v>
      </c>
      <c r="E43" s="39">
        <v>72.5</v>
      </c>
      <c r="F43" s="39"/>
      <c r="G43" s="39">
        <v>3</v>
      </c>
      <c r="H43" s="40">
        <f>inventario[[#This Row],[entradas]]-inventario[[#This Row],[salidas]]</f>
        <v>-3</v>
      </c>
    </row>
    <row r="44" spans="3:8" x14ac:dyDescent="0.3">
      <c r="C44" s="38" t="s">
        <v>997</v>
      </c>
      <c r="D44" s="39" t="s">
        <v>998</v>
      </c>
      <c r="E44" s="39">
        <v>25</v>
      </c>
      <c r="F44" s="39"/>
      <c r="G44" s="39">
        <v>1</v>
      </c>
      <c r="H44" s="40">
        <f>inventario[[#This Row],[entradas]]-inventario[[#This Row],[salidas]]</f>
        <v>-1</v>
      </c>
    </row>
    <row r="45" spans="3:8" ht="41.4" x14ac:dyDescent="0.3">
      <c r="C45" s="38" t="s">
        <v>999</v>
      </c>
      <c r="D45" s="39" t="s">
        <v>1000</v>
      </c>
      <c r="E45" s="39">
        <v>52.5</v>
      </c>
      <c r="F45" s="39"/>
      <c r="G45" s="39">
        <v>1</v>
      </c>
      <c r="H45" s="40">
        <f>inventario[[#This Row],[entradas]]-inventario[[#This Row],[salidas]]</f>
        <v>-1</v>
      </c>
    </row>
    <row r="46" spans="3:8" ht="55.2" x14ac:dyDescent="0.3">
      <c r="C46" s="38" t="s">
        <v>1001</v>
      </c>
      <c r="D46" s="39" t="s">
        <v>1002</v>
      </c>
      <c r="E46" s="39">
        <v>72.5</v>
      </c>
      <c r="F46" s="39"/>
      <c r="G46" s="39">
        <v>1</v>
      </c>
      <c r="H46" s="40">
        <f>inventario[[#This Row],[entradas]]-inventario[[#This Row],[salidas]]</f>
        <v>-1</v>
      </c>
    </row>
    <row r="47" spans="3:8" ht="27.6" x14ac:dyDescent="0.3">
      <c r="C47" s="38" t="s">
        <v>1003</v>
      </c>
      <c r="D47" s="39" t="s">
        <v>1004</v>
      </c>
      <c r="E47" s="39">
        <v>22.5</v>
      </c>
      <c r="F47" s="39"/>
      <c r="G47" s="39">
        <v>4</v>
      </c>
      <c r="H47" s="40">
        <f>inventario[[#This Row],[entradas]]-inventario[[#This Row],[salidas]]</f>
        <v>-4</v>
      </c>
    </row>
    <row r="48" spans="3:8" ht="55.2" x14ac:dyDescent="0.3">
      <c r="C48" s="38" t="s">
        <v>1024</v>
      </c>
      <c r="D48" s="39" t="s">
        <v>1025</v>
      </c>
      <c r="E48" s="39">
        <v>155</v>
      </c>
      <c r="F48" s="39"/>
      <c r="G48" s="39">
        <v>2</v>
      </c>
      <c r="H48" s="40">
        <f>inventario[[#This Row],[entradas]]-inventario[[#This Row],[salidas]]</f>
        <v>-2</v>
      </c>
    </row>
    <row r="49" spans="3:8" x14ac:dyDescent="0.3">
      <c r="C49" s="38" t="s">
        <v>1046</v>
      </c>
      <c r="D49" s="39" t="s">
        <v>1047</v>
      </c>
      <c r="E49" s="39">
        <v>50</v>
      </c>
      <c r="F49" s="39"/>
      <c r="G49" s="39">
        <v>1</v>
      </c>
      <c r="H49" s="40">
        <f>inventario[[#This Row],[entradas]]-inventario[[#This Row],[salidas]]</f>
        <v>-1</v>
      </c>
    </row>
    <row r="50" spans="3:8" x14ac:dyDescent="0.3">
      <c r="C50" s="38" t="s">
        <v>1074</v>
      </c>
      <c r="D50" s="39" t="s">
        <v>1075</v>
      </c>
      <c r="E50" s="39">
        <v>125</v>
      </c>
      <c r="F50" s="39"/>
      <c r="G50" s="39">
        <v>1</v>
      </c>
      <c r="H50" s="40">
        <f>inventario[[#This Row],[entradas]]-inventario[[#This Row],[salidas]]</f>
        <v>-1</v>
      </c>
    </row>
    <row r="51" spans="3:8" ht="27.6" x14ac:dyDescent="0.3">
      <c r="C51" s="38" t="s">
        <v>1097</v>
      </c>
      <c r="D51" s="39" t="s">
        <v>1098</v>
      </c>
      <c r="E51" s="39">
        <v>60</v>
      </c>
      <c r="F51" s="39"/>
      <c r="G51" s="39">
        <v>1</v>
      </c>
      <c r="H51" s="40">
        <f>inventario[[#This Row],[entradas]]-inventario[[#This Row],[salidas]]</f>
        <v>-1</v>
      </c>
    </row>
    <row r="52" spans="3:8" ht="27.6" x14ac:dyDescent="0.3">
      <c r="C52" s="38" t="s">
        <v>1099</v>
      </c>
      <c r="D52" s="39" t="s">
        <v>1100</v>
      </c>
      <c r="E52" s="39">
        <v>65</v>
      </c>
      <c r="F52" s="39"/>
      <c r="G52" s="39">
        <v>2</v>
      </c>
      <c r="H52" s="40">
        <f>inventario[[#This Row],[entradas]]-inventario[[#This Row],[salidas]]</f>
        <v>-2</v>
      </c>
    </row>
    <row r="53" spans="3:8" ht="27.6" x14ac:dyDescent="0.3">
      <c r="C53" s="38" t="s">
        <v>1111</v>
      </c>
      <c r="D53" s="39" t="s">
        <v>1112</v>
      </c>
      <c r="E53" s="39">
        <v>20</v>
      </c>
      <c r="F53" s="39"/>
      <c r="G53" s="39"/>
      <c r="H53" s="40">
        <f>inventario[[#This Row],[entradas]]-inventario[[#This Row],[salidas]]</f>
        <v>0</v>
      </c>
    </row>
    <row r="54" spans="3:8" x14ac:dyDescent="0.3">
      <c r="C54" s="38" t="s">
        <v>1113</v>
      </c>
      <c r="D54" s="39" t="s">
        <v>1114</v>
      </c>
      <c r="E54" s="39">
        <v>80</v>
      </c>
      <c r="F54" s="39"/>
      <c r="G54" s="39">
        <v>1</v>
      </c>
      <c r="H54" s="40">
        <f>inventario[[#This Row],[entradas]]-inventario[[#This Row],[salidas]]</f>
        <v>-1</v>
      </c>
    </row>
    <row r="55" spans="3:8" ht="27.6" x14ac:dyDescent="0.3">
      <c r="C55" s="38" t="s">
        <v>1146</v>
      </c>
      <c r="D55" s="39" t="s">
        <v>1147</v>
      </c>
      <c r="E55" s="39">
        <v>75</v>
      </c>
      <c r="F55" s="39"/>
      <c r="G55" s="39">
        <v>1</v>
      </c>
      <c r="H55" s="40">
        <f>inventario[[#This Row],[entradas]]-inventario[[#This Row],[salidas]]</f>
        <v>-1</v>
      </c>
    </row>
    <row r="56" spans="3:8" ht="27.6" x14ac:dyDescent="0.3">
      <c r="C56" s="38">
        <v>231114</v>
      </c>
      <c r="D56" s="39" t="s">
        <v>1162</v>
      </c>
      <c r="E56" s="39">
        <v>50</v>
      </c>
      <c r="F56" s="39"/>
      <c r="G56" s="39">
        <v>1</v>
      </c>
      <c r="H56" s="40">
        <f>inventario[[#This Row],[entradas]]-inventario[[#This Row],[salidas]]</f>
        <v>-1</v>
      </c>
    </row>
    <row r="57" spans="3:8" x14ac:dyDescent="0.3">
      <c r="C57" s="38">
        <v>210505</v>
      </c>
      <c r="D57" s="39" t="s">
        <v>1178</v>
      </c>
      <c r="E57" s="39">
        <v>35</v>
      </c>
      <c r="F57" s="39"/>
      <c r="G57" s="39">
        <v>1</v>
      </c>
      <c r="H57" s="40">
        <f>inventario[[#This Row],[entradas]]-inventario[[#This Row],[salidas]]</f>
        <v>-1</v>
      </c>
    </row>
    <row r="58" spans="3:8" ht="55.2" x14ac:dyDescent="0.3">
      <c r="C58" s="38" t="s">
        <v>1179</v>
      </c>
      <c r="D58" s="39" t="s">
        <v>1180</v>
      </c>
      <c r="E58" s="39">
        <v>162.5</v>
      </c>
      <c r="F58" s="39"/>
      <c r="G58" s="39">
        <v>2</v>
      </c>
      <c r="H58" s="40">
        <f>inventario[[#This Row],[entradas]]-inventario[[#This Row],[salidas]]</f>
        <v>-2</v>
      </c>
    </row>
    <row r="59" spans="3:8" ht="41.4" x14ac:dyDescent="0.3">
      <c r="C59" s="38" t="s">
        <v>1197</v>
      </c>
      <c r="D59" s="39" t="s">
        <v>1198</v>
      </c>
      <c r="E59" s="39">
        <v>77.5</v>
      </c>
      <c r="F59" s="39"/>
      <c r="G59" s="39">
        <v>2</v>
      </c>
      <c r="H59" s="40">
        <f>inventario[[#This Row],[entradas]]-inventario[[#This Row],[salidas]]</f>
        <v>-2</v>
      </c>
    </row>
    <row r="60" spans="3:8" ht="41.4" x14ac:dyDescent="0.3">
      <c r="C60" s="38" t="s">
        <v>1232</v>
      </c>
      <c r="D60" s="39" t="s">
        <v>1233</v>
      </c>
      <c r="E60" s="39">
        <v>47.5</v>
      </c>
      <c r="F60" s="39"/>
      <c r="G60" s="39">
        <v>2</v>
      </c>
      <c r="H60" s="40">
        <f>inventario[[#This Row],[entradas]]-inventario[[#This Row],[salidas]]</f>
        <v>-2</v>
      </c>
    </row>
    <row r="61" spans="3:8" x14ac:dyDescent="0.3">
      <c r="C61" s="38" t="s">
        <v>1234</v>
      </c>
      <c r="D61" s="39" t="s">
        <v>1235</v>
      </c>
      <c r="E61" s="39">
        <v>60</v>
      </c>
      <c r="F61" s="39"/>
      <c r="G61" s="39">
        <v>1</v>
      </c>
      <c r="H61" s="40">
        <f>inventario[[#This Row],[entradas]]-inventario[[#This Row],[salidas]]</f>
        <v>-1</v>
      </c>
    </row>
    <row r="62" spans="3:8" x14ac:dyDescent="0.3">
      <c r="C62" s="38" t="s">
        <v>1253</v>
      </c>
      <c r="D62" s="39" t="s">
        <v>1254</v>
      </c>
      <c r="E62" s="39">
        <v>55</v>
      </c>
      <c r="F62" s="39"/>
      <c r="G62" s="39">
        <v>1</v>
      </c>
      <c r="H62" s="40">
        <f>inventario[[#This Row],[entradas]]-inventario[[#This Row],[salidas]]</f>
        <v>-1</v>
      </c>
    </row>
    <row r="63" spans="3:8" ht="27.6" x14ac:dyDescent="0.3">
      <c r="C63" s="38" t="s">
        <v>1271</v>
      </c>
      <c r="D63" s="39" t="s">
        <v>1272</v>
      </c>
      <c r="E63" s="39">
        <v>75</v>
      </c>
      <c r="F63" s="39"/>
      <c r="G63" s="39">
        <v>1</v>
      </c>
      <c r="H63" s="40">
        <f>inventario[[#This Row],[entradas]]-inventario[[#This Row],[salidas]]</f>
        <v>-1</v>
      </c>
    </row>
    <row r="64" spans="3:8" x14ac:dyDescent="0.3">
      <c r="C64" s="38" t="s">
        <v>1283</v>
      </c>
      <c r="D64" s="39" t="s">
        <v>1284</v>
      </c>
      <c r="E64" s="39">
        <v>25</v>
      </c>
      <c r="F64" s="39"/>
      <c r="G64" s="39">
        <v>1</v>
      </c>
      <c r="H64" s="40">
        <f>inventario[[#This Row],[entradas]]-inventario[[#This Row],[salidas]]</f>
        <v>-1</v>
      </c>
    </row>
    <row r="65" spans="3:8" x14ac:dyDescent="0.3">
      <c r="C65" s="38" t="s">
        <v>1355</v>
      </c>
      <c r="D65" s="39" t="s">
        <v>1356</v>
      </c>
      <c r="E65" s="39">
        <v>25</v>
      </c>
      <c r="F65" s="39"/>
      <c r="G65" s="39">
        <v>1</v>
      </c>
      <c r="H65" s="40">
        <f>inventario[[#This Row],[entradas]]-inventario[[#This Row],[salidas]]</f>
        <v>-1</v>
      </c>
    </row>
    <row r="66" spans="3:8" x14ac:dyDescent="0.3">
      <c r="C66" s="38" t="s">
        <v>1366</v>
      </c>
      <c r="D66" s="39" t="s">
        <v>1367</v>
      </c>
      <c r="E66" s="39">
        <v>50</v>
      </c>
      <c r="F66" s="39"/>
      <c r="G66" s="39">
        <v>1</v>
      </c>
      <c r="H66" s="40">
        <f>inventario[[#This Row],[entradas]]-inventario[[#This Row],[salidas]]</f>
        <v>-1</v>
      </c>
    </row>
    <row r="67" spans="3:8" ht="27.6" x14ac:dyDescent="0.3">
      <c r="C67" s="38" t="s">
        <v>1389</v>
      </c>
      <c r="D67" s="39" t="s">
        <v>1390</v>
      </c>
      <c r="E67" s="39">
        <v>75</v>
      </c>
      <c r="F67" s="39"/>
      <c r="G67" s="39">
        <v>1</v>
      </c>
      <c r="H67" s="40">
        <f>inventario[[#This Row],[entradas]]-inventario[[#This Row],[salidas]]</f>
        <v>-1</v>
      </c>
    </row>
    <row r="68" spans="3:8" ht="27.6" x14ac:dyDescent="0.3">
      <c r="C68" s="38" t="s">
        <v>1391</v>
      </c>
      <c r="D68" s="39" t="s">
        <v>1392</v>
      </c>
      <c r="E68" s="39">
        <v>40</v>
      </c>
      <c r="F68" s="39"/>
      <c r="G68" s="39">
        <v>1</v>
      </c>
      <c r="H68" s="40">
        <f>inventario[[#This Row],[entradas]]-inventario[[#This Row],[salidas]]</f>
        <v>-1</v>
      </c>
    </row>
    <row r="69" spans="3:8" x14ac:dyDescent="0.3">
      <c r="C69" s="38" t="s">
        <v>1425</v>
      </c>
      <c r="D69" s="39" t="s">
        <v>1426</v>
      </c>
      <c r="E69" s="39">
        <v>25</v>
      </c>
      <c r="F69" s="39"/>
      <c r="G69" s="39">
        <v>1</v>
      </c>
      <c r="H69" s="40">
        <f>inventario[[#This Row],[entradas]]-inventario[[#This Row],[salidas]]</f>
        <v>-1</v>
      </c>
    </row>
    <row r="70" spans="3:8" ht="27.6" x14ac:dyDescent="0.3">
      <c r="C70" s="38" t="s">
        <v>1445</v>
      </c>
      <c r="D70" s="39" t="s">
        <v>1446</v>
      </c>
      <c r="E70" s="39">
        <v>50</v>
      </c>
      <c r="F70" s="39"/>
      <c r="G70" s="39">
        <v>1</v>
      </c>
      <c r="H70" s="40">
        <f>inventario[[#This Row],[entradas]]-inventario[[#This Row],[salidas]]</f>
        <v>-1</v>
      </c>
    </row>
    <row r="71" spans="3:8" ht="55.2" x14ac:dyDescent="0.3">
      <c r="C71" s="38" t="s">
        <v>1466</v>
      </c>
      <c r="D71" s="39" t="s">
        <v>1467</v>
      </c>
      <c r="E71" s="39">
        <v>75</v>
      </c>
      <c r="F71" s="39"/>
      <c r="G71" s="39">
        <v>2</v>
      </c>
      <c r="H71" s="40">
        <f>inventario[[#This Row],[entradas]]-inventario[[#This Row],[salidas]]</f>
        <v>-2</v>
      </c>
    </row>
    <row r="72" spans="3:8" ht="41.4" x14ac:dyDescent="0.3">
      <c r="C72" s="38" t="s">
        <v>1499</v>
      </c>
      <c r="D72" s="39" t="s">
        <v>1500</v>
      </c>
      <c r="E72" s="39">
        <v>27.5</v>
      </c>
      <c r="F72" s="39"/>
      <c r="G72" s="39">
        <v>3</v>
      </c>
      <c r="H72" s="40">
        <f>inventario[[#This Row],[entradas]]-inventario[[#This Row],[salidas]]</f>
        <v>-3</v>
      </c>
    </row>
    <row r="73" spans="3:8" ht="27.6" x14ac:dyDescent="0.3">
      <c r="C73" s="38" t="s">
        <v>1527</v>
      </c>
      <c r="D73" s="39" t="s">
        <v>1528</v>
      </c>
      <c r="E73" s="39">
        <v>85</v>
      </c>
      <c r="F73" s="39"/>
      <c r="G73" s="39"/>
      <c r="H73" s="40">
        <f>inventario[[#This Row],[entradas]]-inventario[[#This Row],[salidas]]</f>
        <v>0</v>
      </c>
    </row>
    <row r="74" spans="3:8" ht="41.4" x14ac:dyDescent="0.3">
      <c r="C74" s="38" t="s">
        <v>1533</v>
      </c>
      <c r="D74" s="39" t="s">
        <v>1534</v>
      </c>
      <c r="E74" s="39">
        <v>30</v>
      </c>
      <c r="F74" s="39"/>
      <c r="G74" s="39">
        <v>6</v>
      </c>
      <c r="H74" s="40">
        <f>inventario[[#This Row],[entradas]]-inventario[[#This Row],[salidas]]</f>
        <v>-6</v>
      </c>
    </row>
    <row r="75" spans="3:8" ht="41.4" x14ac:dyDescent="0.3">
      <c r="C75" s="38" t="s">
        <v>1535</v>
      </c>
      <c r="D75" s="39" t="s">
        <v>1536</v>
      </c>
      <c r="E75" s="39">
        <v>40</v>
      </c>
      <c r="F75" s="39"/>
      <c r="G75" s="39">
        <v>2</v>
      </c>
      <c r="H75" s="40">
        <f>inventario[[#This Row],[entradas]]-inventario[[#This Row],[salidas]]</f>
        <v>-2</v>
      </c>
    </row>
    <row r="76" spans="3:8" ht="27.6" x14ac:dyDescent="0.3">
      <c r="C76" s="38" t="s">
        <v>1539</v>
      </c>
      <c r="D76" s="39" t="s">
        <v>1540</v>
      </c>
      <c r="E76" s="39">
        <v>65</v>
      </c>
      <c r="F76" s="39"/>
      <c r="G76" s="39">
        <v>1</v>
      </c>
      <c r="H76" s="40">
        <f>inventario[[#This Row],[entradas]]-inventario[[#This Row],[salidas]]</f>
        <v>-1</v>
      </c>
    </row>
    <row r="77" spans="3:8" ht="27.6" x14ac:dyDescent="0.3">
      <c r="C77" s="38" t="s">
        <v>1554</v>
      </c>
      <c r="D77" s="39" t="s">
        <v>1555</v>
      </c>
      <c r="E77" s="39">
        <v>40</v>
      </c>
      <c r="F77" s="39"/>
      <c r="G77" s="39">
        <v>1</v>
      </c>
      <c r="H77" s="40">
        <f>inventario[[#This Row],[entradas]]-inventario[[#This Row],[salidas]]</f>
        <v>-1</v>
      </c>
    </row>
    <row r="78" spans="3:8" x14ac:dyDescent="0.3">
      <c r="C78" s="38" t="s">
        <v>1564</v>
      </c>
      <c r="D78" s="39" t="s">
        <v>1565</v>
      </c>
      <c r="E78" s="39">
        <v>25</v>
      </c>
      <c r="F78" s="39"/>
      <c r="G78" s="39">
        <v>1</v>
      </c>
      <c r="H78" s="40">
        <f>inventario[[#This Row],[entradas]]-inventario[[#This Row],[salidas]]</f>
        <v>-1</v>
      </c>
    </row>
    <row r="79" spans="3:8" ht="27.6" x14ac:dyDescent="0.3">
      <c r="C79" s="38" t="s">
        <v>1611</v>
      </c>
      <c r="D79" s="39" t="s">
        <v>1612</v>
      </c>
      <c r="E79" s="39">
        <v>50</v>
      </c>
      <c r="F79" s="39"/>
      <c r="G79" s="39">
        <v>1</v>
      </c>
      <c r="H79" s="40">
        <f>inventario[[#This Row],[entradas]]-inventario[[#This Row],[salidas]]</f>
        <v>-1</v>
      </c>
    </row>
    <row r="80" spans="3:8" x14ac:dyDescent="0.3">
      <c r="C80" s="38">
        <v>7505</v>
      </c>
      <c r="D80" s="39" t="s">
        <v>1613</v>
      </c>
      <c r="E80" s="39">
        <v>70</v>
      </c>
      <c r="F80" s="39"/>
      <c r="G80" s="39">
        <v>1</v>
      </c>
      <c r="H80" s="40">
        <f>inventario[[#This Row],[entradas]]-inventario[[#This Row],[salidas]]</f>
        <v>-1</v>
      </c>
    </row>
    <row r="81" spans="3:8" x14ac:dyDescent="0.3">
      <c r="C81" s="38" t="s">
        <v>1614</v>
      </c>
      <c r="D81" s="39" t="s">
        <v>1615</v>
      </c>
      <c r="E81" s="39">
        <v>50</v>
      </c>
      <c r="F81" s="39"/>
      <c r="G81" s="39">
        <v>1</v>
      </c>
      <c r="H81" s="40">
        <f>inventario[[#This Row],[entradas]]-inventario[[#This Row],[salidas]]</f>
        <v>-1</v>
      </c>
    </row>
    <row r="82" spans="3:8" ht="27.6" x14ac:dyDescent="0.3">
      <c r="C82" s="38" t="s">
        <v>1659</v>
      </c>
      <c r="D82" s="39" t="s">
        <v>1658</v>
      </c>
      <c r="E82" s="39">
        <v>75</v>
      </c>
      <c r="F82" s="39"/>
      <c r="G82" s="39">
        <v>1</v>
      </c>
      <c r="H82" s="40">
        <f>inventario[[#This Row],[entradas]]-inventario[[#This Row],[salidas]]</f>
        <v>-1</v>
      </c>
    </row>
    <row r="83" spans="3:8" ht="41.4" x14ac:dyDescent="0.3">
      <c r="C83" s="38" t="s">
        <v>1675</v>
      </c>
      <c r="D83" s="39" t="s">
        <v>1676</v>
      </c>
      <c r="E83" s="39">
        <v>125</v>
      </c>
      <c r="F83" s="39"/>
      <c r="G83" s="39">
        <v>2</v>
      </c>
      <c r="H83" s="40">
        <f>inventario[[#This Row],[entradas]]-inventario[[#This Row],[salidas]]</f>
        <v>-2</v>
      </c>
    </row>
    <row r="84" spans="3:8" x14ac:dyDescent="0.3">
      <c r="C84" s="38">
        <v>9006</v>
      </c>
      <c r="D84" s="39" t="s">
        <v>1695</v>
      </c>
      <c r="E84" s="39">
        <v>25</v>
      </c>
      <c r="F84" s="39"/>
      <c r="G84" s="39">
        <v>1</v>
      </c>
      <c r="H84" s="40">
        <f>inventario[[#This Row],[entradas]]-inventario[[#This Row],[salidas]]</f>
        <v>-1</v>
      </c>
    </row>
    <row r="85" spans="3:8" x14ac:dyDescent="0.3">
      <c r="C85" s="38" t="s">
        <v>1725</v>
      </c>
      <c r="D85" s="39" t="s">
        <v>1726</v>
      </c>
      <c r="E85" s="39">
        <v>45</v>
      </c>
      <c r="F85" s="39"/>
      <c r="G85" s="39">
        <v>1</v>
      </c>
      <c r="H85" s="40">
        <f>inventario[[#This Row],[entradas]]-inventario[[#This Row],[salidas]]</f>
        <v>-1</v>
      </c>
    </row>
    <row r="86" spans="3:8" ht="27.6" x14ac:dyDescent="0.3">
      <c r="C86" s="38" t="s">
        <v>1727</v>
      </c>
      <c r="D86" s="39" t="s">
        <v>1728</v>
      </c>
      <c r="E86" s="39">
        <v>45</v>
      </c>
      <c r="F86" s="39"/>
      <c r="G86" s="39">
        <v>1</v>
      </c>
      <c r="H86" s="40">
        <f>inventario[[#This Row],[entradas]]-inventario[[#This Row],[salidas]]</f>
        <v>-1</v>
      </c>
    </row>
    <row r="87" spans="3:8" x14ac:dyDescent="0.3">
      <c r="C87" s="38">
        <v>12192</v>
      </c>
      <c r="D87" s="39" t="s">
        <v>1749</v>
      </c>
      <c r="E87" s="39">
        <v>85</v>
      </c>
      <c r="F87" s="39"/>
      <c r="G87" s="39">
        <v>1</v>
      </c>
      <c r="H87" s="40">
        <f>inventario[[#This Row],[entradas]]-inventario[[#This Row],[salidas]]</f>
        <v>-1</v>
      </c>
    </row>
    <row r="88" spans="3:8" x14ac:dyDescent="0.3">
      <c r="C88" s="38" t="s">
        <v>1784</v>
      </c>
      <c r="D88" s="39" t="s">
        <v>1785</v>
      </c>
      <c r="E88" s="39">
        <v>115</v>
      </c>
      <c r="F88" s="39"/>
      <c r="G88" s="39">
        <v>1</v>
      </c>
      <c r="H88" s="40">
        <f>inventario[[#This Row],[entradas]]-inventario[[#This Row],[salidas]]</f>
        <v>-1</v>
      </c>
    </row>
    <row r="89" spans="3:8" ht="27.6" x14ac:dyDescent="0.3">
      <c r="C89" s="38" t="s">
        <v>1803</v>
      </c>
      <c r="D89" s="39" t="s">
        <v>1804</v>
      </c>
      <c r="E89" s="39">
        <v>57.5</v>
      </c>
      <c r="F89" s="39"/>
      <c r="G89" s="39">
        <v>2</v>
      </c>
      <c r="H89" s="40">
        <f>inventario[[#This Row],[entradas]]-inventario[[#This Row],[salidas]]</f>
        <v>-2</v>
      </c>
    </row>
    <row r="90" spans="3:8" ht="27.6" x14ac:dyDescent="0.3">
      <c r="C90" s="38" t="s">
        <v>1817</v>
      </c>
      <c r="D90" s="39" t="s">
        <v>1818</v>
      </c>
      <c r="E90" s="39">
        <v>70</v>
      </c>
      <c r="F90" s="39"/>
      <c r="G90" s="39">
        <v>1</v>
      </c>
      <c r="H90" s="40">
        <f>inventario[[#This Row],[entradas]]-inventario[[#This Row],[salidas]]</f>
        <v>-1</v>
      </c>
    </row>
    <row r="91" spans="3:8" ht="27.6" x14ac:dyDescent="0.3">
      <c r="C91" s="38" t="s">
        <v>1832</v>
      </c>
      <c r="D91" s="39" t="s">
        <v>1833</v>
      </c>
      <c r="E91" s="39">
        <v>85</v>
      </c>
      <c r="F91" s="39"/>
      <c r="G91" s="39">
        <v>1</v>
      </c>
      <c r="H91" s="40">
        <f>inventario[[#This Row],[entradas]]-inventario[[#This Row],[salidas]]</f>
        <v>-1</v>
      </c>
    </row>
    <row r="92" spans="3:8" ht="41.4" x14ac:dyDescent="0.3">
      <c r="C92" s="38" t="s">
        <v>1858</v>
      </c>
      <c r="D92" s="39" t="s">
        <v>1859</v>
      </c>
      <c r="E92" s="39">
        <v>150</v>
      </c>
      <c r="F92" s="39"/>
      <c r="G92" s="39">
        <v>2</v>
      </c>
      <c r="H92" s="40">
        <f>inventario[[#This Row],[entradas]]-inventario[[#This Row],[salidas]]</f>
        <v>-2</v>
      </c>
    </row>
    <row r="93" spans="3:8" x14ac:dyDescent="0.3">
      <c r="C93" s="38" t="s">
        <v>1864</v>
      </c>
      <c r="D93" s="39" t="s">
        <v>1865</v>
      </c>
      <c r="E93" s="39">
        <v>75</v>
      </c>
      <c r="F93" s="39"/>
      <c r="G93" s="39">
        <v>1</v>
      </c>
      <c r="H93" s="40">
        <f>inventario[[#This Row],[entradas]]-inventario[[#This Row],[salidas]]</f>
        <v>-1</v>
      </c>
    </row>
    <row r="94" spans="3:8" ht="27.6" x14ac:dyDescent="0.3">
      <c r="C94" s="38" t="s">
        <v>1895</v>
      </c>
      <c r="D94" s="39" t="s">
        <v>1896</v>
      </c>
      <c r="E94" s="39">
        <v>55</v>
      </c>
      <c r="F94" s="39"/>
      <c r="G94" s="39">
        <v>1</v>
      </c>
      <c r="H94" s="40">
        <f>inventario[[#This Row],[entradas]]-inventario[[#This Row],[salidas]]</f>
        <v>-1</v>
      </c>
    </row>
    <row r="95" spans="3:8" ht="27.6" x14ac:dyDescent="0.3">
      <c r="C95" s="38" t="s">
        <v>1944</v>
      </c>
      <c r="D95" s="39" t="s">
        <v>1945</v>
      </c>
      <c r="E95" s="39">
        <v>115</v>
      </c>
      <c r="F95" s="39"/>
      <c r="G95" s="39">
        <v>1</v>
      </c>
      <c r="H95" s="40">
        <f>inventario[[#This Row],[entradas]]-inventario[[#This Row],[salidas]]</f>
        <v>-1</v>
      </c>
    </row>
    <row r="96" spans="3:8" ht="27.6" x14ac:dyDescent="0.3">
      <c r="C96" s="38" t="s">
        <v>1955</v>
      </c>
      <c r="D96" s="39" t="s">
        <v>1956</v>
      </c>
      <c r="E96" s="39">
        <v>85</v>
      </c>
      <c r="F96" s="39"/>
      <c r="G96" s="39">
        <v>1</v>
      </c>
      <c r="H96" s="40">
        <f>inventario[[#This Row],[entradas]]-inventario[[#This Row],[salidas]]</f>
        <v>-1</v>
      </c>
    </row>
    <row r="97" spans="3:8" x14ac:dyDescent="0.3">
      <c r="C97" s="38" t="s">
        <v>1993</v>
      </c>
      <c r="D97" s="39" t="s">
        <v>1994</v>
      </c>
      <c r="E97" s="39">
        <v>115</v>
      </c>
      <c r="F97" s="39"/>
      <c r="G97" s="39">
        <v>1</v>
      </c>
      <c r="H97" s="40">
        <f>inventario[[#This Row],[entradas]]-inventario[[#This Row],[salidas]]</f>
        <v>-1</v>
      </c>
    </row>
    <row r="98" spans="3:8" x14ac:dyDescent="0.3">
      <c r="C98" s="38" t="s">
        <v>1995</v>
      </c>
      <c r="D98" s="39" t="s">
        <v>1996</v>
      </c>
      <c r="E98" s="39">
        <v>115</v>
      </c>
      <c r="F98" s="39"/>
      <c r="G98" s="39">
        <v>1</v>
      </c>
      <c r="H98" s="40">
        <f>inventario[[#This Row],[entradas]]-inventario[[#This Row],[salidas]]</f>
        <v>-1</v>
      </c>
    </row>
    <row r="99" spans="3:8" ht="27.6" x14ac:dyDescent="0.3">
      <c r="C99" s="38" t="s">
        <v>1997</v>
      </c>
      <c r="D99" s="39" t="s">
        <v>1998</v>
      </c>
      <c r="E99" s="39">
        <v>75</v>
      </c>
      <c r="F99" s="39"/>
      <c r="G99" s="39">
        <v>4</v>
      </c>
      <c r="H99" s="40">
        <f>inventario[[#This Row],[entradas]]-inventario[[#This Row],[salidas]]</f>
        <v>-4</v>
      </c>
    </row>
    <row r="100" spans="3:8" x14ac:dyDescent="0.3">
      <c r="C100" s="38" t="s">
        <v>2023</v>
      </c>
      <c r="D100" s="39" t="s">
        <v>2023</v>
      </c>
      <c r="E100" s="39">
        <v>65</v>
      </c>
      <c r="F100" s="39"/>
      <c r="G100" s="39">
        <v>1</v>
      </c>
      <c r="H100" s="40">
        <f>inventario[[#This Row],[entradas]]-inventario[[#This Row],[salidas]]</f>
        <v>-1</v>
      </c>
    </row>
    <row r="101" spans="3:8" ht="41.4" x14ac:dyDescent="0.3">
      <c r="C101" s="38" t="s">
        <v>2024</v>
      </c>
      <c r="D101" s="39" t="s">
        <v>2025</v>
      </c>
      <c r="E101" s="39">
        <v>37.5</v>
      </c>
      <c r="F101" s="39"/>
      <c r="G101" s="39">
        <v>1</v>
      </c>
      <c r="H101" s="40">
        <f>inventario[[#This Row],[entradas]]-inventario[[#This Row],[salidas]]</f>
        <v>-1</v>
      </c>
    </row>
    <row r="102" spans="3:8" ht="27.6" x14ac:dyDescent="0.3">
      <c r="C102" s="38" t="s">
        <v>2037</v>
      </c>
      <c r="D102" s="39" t="s">
        <v>2038</v>
      </c>
      <c r="E102" s="39">
        <v>25</v>
      </c>
      <c r="F102" s="39"/>
      <c r="G102" s="39">
        <v>1</v>
      </c>
      <c r="H102" s="40">
        <f>inventario[[#This Row],[entradas]]-inventario[[#This Row],[salidas]]</f>
        <v>-1</v>
      </c>
    </row>
    <row r="103" spans="3:8" ht="69" x14ac:dyDescent="0.3">
      <c r="C103" s="38" t="s">
        <v>2075</v>
      </c>
      <c r="D103" s="39" t="s">
        <v>2076</v>
      </c>
      <c r="E103" s="39">
        <v>175</v>
      </c>
      <c r="F103" s="39"/>
      <c r="G103" s="39">
        <v>4</v>
      </c>
      <c r="H103" s="40">
        <f>inventario[[#This Row],[entradas]]-inventario[[#This Row],[salidas]]</f>
        <v>-4</v>
      </c>
    </row>
    <row r="104" spans="3:8" ht="27.6" x14ac:dyDescent="0.3">
      <c r="C104" s="38" t="s">
        <v>2089</v>
      </c>
      <c r="D104" s="39" t="s">
        <v>2090</v>
      </c>
      <c r="E104" s="39">
        <v>65</v>
      </c>
      <c r="F104" s="39"/>
      <c r="G104" s="39">
        <v>1</v>
      </c>
      <c r="H104" s="40">
        <f>inventario[[#This Row],[entradas]]-inventario[[#This Row],[salidas]]</f>
        <v>-1</v>
      </c>
    </row>
    <row r="105" spans="3:8" ht="27.6" x14ac:dyDescent="0.3">
      <c r="C105" s="38" t="s">
        <v>2106</v>
      </c>
      <c r="D105" s="39" t="s">
        <v>2107</v>
      </c>
      <c r="E105" s="39">
        <v>55</v>
      </c>
      <c r="F105" s="39"/>
      <c r="G105" s="39">
        <v>1</v>
      </c>
      <c r="H105" s="40">
        <f>inventario[[#This Row],[entradas]]-inventario[[#This Row],[salidas]]</f>
        <v>-1</v>
      </c>
    </row>
    <row r="106" spans="3:8" x14ac:dyDescent="0.3">
      <c r="C106" s="38">
        <v>85001</v>
      </c>
      <c r="D106" s="39" t="s">
        <v>2121</v>
      </c>
      <c r="E106" s="39">
        <v>80</v>
      </c>
      <c r="F106" s="39"/>
      <c r="G106" s="39">
        <v>1</v>
      </c>
      <c r="H106" s="40">
        <f>inventario[[#This Row],[entradas]]-inventario[[#This Row],[salidas]]</f>
        <v>-1</v>
      </c>
    </row>
    <row r="107" spans="3:8" x14ac:dyDescent="0.3">
      <c r="C107" s="38" t="s">
        <v>2159</v>
      </c>
      <c r="D107" s="39" t="s">
        <v>2160</v>
      </c>
      <c r="E107" s="39">
        <v>115</v>
      </c>
      <c r="F107" s="39"/>
      <c r="G107" s="39">
        <v>1</v>
      </c>
      <c r="H107" s="40">
        <f>inventario[[#This Row],[entradas]]-inventario[[#This Row],[salidas]]</f>
        <v>-1</v>
      </c>
    </row>
    <row r="108" spans="3:8" x14ac:dyDescent="0.3">
      <c r="C108" s="38" t="s">
        <v>2161</v>
      </c>
      <c r="D108" s="39" t="s">
        <v>2162</v>
      </c>
      <c r="E108" s="39">
        <v>70</v>
      </c>
      <c r="F108" s="39"/>
      <c r="G108" s="39">
        <v>1</v>
      </c>
      <c r="H108" s="40">
        <f>inventario[[#This Row],[entradas]]-inventario[[#This Row],[salidas]]</f>
        <v>-1</v>
      </c>
    </row>
    <row r="109" spans="3:8" x14ac:dyDescent="0.3">
      <c r="C109" s="38" t="s">
        <v>2180</v>
      </c>
      <c r="D109" s="39" t="s">
        <v>2181</v>
      </c>
      <c r="E109" s="39">
        <v>75</v>
      </c>
      <c r="F109" s="39"/>
      <c r="G109" s="39">
        <v>1</v>
      </c>
      <c r="H109" s="40">
        <f>inventario[[#This Row],[entradas]]-inventario[[#This Row],[salidas]]</f>
        <v>-1</v>
      </c>
    </row>
    <row r="110" spans="3:8" x14ac:dyDescent="0.3">
      <c r="C110" s="38" t="s">
        <v>2182</v>
      </c>
      <c r="D110" s="39" t="s">
        <v>2183</v>
      </c>
      <c r="E110" s="39">
        <v>70</v>
      </c>
      <c r="F110" s="39"/>
      <c r="G110" s="39">
        <v>1</v>
      </c>
      <c r="H110" s="40">
        <f>inventario[[#This Row],[entradas]]-inventario[[#This Row],[salidas]]</f>
        <v>-1</v>
      </c>
    </row>
    <row r="111" spans="3:8" ht="69" x14ac:dyDescent="0.3">
      <c r="C111" s="38" t="s">
        <v>2187</v>
      </c>
      <c r="D111" s="39" t="s">
        <v>2188</v>
      </c>
      <c r="E111" s="39">
        <v>75</v>
      </c>
      <c r="F111" s="39"/>
      <c r="G111" s="39"/>
      <c r="H111" s="40">
        <f>inventario[[#This Row],[entradas]]-inventario[[#This Row],[salidas]]</f>
        <v>0</v>
      </c>
    </row>
    <row r="112" spans="3:8" ht="41.4" x14ac:dyDescent="0.3">
      <c r="C112" s="38" t="s">
        <v>2189</v>
      </c>
      <c r="D112" s="39" t="s">
        <v>2190</v>
      </c>
      <c r="E112" s="39">
        <v>130</v>
      </c>
      <c r="F112" s="39"/>
      <c r="G112" s="39">
        <v>2</v>
      </c>
      <c r="H112" s="40">
        <f>inventario[[#This Row],[entradas]]-inventario[[#This Row],[salidas]]</f>
        <v>-2</v>
      </c>
    </row>
    <row r="113" spans="3:8" x14ac:dyDescent="0.3">
      <c r="C113" s="38">
        <v>82137</v>
      </c>
      <c r="D113" s="39" t="s">
        <v>2191</v>
      </c>
      <c r="E113" s="39">
        <v>70</v>
      </c>
      <c r="F113" s="39"/>
      <c r="G113" s="39">
        <v>1</v>
      </c>
      <c r="H113" s="40">
        <f>inventario[[#This Row],[entradas]]-inventario[[#This Row],[salidas]]</f>
        <v>-1</v>
      </c>
    </row>
    <row r="114" spans="3:8" x14ac:dyDescent="0.3">
      <c r="C114" s="38" t="s">
        <v>2224</v>
      </c>
      <c r="D114" s="39" t="s">
        <v>2225</v>
      </c>
      <c r="E114" s="39">
        <v>50</v>
      </c>
      <c r="F114" s="39"/>
      <c r="G114" s="39">
        <v>1</v>
      </c>
      <c r="H114" s="40">
        <f>inventario[[#This Row],[entradas]]-inventario[[#This Row],[salidas]]</f>
        <v>-1</v>
      </c>
    </row>
    <row r="115" spans="3:8" x14ac:dyDescent="0.3">
      <c r="C115" s="38" t="s">
        <v>2240</v>
      </c>
      <c r="D115" s="39" t="s">
        <v>2241</v>
      </c>
      <c r="E115" s="39">
        <v>50</v>
      </c>
      <c r="F115" s="39"/>
      <c r="G115" s="39">
        <v>1</v>
      </c>
      <c r="H115" s="40">
        <f>inventario[[#This Row],[entradas]]-inventario[[#This Row],[salidas]]</f>
        <v>-1</v>
      </c>
    </row>
    <row r="116" spans="3:8" x14ac:dyDescent="0.3">
      <c r="C116" s="38" t="s">
        <v>2257</v>
      </c>
      <c r="D116" s="39" t="s">
        <v>2258</v>
      </c>
      <c r="E116" s="39">
        <v>130</v>
      </c>
      <c r="F116" s="39"/>
      <c r="G116" s="39">
        <v>1</v>
      </c>
      <c r="H116" s="40">
        <f>inventario[[#This Row],[entradas]]-inventario[[#This Row],[salidas]]</f>
        <v>-1</v>
      </c>
    </row>
    <row r="117" spans="3:8" x14ac:dyDescent="0.3">
      <c r="C117" s="38" t="s">
        <v>2280</v>
      </c>
      <c r="D117" s="39" t="s">
        <v>2281</v>
      </c>
      <c r="E117" s="39">
        <v>50</v>
      </c>
      <c r="F117" s="39"/>
      <c r="G117" s="39">
        <v>1</v>
      </c>
      <c r="H117" s="40">
        <f>inventario[[#This Row],[entradas]]-inventario[[#This Row],[salidas]]</f>
        <v>-1</v>
      </c>
    </row>
    <row r="118" spans="3:8" ht="27.6" x14ac:dyDescent="0.3">
      <c r="C118" s="38" t="s">
        <v>2313</v>
      </c>
      <c r="D118" s="39" t="s">
        <v>2314</v>
      </c>
      <c r="E118" s="39">
        <v>65</v>
      </c>
      <c r="F118" s="39"/>
      <c r="G118" s="39">
        <v>1</v>
      </c>
      <c r="H118" s="40">
        <f>inventario[[#This Row],[entradas]]-inventario[[#This Row],[salidas]]</f>
        <v>-1</v>
      </c>
    </row>
    <row r="119" spans="3:8" ht="27.6" x14ac:dyDescent="0.3">
      <c r="C119" s="38" t="s">
        <v>2315</v>
      </c>
      <c r="D119" s="39" t="s">
        <v>2308</v>
      </c>
      <c r="E119" s="39">
        <v>50</v>
      </c>
      <c r="F119" s="39"/>
      <c r="G119" s="39">
        <v>1</v>
      </c>
      <c r="H119" s="40">
        <f>inventario[[#This Row],[entradas]]-inventario[[#This Row],[salidas]]</f>
        <v>-1</v>
      </c>
    </row>
    <row r="120" spans="3:8" x14ac:dyDescent="0.3">
      <c r="H120" s="13"/>
    </row>
    <row r="121" spans="3:8" x14ac:dyDescent="0.3">
      <c r="H121" s="13"/>
    </row>
    <row r="122" spans="3:8" x14ac:dyDescent="0.3">
      <c r="H122" s="13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3EA2F-5C75-417B-A86A-B9EF1CA6AAC8}">
  <sheetPr codeName="Hoja14"/>
  <dimension ref="C8:H14"/>
  <sheetViews>
    <sheetView workbookViewId="0">
      <selection activeCell="A9" sqref="A9:XFD9"/>
    </sheetView>
  </sheetViews>
  <sheetFormatPr baseColWidth="10" defaultRowHeight="14.4" x14ac:dyDescent="0.3"/>
  <cols>
    <col min="4" max="4" width="12.109375" bestFit="1" customWidth="1"/>
    <col min="5" max="5" width="14.6640625" customWidth="1"/>
    <col min="8" max="8" width="14" customWidth="1"/>
  </cols>
  <sheetData>
    <row r="8" spans="3:8" x14ac:dyDescent="0.3">
      <c r="C8" s="15" t="s">
        <v>236</v>
      </c>
      <c r="D8" s="15" t="s">
        <v>30</v>
      </c>
      <c r="E8" s="16" t="s">
        <v>222</v>
      </c>
      <c r="F8" s="16" t="s">
        <v>237</v>
      </c>
      <c r="G8" s="16" t="s">
        <v>238</v>
      </c>
      <c r="H8" s="17" t="s">
        <v>239</v>
      </c>
    </row>
    <row r="9" spans="3:8" x14ac:dyDescent="0.3">
      <c r="C9" s="18" t="s">
        <v>383</v>
      </c>
      <c r="D9" s="19">
        <v>46028</v>
      </c>
      <c r="E9" s="20" t="s">
        <v>369</v>
      </c>
      <c r="F9" s="20">
        <v>4</v>
      </c>
      <c r="G9" s="20" t="s">
        <v>384</v>
      </c>
      <c r="H9" s="21" t="s">
        <v>385</v>
      </c>
    </row>
    <row r="10" spans="3:8" x14ac:dyDescent="0.3">
      <c r="C10" s="18" t="s">
        <v>386</v>
      </c>
      <c r="D10" s="19">
        <v>46028</v>
      </c>
      <c r="E10" s="20">
        <v>240017</v>
      </c>
      <c r="F10" s="20">
        <v>1</v>
      </c>
      <c r="G10" s="20" t="s">
        <v>387</v>
      </c>
      <c r="H10" s="21" t="s">
        <v>385</v>
      </c>
    </row>
    <row r="11" spans="3:8" x14ac:dyDescent="0.3">
      <c r="C11" s="18" t="s">
        <v>388</v>
      </c>
      <c r="D11" s="19">
        <v>46028</v>
      </c>
      <c r="E11" s="20" t="s">
        <v>290</v>
      </c>
      <c r="F11" s="20">
        <v>1</v>
      </c>
      <c r="G11" s="20" t="s">
        <v>389</v>
      </c>
      <c r="H11" s="21" t="s">
        <v>385</v>
      </c>
    </row>
    <row r="12" spans="3:8" x14ac:dyDescent="0.3">
      <c r="C12" s="18" t="s">
        <v>390</v>
      </c>
      <c r="D12" s="19">
        <v>46028</v>
      </c>
      <c r="E12" s="20" t="s">
        <v>292</v>
      </c>
      <c r="F12" s="20">
        <v>1</v>
      </c>
      <c r="G12" s="20" t="s">
        <v>389</v>
      </c>
      <c r="H12" s="21" t="s">
        <v>385</v>
      </c>
    </row>
    <row r="13" spans="3:8" x14ac:dyDescent="0.3">
      <c r="C13" s="18" t="s">
        <v>391</v>
      </c>
      <c r="D13" s="19">
        <v>46028</v>
      </c>
      <c r="E13" s="20" t="s">
        <v>294</v>
      </c>
      <c r="F13" s="20">
        <v>1</v>
      </c>
      <c r="G13" s="20" t="s">
        <v>389</v>
      </c>
      <c r="H13" s="21" t="s">
        <v>392</v>
      </c>
    </row>
    <row r="14" spans="3:8" x14ac:dyDescent="0.3">
      <c r="C14" s="18" t="s">
        <v>412</v>
      </c>
      <c r="D14" s="19">
        <v>46028</v>
      </c>
      <c r="E14" s="20" t="s">
        <v>410</v>
      </c>
      <c r="F14" s="20">
        <v>1</v>
      </c>
      <c r="G14" s="20" t="s">
        <v>389</v>
      </c>
      <c r="H14" s="21" t="s">
        <v>385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B9ED4-B88F-45D2-B4A7-4037BBEE3E2A}">
  <sheetPr codeName="Hoja15"/>
  <dimension ref="C5:G9"/>
  <sheetViews>
    <sheetView topLeftCell="A4" workbookViewId="0">
      <selection activeCell="A6" sqref="A6:XFD6"/>
    </sheetView>
  </sheetViews>
  <sheetFormatPr baseColWidth="10" defaultRowHeight="14.4" x14ac:dyDescent="0.3"/>
  <cols>
    <col min="3" max="3" width="17.44140625" bestFit="1" customWidth="1"/>
    <col min="4" max="4" width="31.6640625" customWidth="1"/>
    <col min="5" max="5" width="21" customWidth="1"/>
    <col min="6" max="6" width="40.5546875" customWidth="1"/>
    <col min="7" max="7" width="27" customWidth="1"/>
  </cols>
  <sheetData>
    <row r="5" spans="3:7" x14ac:dyDescent="0.3">
      <c r="C5" s="22" t="s">
        <v>240</v>
      </c>
      <c r="D5" s="23" t="s">
        <v>241</v>
      </c>
      <c r="E5" s="23" t="s">
        <v>242</v>
      </c>
      <c r="F5" s="23" t="s">
        <v>7</v>
      </c>
      <c r="G5" s="24" t="s">
        <v>243</v>
      </c>
    </row>
    <row r="6" spans="3:7" x14ac:dyDescent="0.3">
      <c r="C6" s="41" t="s">
        <v>297</v>
      </c>
      <c r="D6" s="42" t="s">
        <v>298</v>
      </c>
      <c r="E6" s="43"/>
      <c r="F6" s="25" t="s">
        <v>299</v>
      </c>
      <c r="G6" s="26"/>
    </row>
    <row r="7" spans="3:7" x14ac:dyDescent="0.3">
      <c r="C7" s="41" t="s">
        <v>663</v>
      </c>
      <c r="D7" s="42" t="s">
        <v>664</v>
      </c>
      <c r="E7" s="43" t="s">
        <v>665</v>
      </c>
      <c r="F7" s="47" t="s">
        <v>666</v>
      </c>
      <c r="G7" s="48"/>
    </row>
    <row r="8" spans="3:7" x14ac:dyDescent="0.3">
      <c r="C8" s="41" t="s">
        <v>740</v>
      </c>
      <c r="D8" s="42" t="s">
        <v>741</v>
      </c>
      <c r="E8" s="43"/>
      <c r="F8" s="47" t="s">
        <v>742</v>
      </c>
      <c r="G8" s="48"/>
    </row>
    <row r="9" spans="3:7" x14ac:dyDescent="0.3">
      <c r="C9" s="41" t="s">
        <v>881</v>
      </c>
      <c r="D9" s="42" t="s">
        <v>882</v>
      </c>
      <c r="E9" s="43"/>
      <c r="F9" s="47" t="s">
        <v>883</v>
      </c>
      <c r="G9" s="48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24268-F971-46CB-B175-140B8C3B8E9A}">
  <sheetPr codeName="Hoja3"/>
  <dimension ref="A1:I29"/>
  <sheetViews>
    <sheetView showGridLines="0" workbookViewId="0">
      <selection activeCell="A4" sqref="A4"/>
    </sheetView>
  </sheetViews>
  <sheetFormatPr baseColWidth="10" defaultRowHeight="14.4" x14ac:dyDescent="0.3"/>
  <cols>
    <col min="1" max="1" width="23.6640625" bestFit="1" customWidth="1"/>
    <col min="2" max="2" width="97.88671875" bestFit="1" customWidth="1"/>
    <col min="7" max="7" width="15.109375" bestFit="1" customWidth="1"/>
  </cols>
  <sheetData>
    <row r="1" spans="1:9" x14ac:dyDescent="0.3">
      <c r="A1" t="s">
        <v>0</v>
      </c>
      <c r="B1">
        <v>138</v>
      </c>
      <c r="G1" t="s">
        <v>11</v>
      </c>
      <c r="I1" t="s">
        <v>22</v>
      </c>
    </row>
    <row r="2" spans="1:9" x14ac:dyDescent="0.3">
      <c r="A2" t="s">
        <v>145</v>
      </c>
      <c r="B2">
        <v>118</v>
      </c>
      <c r="G2" t="s">
        <v>12</v>
      </c>
      <c r="I2" t="s">
        <v>23</v>
      </c>
    </row>
    <row r="3" spans="1:9" x14ac:dyDescent="0.3">
      <c r="A3" t="s">
        <v>172</v>
      </c>
      <c r="B3">
        <v>0</v>
      </c>
      <c r="G3" t="s">
        <v>13</v>
      </c>
      <c r="I3" t="s">
        <v>24</v>
      </c>
    </row>
    <row r="4" spans="1:9" x14ac:dyDescent="0.3">
      <c r="A4" t="s">
        <v>196</v>
      </c>
      <c r="B4">
        <v>0</v>
      </c>
      <c r="G4" t="s">
        <v>14</v>
      </c>
      <c r="I4" t="s">
        <v>25</v>
      </c>
    </row>
    <row r="5" spans="1:9" x14ac:dyDescent="0.3">
      <c r="G5" t="s">
        <v>15</v>
      </c>
      <c r="I5" t="s">
        <v>26</v>
      </c>
    </row>
    <row r="6" spans="1:9" x14ac:dyDescent="0.3">
      <c r="A6" t="s">
        <v>201</v>
      </c>
      <c r="B6" t="s">
        <v>327</v>
      </c>
      <c r="G6" t="s">
        <v>16</v>
      </c>
      <c r="I6" t="s">
        <v>27</v>
      </c>
    </row>
    <row r="7" spans="1:9" x14ac:dyDescent="0.3">
      <c r="A7" t="s">
        <v>244</v>
      </c>
      <c r="B7" t="s">
        <v>296</v>
      </c>
      <c r="G7" t="s">
        <v>17</v>
      </c>
    </row>
    <row r="8" spans="1:9" x14ac:dyDescent="0.3">
      <c r="B8">
        <v>6</v>
      </c>
      <c r="G8" t="s">
        <v>18</v>
      </c>
    </row>
    <row r="9" spans="1:9" x14ac:dyDescent="0.3">
      <c r="A9" t="s">
        <v>258</v>
      </c>
      <c r="G9" t="s">
        <v>19</v>
      </c>
    </row>
    <row r="10" spans="1:9" x14ac:dyDescent="0.3">
      <c r="A10" t="s">
        <v>245</v>
      </c>
      <c r="G10" t="s">
        <v>20</v>
      </c>
    </row>
    <row r="11" spans="1:9" x14ac:dyDescent="0.3">
      <c r="G11" t="s">
        <v>21</v>
      </c>
    </row>
    <row r="12" spans="1:9" x14ac:dyDescent="0.3">
      <c r="A12" t="s">
        <v>246</v>
      </c>
      <c r="B12" t="s">
        <v>248</v>
      </c>
    </row>
    <row r="13" spans="1:9" ht="259.2" x14ac:dyDescent="0.3">
      <c r="A13" s="28" t="s">
        <v>247</v>
      </c>
      <c r="B13" s="27" t="s">
        <v>249</v>
      </c>
    </row>
    <row r="17" spans="1:2" x14ac:dyDescent="0.3">
      <c r="A17" t="s">
        <v>250</v>
      </c>
      <c r="B17" t="s">
        <v>251</v>
      </c>
    </row>
    <row r="18" spans="1:2" ht="144" x14ac:dyDescent="0.3">
      <c r="A18" s="28" t="s">
        <v>247</v>
      </c>
      <c r="B18" s="27" t="s">
        <v>252</v>
      </c>
    </row>
    <row r="23" spans="1:2" x14ac:dyDescent="0.3">
      <c r="A23" t="s">
        <v>253</v>
      </c>
      <c r="B23">
        <v>94</v>
      </c>
    </row>
    <row r="24" spans="1:2" x14ac:dyDescent="0.3">
      <c r="A24" t="s">
        <v>254</v>
      </c>
      <c r="B24">
        <v>81</v>
      </c>
    </row>
    <row r="25" spans="1:2" x14ac:dyDescent="0.3">
      <c r="A25" t="s">
        <v>255</v>
      </c>
      <c r="B25">
        <v>94</v>
      </c>
    </row>
    <row r="26" spans="1:2" x14ac:dyDescent="0.3">
      <c r="A26" t="s">
        <v>257</v>
      </c>
      <c r="B26">
        <v>4</v>
      </c>
    </row>
    <row r="27" spans="1:2" x14ac:dyDescent="0.3">
      <c r="A27" t="s">
        <v>259</v>
      </c>
      <c r="B27">
        <v>593</v>
      </c>
    </row>
    <row r="28" spans="1:2" x14ac:dyDescent="0.3">
      <c r="A28" t="s">
        <v>262</v>
      </c>
      <c r="B28">
        <v>123</v>
      </c>
    </row>
    <row r="29" spans="1:2" x14ac:dyDescent="0.3">
      <c r="A29" t="s">
        <v>253</v>
      </c>
      <c r="B29">
        <v>94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3AB22-9691-4944-9685-7B79B80740C5}">
  <sheetPr codeName="Hoja16"/>
  <dimension ref="A2:AC39"/>
  <sheetViews>
    <sheetView showGridLines="0" workbookViewId="0">
      <selection activeCell="E16" sqref="E16:AB16"/>
    </sheetView>
  </sheetViews>
  <sheetFormatPr baseColWidth="10" defaultColWidth="11.44140625" defaultRowHeight="13.8" x14ac:dyDescent="0.25"/>
  <cols>
    <col min="1" max="1" width="0.33203125" style="3" customWidth="1"/>
    <col min="2" max="124" width="2.6640625" style="3" customWidth="1"/>
    <col min="125" max="16384" width="11.44140625" style="3"/>
  </cols>
  <sheetData>
    <row r="2" spans="1:28" ht="15" x14ac:dyDescent="0.25">
      <c r="A2" s="30"/>
      <c r="B2" s="44" t="s">
        <v>345</v>
      </c>
      <c r="V2" s="82"/>
      <c r="W2" s="82"/>
      <c r="X2" s="82"/>
      <c r="Y2" s="82"/>
      <c r="Z2" s="82"/>
      <c r="AA2" s="82"/>
      <c r="AB2" s="82"/>
    </row>
    <row r="3" spans="1:28" x14ac:dyDescent="0.25">
      <c r="A3" s="30"/>
      <c r="V3" s="82"/>
      <c r="W3" s="82"/>
      <c r="X3" s="82"/>
      <c r="Y3" s="82"/>
      <c r="Z3" s="82"/>
      <c r="AA3" s="82"/>
      <c r="AB3" s="82"/>
    </row>
    <row r="4" spans="1:28" ht="14.4" x14ac:dyDescent="0.3">
      <c r="A4" s="30"/>
      <c r="B4" s="45" t="s">
        <v>344</v>
      </c>
      <c r="V4" s="82"/>
      <c r="W4" s="82"/>
      <c r="X4" s="82"/>
      <c r="Y4" s="82"/>
      <c r="Z4" s="82"/>
      <c r="AA4" s="82"/>
      <c r="AB4" s="82"/>
    </row>
    <row r="5" spans="1:28" ht="14.4" x14ac:dyDescent="0.3">
      <c r="A5" s="30"/>
      <c r="B5" s="45">
        <v>593998674908</v>
      </c>
      <c r="V5" s="82"/>
      <c r="W5" s="82"/>
      <c r="X5" s="82"/>
      <c r="Y5" s="82"/>
      <c r="Z5" s="82"/>
      <c r="AA5" s="82"/>
      <c r="AB5" s="82"/>
    </row>
    <row r="6" spans="1:28" ht="14.4" x14ac:dyDescent="0.3">
      <c r="A6" s="30"/>
      <c r="B6" s="45">
        <v>979100495</v>
      </c>
      <c r="V6" s="82"/>
      <c r="W6" s="82"/>
      <c r="X6" s="82"/>
      <c r="Y6" s="82"/>
      <c r="Z6" s="82"/>
      <c r="AA6" s="82"/>
      <c r="AB6" s="82"/>
    </row>
    <row r="7" spans="1:28" x14ac:dyDescent="0.25">
      <c r="A7" s="30"/>
      <c r="B7" s="46"/>
      <c r="V7" s="82"/>
      <c r="W7" s="82"/>
      <c r="X7" s="82"/>
      <c r="Y7" s="82"/>
      <c r="Z7" s="82"/>
      <c r="AA7" s="82"/>
      <c r="AB7" s="82"/>
    </row>
    <row r="8" spans="1:28" ht="7.5" customHeight="1" x14ac:dyDescent="0.25"/>
    <row r="9" spans="1:28" ht="14.4" x14ac:dyDescent="0.3">
      <c r="B9" s="32" t="s">
        <v>147</v>
      </c>
      <c r="E9" s="80">
        <v>46093</v>
      </c>
      <c r="F9" s="81"/>
      <c r="G9" s="81"/>
      <c r="H9" s="81"/>
    </row>
    <row r="10" spans="1:28" ht="3.75" customHeight="1" x14ac:dyDescent="0.25"/>
    <row r="11" spans="1:28" x14ac:dyDescent="0.25">
      <c r="B11" s="33" t="s">
        <v>266</v>
      </c>
      <c r="C11" s="35"/>
      <c r="D11" s="35"/>
      <c r="E11" s="35"/>
      <c r="F11" s="35"/>
      <c r="G11" s="81" t="s">
        <v>2318</v>
      </c>
      <c r="H11" s="81"/>
      <c r="I11" s="81"/>
      <c r="J11" s="81"/>
      <c r="K11" s="81"/>
      <c r="L11" s="81"/>
      <c r="M11" s="81"/>
    </row>
    <row r="12" spans="1:28" ht="2.25" customHeight="1" x14ac:dyDescent="0.25"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</row>
    <row r="13" spans="1:28" x14ac:dyDescent="0.25">
      <c r="B13" s="34" t="s">
        <v>263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</row>
    <row r="14" spans="1:28" ht="4.5" customHeight="1" x14ac:dyDescent="0.25"/>
    <row r="15" spans="1:28" x14ac:dyDescent="0.25">
      <c r="B15" s="37" t="s">
        <v>264</v>
      </c>
      <c r="E15" s="93" t="s">
        <v>2297</v>
      </c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</row>
    <row r="16" spans="1:28" x14ac:dyDescent="0.25">
      <c r="B16" s="37" t="s">
        <v>265</v>
      </c>
      <c r="E16" s="94" t="s">
        <v>2298</v>
      </c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</row>
    <row r="17" spans="2:29" x14ac:dyDescent="0.25">
      <c r="B17" s="37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</row>
    <row r="19" spans="2:29" ht="14.4" x14ac:dyDescent="0.3">
      <c r="B19" s="83" t="s">
        <v>267</v>
      </c>
      <c r="C19" s="83"/>
      <c r="D19" s="83"/>
      <c r="E19" s="83"/>
      <c r="F19" s="83" t="s">
        <v>268</v>
      </c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96" t="s">
        <v>269</v>
      </c>
      <c r="V19" s="97"/>
      <c r="W19" s="98"/>
      <c r="X19" s="96" t="s">
        <v>275</v>
      </c>
      <c r="Y19" s="97"/>
      <c r="Z19" s="98"/>
      <c r="AA19" s="96" t="s">
        <v>272</v>
      </c>
      <c r="AB19" s="97"/>
      <c r="AC19" s="98"/>
    </row>
    <row r="20" spans="2:29" x14ac:dyDescent="0.25">
      <c r="B20" s="84">
        <v>1</v>
      </c>
      <c r="C20" s="84"/>
      <c r="D20" s="84"/>
      <c r="E20" s="84"/>
      <c r="F20" s="85" t="s">
        <v>2308</v>
      </c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6">
        <v>50</v>
      </c>
      <c r="V20" s="87"/>
      <c r="W20" s="88"/>
      <c r="X20" s="86">
        <v>0</v>
      </c>
      <c r="Y20" s="87"/>
      <c r="Z20" s="88"/>
      <c r="AA20" s="86">
        <v>50</v>
      </c>
      <c r="AB20" s="87"/>
      <c r="AC20" s="88"/>
    </row>
    <row r="21" spans="2:29" x14ac:dyDescent="0.25">
      <c r="B21" s="84"/>
      <c r="C21" s="84"/>
      <c r="D21" s="84"/>
      <c r="E21" s="84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9"/>
      <c r="V21" s="90"/>
      <c r="W21" s="91"/>
      <c r="X21" s="89"/>
      <c r="Y21" s="90"/>
      <c r="Z21" s="91"/>
      <c r="AA21" s="89"/>
      <c r="AB21" s="90"/>
      <c r="AC21" s="91"/>
    </row>
    <row r="22" spans="2:29" x14ac:dyDescent="0.25">
      <c r="B22" s="84">
        <v>1</v>
      </c>
      <c r="C22" s="84"/>
      <c r="D22" s="84"/>
      <c r="E22" s="84"/>
      <c r="F22" s="85" t="s">
        <v>2314</v>
      </c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6">
        <v>65</v>
      </c>
      <c r="V22" s="87"/>
      <c r="W22" s="88"/>
      <c r="X22" s="86">
        <v>10</v>
      </c>
      <c r="Y22" s="87"/>
      <c r="Z22" s="88"/>
      <c r="AA22" s="86">
        <v>55</v>
      </c>
      <c r="AB22" s="87"/>
      <c r="AC22" s="88"/>
    </row>
    <row r="23" spans="2:29" x14ac:dyDescent="0.25">
      <c r="B23" s="84"/>
      <c r="C23" s="84"/>
      <c r="D23" s="84"/>
      <c r="E23" s="84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9"/>
      <c r="V23" s="90"/>
      <c r="W23" s="91"/>
      <c r="X23" s="89"/>
      <c r="Y23" s="90"/>
      <c r="Z23" s="91"/>
      <c r="AA23" s="89"/>
      <c r="AB23" s="90"/>
      <c r="AC23" s="91"/>
    </row>
    <row r="24" spans="2:29" x14ac:dyDescent="0.25">
      <c r="B24" s="84">
        <v>4</v>
      </c>
      <c r="C24" s="84"/>
      <c r="D24" s="84"/>
      <c r="E24" s="84"/>
      <c r="F24" s="85" t="s">
        <v>291</v>
      </c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6">
        <v>27.5</v>
      </c>
      <c r="V24" s="87"/>
      <c r="W24" s="88"/>
      <c r="X24" s="86">
        <v>10</v>
      </c>
      <c r="Y24" s="87"/>
      <c r="Z24" s="88"/>
      <c r="AA24" s="86">
        <v>100</v>
      </c>
      <c r="AB24" s="87"/>
      <c r="AC24" s="88"/>
    </row>
    <row r="25" spans="2:29" x14ac:dyDescent="0.25">
      <c r="B25" s="84"/>
      <c r="C25" s="84"/>
      <c r="D25" s="84"/>
      <c r="E25" s="84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9"/>
      <c r="V25" s="90"/>
      <c r="W25" s="91"/>
      <c r="X25" s="89"/>
      <c r="Y25" s="90"/>
      <c r="Z25" s="91"/>
      <c r="AA25" s="89"/>
      <c r="AB25" s="90"/>
      <c r="AC25" s="91"/>
    </row>
    <row r="26" spans="2:29" x14ac:dyDescent="0.25">
      <c r="B26" s="84">
        <v>2</v>
      </c>
      <c r="C26" s="84"/>
      <c r="D26" s="84"/>
      <c r="E26" s="84"/>
      <c r="F26" s="85" t="s">
        <v>540</v>
      </c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6">
        <v>17.5</v>
      </c>
      <c r="V26" s="87"/>
      <c r="W26" s="88"/>
      <c r="X26" s="86">
        <v>0</v>
      </c>
      <c r="Y26" s="87"/>
      <c r="Z26" s="88"/>
      <c r="AA26" s="86">
        <v>35</v>
      </c>
      <c r="AB26" s="87"/>
      <c r="AC26" s="88"/>
    </row>
    <row r="27" spans="2:29" x14ac:dyDescent="0.25">
      <c r="B27" s="84"/>
      <c r="C27" s="84"/>
      <c r="D27" s="84"/>
      <c r="E27" s="84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9"/>
      <c r="V27" s="90"/>
      <c r="W27" s="91"/>
      <c r="X27" s="89"/>
      <c r="Y27" s="90"/>
      <c r="Z27" s="91"/>
      <c r="AA27" s="89"/>
      <c r="AB27" s="90"/>
      <c r="AC27" s="91"/>
    </row>
    <row r="28" spans="2:29" x14ac:dyDescent="0.25">
      <c r="B28" s="84"/>
      <c r="C28" s="84"/>
      <c r="D28" s="84"/>
      <c r="E28" s="84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6"/>
      <c r="V28" s="87"/>
      <c r="W28" s="88"/>
      <c r="X28" s="86"/>
      <c r="Y28" s="87"/>
      <c r="Z28" s="88"/>
      <c r="AA28" s="86"/>
      <c r="AB28" s="87"/>
      <c r="AC28" s="88"/>
    </row>
    <row r="29" spans="2:29" x14ac:dyDescent="0.25">
      <c r="B29" s="84"/>
      <c r="C29" s="84"/>
      <c r="D29" s="84"/>
      <c r="E29" s="84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9"/>
      <c r="V29" s="90"/>
      <c r="W29" s="91"/>
      <c r="X29" s="89"/>
      <c r="Y29" s="90"/>
      <c r="Z29" s="91"/>
      <c r="AA29" s="89"/>
      <c r="AB29" s="90"/>
      <c r="AC29" s="91"/>
    </row>
    <row r="30" spans="2:29" x14ac:dyDescent="0.25">
      <c r="B30" s="84"/>
      <c r="C30" s="84"/>
      <c r="D30" s="84"/>
      <c r="E30" s="84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6"/>
      <c r="V30" s="87"/>
      <c r="W30" s="88"/>
      <c r="X30" s="86"/>
      <c r="Y30" s="87"/>
      <c r="Z30" s="88"/>
      <c r="AA30" s="86"/>
      <c r="AB30" s="87"/>
      <c r="AC30" s="88"/>
    </row>
    <row r="31" spans="2:29" x14ac:dyDescent="0.25">
      <c r="B31" s="84"/>
      <c r="C31" s="84"/>
      <c r="D31" s="84"/>
      <c r="E31" s="84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9"/>
      <c r="V31" s="90"/>
      <c r="W31" s="91"/>
      <c r="X31" s="89"/>
      <c r="Y31" s="90"/>
      <c r="Z31" s="91"/>
      <c r="AA31" s="89"/>
      <c r="AB31" s="90"/>
      <c r="AC31" s="91"/>
    </row>
    <row r="32" spans="2:29" x14ac:dyDescent="0.25">
      <c r="B32" s="84"/>
      <c r="C32" s="84"/>
      <c r="D32" s="84"/>
      <c r="E32" s="84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6"/>
      <c r="V32" s="87"/>
      <c r="W32" s="88"/>
      <c r="X32" s="86"/>
      <c r="Y32" s="87"/>
      <c r="Z32" s="88"/>
      <c r="AA32" s="86"/>
      <c r="AB32" s="87"/>
      <c r="AC32" s="88"/>
    </row>
    <row r="33" spans="2:29" x14ac:dyDescent="0.25">
      <c r="B33" s="84"/>
      <c r="C33" s="84"/>
      <c r="D33" s="84"/>
      <c r="E33" s="84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  <c r="S33" s="85"/>
      <c r="T33" s="85"/>
      <c r="U33" s="89"/>
      <c r="V33" s="90"/>
      <c r="W33" s="91"/>
      <c r="X33" s="89"/>
      <c r="Y33" s="90"/>
      <c r="Z33" s="91"/>
      <c r="AA33" s="89"/>
      <c r="AB33" s="90"/>
      <c r="AC33" s="91"/>
    </row>
    <row r="34" spans="2:29" ht="9" customHeight="1" x14ac:dyDescent="0.25">
      <c r="B34" s="31"/>
      <c r="C34" s="31"/>
      <c r="D34" s="31"/>
      <c r="E34" s="31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1"/>
      <c r="V34" s="31"/>
      <c r="W34" s="31"/>
      <c r="X34" s="31"/>
      <c r="Y34" s="31"/>
      <c r="Z34" s="31"/>
      <c r="AA34" s="31"/>
      <c r="AB34" s="31"/>
    </row>
    <row r="35" spans="2:29" x14ac:dyDescent="0.25">
      <c r="B35" s="92" t="s">
        <v>270</v>
      </c>
      <c r="C35" s="92"/>
      <c r="D35" s="92"/>
      <c r="E35" s="92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84">
        <v>240</v>
      </c>
      <c r="Z35" s="84"/>
      <c r="AA35" s="84"/>
      <c r="AB35" s="84"/>
      <c r="AC35" s="84"/>
    </row>
    <row r="36" spans="2:29" x14ac:dyDescent="0.25">
      <c r="B36" s="92" t="s">
        <v>271</v>
      </c>
      <c r="C36" s="92"/>
      <c r="D36" s="92"/>
      <c r="E36" s="92"/>
      <c r="F36" s="92"/>
      <c r="G36" s="92"/>
      <c r="H36" s="92"/>
      <c r="I36" s="92"/>
      <c r="J36" s="92"/>
      <c r="K36" s="92"/>
      <c r="L36" s="92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84">
        <v>20</v>
      </c>
      <c r="Z36" s="84"/>
      <c r="AA36" s="84"/>
      <c r="AB36" s="84"/>
      <c r="AC36" s="84"/>
    </row>
    <row r="37" spans="2:29" x14ac:dyDescent="0.25">
      <c r="B37" s="92" t="s">
        <v>272</v>
      </c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84">
        <v>240</v>
      </c>
      <c r="Z37" s="84"/>
      <c r="AA37" s="84"/>
      <c r="AB37" s="84"/>
      <c r="AC37" s="84"/>
    </row>
    <row r="38" spans="2:29" x14ac:dyDescent="0.25">
      <c r="B38" s="92" t="s">
        <v>273</v>
      </c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84">
        <v>240</v>
      </c>
      <c r="Z38" s="84"/>
      <c r="AA38" s="84"/>
      <c r="AB38" s="84"/>
      <c r="AC38" s="84"/>
    </row>
    <row r="39" spans="2:29" x14ac:dyDescent="0.25">
      <c r="B39" s="92" t="s">
        <v>274</v>
      </c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84">
        <v>0</v>
      </c>
      <c r="Z39" s="84"/>
      <c r="AA39" s="84"/>
      <c r="AB39" s="84"/>
      <c r="AC39" s="84"/>
    </row>
  </sheetData>
  <mergeCells count="56">
    <mergeCell ref="Y39:AC39"/>
    <mergeCell ref="U30:W31"/>
    <mergeCell ref="X30:Z31"/>
    <mergeCell ref="AA30:AC31"/>
    <mergeCell ref="U32:W33"/>
    <mergeCell ref="X32:Z33"/>
    <mergeCell ref="AA32:AC33"/>
    <mergeCell ref="Y36:AC36"/>
    <mergeCell ref="Y37:AC37"/>
    <mergeCell ref="Y38:AC38"/>
    <mergeCell ref="U26:W27"/>
    <mergeCell ref="X26:Z27"/>
    <mergeCell ref="AA26:AC27"/>
    <mergeCell ref="U28:W29"/>
    <mergeCell ref="X28:Z29"/>
    <mergeCell ref="AA28:AC29"/>
    <mergeCell ref="X20:Z21"/>
    <mergeCell ref="AA20:AC21"/>
    <mergeCell ref="U22:W23"/>
    <mergeCell ref="X22:Z23"/>
    <mergeCell ref="AA22:AC23"/>
    <mergeCell ref="U24:W25"/>
    <mergeCell ref="X24:Z25"/>
    <mergeCell ref="AA24:AC25"/>
    <mergeCell ref="B39:X39"/>
    <mergeCell ref="E15:AB15"/>
    <mergeCell ref="E16:AB16"/>
    <mergeCell ref="E17:AB17"/>
    <mergeCell ref="U19:W19"/>
    <mergeCell ref="X19:Z19"/>
    <mergeCell ref="AA19:AC19"/>
    <mergeCell ref="U20:W21"/>
    <mergeCell ref="B35:X35"/>
    <mergeCell ref="B36:X36"/>
    <mergeCell ref="B37:X37"/>
    <mergeCell ref="B38:X38"/>
    <mergeCell ref="Y35:AC35"/>
    <mergeCell ref="B32:E33"/>
    <mergeCell ref="F32:T33"/>
    <mergeCell ref="B28:E29"/>
    <mergeCell ref="F28:T29"/>
    <mergeCell ref="B30:E31"/>
    <mergeCell ref="F30:T31"/>
    <mergeCell ref="B24:E25"/>
    <mergeCell ref="F24:T25"/>
    <mergeCell ref="B26:E27"/>
    <mergeCell ref="F26:T27"/>
    <mergeCell ref="B20:E21"/>
    <mergeCell ref="F20:T21"/>
    <mergeCell ref="B22:E23"/>
    <mergeCell ref="F22:T23"/>
    <mergeCell ref="E9:H9"/>
    <mergeCell ref="G11:M11"/>
    <mergeCell ref="V2:AB7"/>
    <mergeCell ref="B19:E19"/>
    <mergeCell ref="F19:T19"/>
  </mergeCells>
  <pageMargins left="0.25" right="0.25" top="0.75" bottom="0.75" header="0.3" footer="0.3"/>
  <pageSetup paperSize="11" scale="84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</vt:i4>
      </vt:variant>
    </vt:vector>
  </HeadingPairs>
  <TitlesOfParts>
    <vt:vector size="8" baseType="lpstr">
      <vt:lpstr>Inicio</vt:lpstr>
      <vt:lpstr>Orden Contactología</vt:lpstr>
      <vt:lpstr>Orden Lente Convencional </vt:lpstr>
      <vt:lpstr>Inventario</vt:lpstr>
      <vt:lpstr>Configuraciones</vt:lpstr>
      <vt:lpstr>VentaTk</vt:lpstr>
      <vt:lpstr>'Orden Contactología'!Área_de_impresión</vt:lpstr>
      <vt:lpstr>'Orden Lente Convencional 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Morquecho</dc:creator>
  <cp:lastModifiedBy>Bryam</cp:lastModifiedBy>
  <cp:lastPrinted>2026-03-12T21:56:09Z</cp:lastPrinted>
  <dcterms:created xsi:type="dcterms:W3CDTF">2025-10-23T18:22:35Z</dcterms:created>
  <dcterms:modified xsi:type="dcterms:W3CDTF">2026-03-13T16:27:17Z</dcterms:modified>
</cp:coreProperties>
</file>